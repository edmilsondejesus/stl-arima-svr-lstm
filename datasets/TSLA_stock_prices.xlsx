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BM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1" t="str">
        <f>IFERROR(__xludf.DUMMYFUNCTION("GOOGLEFINANCE(""NASDAQ:TSLA"", ""all"", DATE(1980,1,1), DATE(2026,6,8), ""DAILY"")"),"Date")</f>
        <v>Date</v>
      </c>
      <c r="B1" s="2" t="str">
        <f>IFERROR(__xludf.DUMMYFUNCTION("""COMPUTED_VALUE"""),"Open")</f>
        <v>Open</v>
      </c>
      <c r="C1" s="2" t="str">
        <f>IFERROR(__xludf.DUMMYFUNCTION("""COMPUTED_VALUE"""),"High")</f>
        <v>High</v>
      </c>
      <c r="D1" s="2" t="str">
        <f>IFERROR(__xludf.DUMMYFUNCTION("""COMPUTED_VALUE"""),"Low")</f>
        <v>Low</v>
      </c>
      <c r="E1" s="2" t="str">
        <f>IFERROR(__xludf.DUMMYFUNCTION("""COMPUTED_VALUE"""),"Close")</f>
        <v>Close</v>
      </c>
      <c r="F1" s="2" t="str">
        <f>IFERROR(__xludf.DUMMYFUNCTION("""COMPUTED_VALUE"""),"Volume")</f>
        <v>Volume</v>
      </c>
    </row>
    <row r="2">
      <c r="A2" s="3">
        <f>IFERROR(__xludf.DUMMYFUNCTION("""COMPUTED_VALUE"""),40358.666666666664)</f>
        <v>40358.66667</v>
      </c>
      <c r="B2" s="2">
        <f>IFERROR(__xludf.DUMMYFUNCTION("""COMPUTED_VALUE"""),1.27)</f>
        <v>1.27</v>
      </c>
      <c r="C2" s="2">
        <f>IFERROR(__xludf.DUMMYFUNCTION("""COMPUTED_VALUE"""),1.67)</f>
        <v>1.67</v>
      </c>
      <c r="D2" s="2">
        <f>IFERROR(__xludf.DUMMYFUNCTION("""COMPUTED_VALUE"""),1.17)</f>
        <v>1.17</v>
      </c>
      <c r="E2" s="2">
        <f>IFERROR(__xludf.DUMMYFUNCTION("""COMPUTED_VALUE"""),1.59)</f>
        <v>1.59</v>
      </c>
      <c r="F2" s="2">
        <f>IFERROR(__xludf.DUMMYFUNCTION("""COMPUTED_VALUE"""),1.8783276E7)</f>
        <v>18783276</v>
      </c>
    </row>
    <row r="3">
      <c r="A3" s="3">
        <f>IFERROR(__xludf.DUMMYFUNCTION("""COMPUTED_VALUE"""),40359.666666666664)</f>
        <v>40359.66667</v>
      </c>
      <c r="B3" s="2">
        <f>IFERROR(__xludf.DUMMYFUNCTION("""COMPUTED_VALUE"""),1.73)</f>
        <v>1.73</v>
      </c>
      <c r="C3" s="2">
        <f>IFERROR(__xludf.DUMMYFUNCTION("""COMPUTED_VALUE"""),2.03)</f>
        <v>2.03</v>
      </c>
      <c r="D3" s="2">
        <f>IFERROR(__xludf.DUMMYFUNCTION("""COMPUTED_VALUE"""),1.55)</f>
        <v>1.55</v>
      </c>
      <c r="E3" s="2">
        <f>IFERROR(__xludf.DUMMYFUNCTION("""COMPUTED_VALUE"""),1.59)</f>
        <v>1.59</v>
      </c>
      <c r="F3" s="2">
        <f>IFERROR(__xludf.DUMMYFUNCTION("""COMPUTED_VALUE"""),1.7194394E7)</f>
        <v>17194394</v>
      </c>
    </row>
    <row r="4">
      <c r="A4" s="3">
        <f>IFERROR(__xludf.DUMMYFUNCTION("""COMPUTED_VALUE"""),40360.666666666664)</f>
        <v>40360.66667</v>
      </c>
      <c r="B4" s="2">
        <f>IFERROR(__xludf.DUMMYFUNCTION("""COMPUTED_VALUE"""),1.67)</f>
        <v>1.67</v>
      </c>
      <c r="C4" s="2">
        <f>IFERROR(__xludf.DUMMYFUNCTION("""COMPUTED_VALUE"""),1.73)</f>
        <v>1.73</v>
      </c>
      <c r="D4" s="2">
        <f>IFERROR(__xludf.DUMMYFUNCTION("""COMPUTED_VALUE"""),1.35)</f>
        <v>1.35</v>
      </c>
      <c r="E4" s="2">
        <f>IFERROR(__xludf.DUMMYFUNCTION("""COMPUTED_VALUE"""),1.46)</f>
        <v>1.46</v>
      </c>
      <c r="F4" s="2">
        <f>IFERROR(__xludf.DUMMYFUNCTION("""COMPUTED_VALUE"""),8229863.0)</f>
        <v>8229863</v>
      </c>
    </row>
    <row r="5">
      <c r="A5" s="3">
        <f>IFERROR(__xludf.DUMMYFUNCTION("""COMPUTED_VALUE"""),40361.666666666664)</f>
        <v>40361.66667</v>
      </c>
      <c r="B5" s="2">
        <f>IFERROR(__xludf.DUMMYFUNCTION("""COMPUTED_VALUE"""),1.53)</f>
        <v>1.53</v>
      </c>
      <c r="C5" s="2">
        <f>IFERROR(__xludf.DUMMYFUNCTION("""COMPUTED_VALUE"""),1.54)</f>
        <v>1.54</v>
      </c>
      <c r="D5" s="2">
        <f>IFERROR(__xludf.DUMMYFUNCTION("""COMPUTED_VALUE"""),1.25)</f>
        <v>1.25</v>
      </c>
      <c r="E5" s="2">
        <f>IFERROR(__xludf.DUMMYFUNCTION("""COMPUTED_VALUE"""),1.28)</f>
        <v>1.28</v>
      </c>
      <c r="F5" s="2">
        <f>IFERROR(__xludf.DUMMYFUNCTION("""COMPUTED_VALUE"""),5141807.0)</f>
        <v>5141807</v>
      </c>
    </row>
    <row r="6">
      <c r="A6" s="3">
        <f>IFERROR(__xludf.DUMMYFUNCTION("""COMPUTED_VALUE"""),40365.666666666664)</f>
        <v>40365.66667</v>
      </c>
      <c r="B6" s="2">
        <f>IFERROR(__xludf.DUMMYFUNCTION("""COMPUTED_VALUE"""),1.33)</f>
        <v>1.33</v>
      </c>
      <c r="C6" s="2">
        <f>IFERROR(__xludf.DUMMYFUNCTION("""COMPUTED_VALUE"""),1.33)</f>
        <v>1.33</v>
      </c>
      <c r="D6" s="2">
        <f>IFERROR(__xludf.DUMMYFUNCTION("""COMPUTED_VALUE"""),1.06)</f>
        <v>1.06</v>
      </c>
      <c r="E6" s="2">
        <f>IFERROR(__xludf.DUMMYFUNCTION("""COMPUTED_VALUE"""),1.07)</f>
        <v>1.07</v>
      </c>
      <c r="F6" s="2">
        <f>IFERROR(__xludf.DUMMYFUNCTION("""COMPUTED_VALUE"""),6879296.0)</f>
        <v>6879296</v>
      </c>
    </row>
    <row r="7">
      <c r="A7" s="3">
        <f>IFERROR(__xludf.DUMMYFUNCTION("""COMPUTED_VALUE"""),40366.666666666664)</f>
        <v>40366.66667</v>
      </c>
      <c r="B7" s="2">
        <f>IFERROR(__xludf.DUMMYFUNCTION("""COMPUTED_VALUE"""),1.09)</f>
        <v>1.09</v>
      </c>
      <c r="C7" s="2">
        <f>IFERROR(__xludf.DUMMYFUNCTION("""COMPUTED_VALUE"""),1.11)</f>
        <v>1.11</v>
      </c>
      <c r="D7" s="2">
        <f>IFERROR(__xludf.DUMMYFUNCTION("""COMPUTED_VALUE"""),1.0)</f>
        <v>1</v>
      </c>
      <c r="E7" s="2">
        <f>IFERROR(__xludf.DUMMYFUNCTION("""COMPUTED_VALUE"""),1.05)</f>
        <v>1.05</v>
      </c>
      <c r="F7" s="2">
        <f>IFERROR(__xludf.DUMMYFUNCTION("""COMPUTED_VALUE"""),6924914.0)</f>
        <v>6924914</v>
      </c>
    </row>
    <row r="8">
      <c r="A8" s="3">
        <f>IFERROR(__xludf.DUMMYFUNCTION("""COMPUTED_VALUE"""),40367.666666666664)</f>
        <v>40367.66667</v>
      </c>
      <c r="B8" s="2">
        <f>IFERROR(__xludf.DUMMYFUNCTION("""COMPUTED_VALUE"""),1.08)</f>
        <v>1.08</v>
      </c>
      <c r="C8" s="2">
        <f>IFERROR(__xludf.DUMMYFUNCTION("""COMPUTED_VALUE"""),1.17)</f>
        <v>1.17</v>
      </c>
      <c r="D8" s="2">
        <f>IFERROR(__xludf.DUMMYFUNCTION("""COMPUTED_VALUE"""),1.04)</f>
        <v>1.04</v>
      </c>
      <c r="E8" s="2">
        <f>IFERROR(__xludf.DUMMYFUNCTION("""COMPUTED_VALUE"""),1.16)</f>
        <v>1.16</v>
      </c>
      <c r="F8" s="2">
        <f>IFERROR(__xludf.DUMMYFUNCTION("""COMPUTED_VALUE"""),7719539.0)</f>
        <v>7719539</v>
      </c>
    </row>
    <row r="9">
      <c r="A9" s="3">
        <f>IFERROR(__xludf.DUMMYFUNCTION("""COMPUTED_VALUE"""),40368.666666666664)</f>
        <v>40368.66667</v>
      </c>
      <c r="B9" s="2">
        <f>IFERROR(__xludf.DUMMYFUNCTION("""COMPUTED_VALUE"""),1.17)</f>
        <v>1.17</v>
      </c>
      <c r="C9" s="2">
        <f>IFERROR(__xludf.DUMMYFUNCTION("""COMPUTED_VALUE"""),1.19)</f>
        <v>1.19</v>
      </c>
      <c r="D9" s="2">
        <f>IFERROR(__xludf.DUMMYFUNCTION("""COMPUTED_VALUE"""),1.1)</f>
        <v>1.1</v>
      </c>
      <c r="E9" s="2">
        <f>IFERROR(__xludf.DUMMYFUNCTION("""COMPUTED_VALUE"""),1.16)</f>
        <v>1.16</v>
      </c>
      <c r="F9" s="2">
        <f>IFERROR(__xludf.DUMMYFUNCTION("""COMPUTED_VALUE"""),4058606.0)</f>
        <v>4058606</v>
      </c>
    </row>
    <row r="10">
      <c r="A10" s="3">
        <f>IFERROR(__xludf.DUMMYFUNCTION("""COMPUTED_VALUE"""),40371.666666666664)</f>
        <v>40371.66667</v>
      </c>
      <c r="B10" s="2">
        <f>IFERROR(__xludf.DUMMYFUNCTION("""COMPUTED_VALUE"""),1.2)</f>
        <v>1.2</v>
      </c>
      <c r="C10" s="2">
        <f>IFERROR(__xludf.DUMMYFUNCTION("""COMPUTED_VALUE"""),1.2)</f>
        <v>1.2</v>
      </c>
      <c r="D10" s="2">
        <f>IFERROR(__xludf.DUMMYFUNCTION("""COMPUTED_VALUE"""),1.13)</f>
        <v>1.13</v>
      </c>
      <c r="E10" s="2">
        <f>IFERROR(__xludf.DUMMYFUNCTION("""COMPUTED_VALUE"""),1.14)</f>
        <v>1.14</v>
      </c>
      <c r="F10" s="2">
        <f>IFERROR(__xludf.DUMMYFUNCTION("""COMPUTED_VALUE"""),2203570.0)</f>
        <v>2203570</v>
      </c>
    </row>
    <row r="11">
      <c r="A11" s="3">
        <f>IFERROR(__xludf.DUMMYFUNCTION("""COMPUTED_VALUE"""),40372.666666666664)</f>
        <v>40372.66667</v>
      </c>
      <c r="B11" s="2">
        <f>IFERROR(__xludf.DUMMYFUNCTION("""COMPUTED_VALUE"""),1.17)</f>
        <v>1.17</v>
      </c>
      <c r="C11" s="2">
        <f>IFERROR(__xludf.DUMMYFUNCTION("""COMPUTED_VALUE"""),1.24)</f>
        <v>1.24</v>
      </c>
      <c r="D11" s="2">
        <f>IFERROR(__xludf.DUMMYFUNCTION("""COMPUTED_VALUE"""),1.13)</f>
        <v>1.13</v>
      </c>
      <c r="E11" s="2">
        <f>IFERROR(__xludf.DUMMYFUNCTION("""COMPUTED_VALUE"""),1.21)</f>
        <v>1.21</v>
      </c>
      <c r="F11" s="2">
        <f>IFERROR(__xludf.DUMMYFUNCTION("""COMPUTED_VALUE"""),2680060.0)</f>
        <v>2680060</v>
      </c>
    </row>
    <row r="12">
      <c r="A12" s="3">
        <f>IFERROR(__xludf.DUMMYFUNCTION("""COMPUTED_VALUE"""),40373.666666666664)</f>
        <v>40373.66667</v>
      </c>
      <c r="B12" s="2">
        <f>IFERROR(__xludf.DUMMYFUNCTION("""COMPUTED_VALUE"""),1.2)</f>
        <v>1.2</v>
      </c>
      <c r="C12" s="2">
        <f>IFERROR(__xludf.DUMMYFUNCTION("""COMPUTED_VALUE"""),1.34)</f>
        <v>1.34</v>
      </c>
      <c r="D12" s="2">
        <f>IFERROR(__xludf.DUMMYFUNCTION("""COMPUTED_VALUE"""),1.18)</f>
        <v>1.18</v>
      </c>
      <c r="E12" s="2">
        <f>IFERROR(__xludf.DUMMYFUNCTION("""COMPUTED_VALUE"""),1.32)</f>
        <v>1.32</v>
      </c>
      <c r="F12" s="2">
        <f>IFERROR(__xludf.DUMMYFUNCTION("""COMPUTED_VALUE"""),4196110.0)</f>
        <v>4196110</v>
      </c>
    </row>
    <row r="13">
      <c r="A13" s="3">
        <f>IFERROR(__xludf.DUMMYFUNCTION("""COMPUTED_VALUE"""),40374.666666666664)</f>
        <v>40374.66667</v>
      </c>
      <c r="B13" s="2">
        <f>IFERROR(__xludf.DUMMYFUNCTION("""COMPUTED_VALUE"""),1.33)</f>
        <v>1.33</v>
      </c>
      <c r="C13" s="2">
        <f>IFERROR(__xludf.DUMMYFUNCTION("""COMPUTED_VALUE"""),1.43)</f>
        <v>1.43</v>
      </c>
      <c r="D13" s="2">
        <f>IFERROR(__xludf.DUMMYFUNCTION("""COMPUTED_VALUE"""),1.27)</f>
        <v>1.27</v>
      </c>
      <c r="E13" s="2">
        <f>IFERROR(__xludf.DUMMYFUNCTION("""COMPUTED_VALUE"""),1.33)</f>
        <v>1.33</v>
      </c>
      <c r="F13" s="2">
        <f>IFERROR(__xludf.DUMMYFUNCTION("""COMPUTED_VALUE"""),3745297.0)</f>
        <v>3745297</v>
      </c>
    </row>
    <row r="14">
      <c r="A14" s="3">
        <f>IFERROR(__xludf.DUMMYFUNCTION("""COMPUTED_VALUE"""),40375.666666666664)</f>
        <v>40375.66667</v>
      </c>
      <c r="B14" s="2">
        <f>IFERROR(__xludf.DUMMYFUNCTION("""COMPUTED_VALUE"""),1.38)</f>
        <v>1.38</v>
      </c>
      <c r="C14" s="2">
        <f>IFERROR(__xludf.DUMMYFUNCTION("""COMPUTED_VALUE"""),1.42)</f>
        <v>1.42</v>
      </c>
      <c r="D14" s="2">
        <f>IFERROR(__xludf.DUMMYFUNCTION("""COMPUTED_VALUE"""),1.34)</f>
        <v>1.34</v>
      </c>
      <c r="E14" s="2">
        <f>IFERROR(__xludf.DUMMYFUNCTION("""COMPUTED_VALUE"""),1.38)</f>
        <v>1.38</v>
      </c>
      <c r="F14" s="2">
        <f>IFERROR(__xludf.DUMMYFUNCTION("""COMPUTED_VALUE"""),2621210.0)</f>
        <v>2621210</v>
      </c>
    </row>
    <row r="15">
      <c r="A15" s="3">
        <f>IFERROR(__xludf.DUMMYFUNCTION("""COMPUTED_VALUE"""),40378.666666666664)</f>
        <v>40378.66667</v>
      </c>
      <c r="B15" s="2">
        <f>IFERROR(__xludf.DUMMYFUNCTION("""COMPUTED_VALUE"""),1.42)</f>
        <v>1.42</v>
      </c>
      <c r="C15" s="2">
        <f>IFERROR(__xludf.DUMMYFUNCTION("""COMPUTED_VALUE"""),1.48)</f>
        <v>1.48</v>
      </c>
      <c r="D15" s="2">
        <f>IFERROR(__xludf.DUMMYFUNCTION("""COMPUTED_VALUE"""),1.39)</f>
        <v>1.39</v>
      </c>
      <c r="E15" s="2">
        <f>IFERROR(__xludf.DUMMYFUNCTION("""COMPUTED_VALUE"""),1.46)</f>
        <v>1.46</v>
      </c>
      <c r="F15" s="2">
        <f>IFERROR(__xludf.DUMMYFUNCTION("""COMPUTED_VALUE"""),2486489.0)</f>
        <v>2486489</v>
      </c>
    </row>
    <row r="16">
      <c r="A16" s="3">
        <f>IFERROR(__xludf.DUMMYFUNCTION("""COMPUTED_VALUE"""),40379.666666666664)</f>
        <v>40379.66667</v>
      </c>
      <c r="B16" s="2">
        <f>IFERROR(__xludf.DUMMYFUNCTION("""COMPUTED_VALUE"""),1.46)</f>
        <v>1.46</v>
      </c>
      <c r="C16" s="2">
        <f>IFERROR(__xludf.DUMMYFUNCTION("""COMPUTED_VALUE"""),1.46)</f>
        <v>1.46</v>
      </c>
      <c r="D16" s="2">
        <f>IFERROR(__xludf.DUMMYFUNCTION("""COMPUTED_VALUE"""),1.34)</f>
        <v>1.34</v>
      </c>
      <c r="E16" s="2">
        <f>IFERROR(__xludf.DUMMYFUNCTION("""COMPUTED_VALUE"""),1.35)</f>
        <v>1.35</v>
      </c>
      <c r="F16" s="2">
        <f>IFERROR(__xludf.DUMMYFUNCTION("""COMPUTED_VALUE"""),1825231.0)</f>
        <v>1825231</v>
      </c>
    </row>
    <row r="17">
      <c r="A17" s="3">
        <f>IFERROR(__xludf.DUMMYFUNCTION("""COMPUTED_VALUE"""),40380.666666666664)</f>
        <v>40380.66667</v>
      </c>
      <c r="B17" s="2">
        <f>IFERROR(__xludf.DUMMYFUNCTION("""COMPUTED_VALUE"""),1.38)</f>
        <v>1.38</v>
      </c>
      <c r="C17" s="2">
        <f>IFERROR(__xludf.DUMMYFUNCTION("""COMPUTED_VALUE"""),1.39)</f>
        <v>1.39</v>
      </c>
      <c r="D17" s="2">
        <f>IFERROR(__xludf.DUMMYFUNCTION("""COMPUTED_VALUE"""),1.3)</f>
        <v>1.3</v>
      </c>
      <c r="E17" s="2">
        <f>IFERROR(__xludf.DUMMYFUNCTION("""COMPUTED_VALUE"""),1.35)</f>
        <v>1.35</v>
      </c>
      <c r="F17" s="2">
        <f>IFERROR(__xludf.DUMMYFUNCTION("""COMPUTED_VALUE"""),1253442.0)</f>
        <v>1253442</v>
      </c>
    </row>
    <row r="18">
      <c r="A18" s="3">
        <f>IFERROR(__xludf.DUMMYFUNCTION("""COMPUTED_VALUE"""),40381.666666666664)</f>
        <v>40381.66667</v>
      </c>
      <c r="B18" s="2">
        <f>IFERROR(__xludf.DUMMYFUNCTION("""COMPUTED_VALUE"""),1.37)</f>
        <v>1.37</v>
      </c>
      <c r="C18" s="2">
        <f>IFERROR(__xludf.DUMMYFUNCTION("""COMPUTED_VALUE"""),1.42)</f>
        <v>1.42</v>
      </c>
      <c r="D18" s="2">
        <f>IFERROR(__xludf.DUMMYFUNCTION("""COMPUTED_VALUE"""),1.36)</f>
        <v>1.36</v>
      </c>
      <c r="E18" s="2">
        <f>IFERROR(__xludf.DUMMYFUNCTION("""COMPUTED_VALUE"""),1.4)</f>
        <v>1.4</v>
      </c>
      <c r="F18" s="2">
        <f>IFERROR(__xludf.DUMMYFUNCTION("""COMPUTED_VALUE"""),962345.0)</f>
        <v>962345</v>
      </c>
    </row>
    <row r="19">
      <c r="A19" s="3">
        <f>IFERROR(__xludf.DUMMYFUNCTION("""COMPUTED_VALUE"""),40382.666666666664)</f>
        <v>40382.66667</v>
      </c>
      <c r="B19" s="2">
        <f>IFERROR(__xludf.DUMMYFUNCTION("""COMPUTED_VALUE"""),1.41)</f>
        <v>1.41</v>
      </c>
      <c r="C19" s="2">
        <f>IFERROR(__xludf.DUMMYFUNCTION("""COMPUTED_VALUE"""),1.44)</f>
        <v>1.44</v>
      </c>
      <c r="D19" s="2">
        <f>IFERROR(__xludf.DUMMYFUNCTION("""COMPUTED_VALUE"""),1.4)</f>
        <v>1.4</v>
      </c>
      <c r="E19" s="2">
        <f>IFERROR(__xludf.DUMMYFUNCTION("""COMPUTED_VALUE"""),1.42)</f>
        <v>1.42</v>
      </c>
      <c r="F19" s="2">
        <f>IFERROR(__xludf.DUMMYFUNCTION("""COMPUTED_VALUE"""),654049.0)</f>
        <v>654049</v>
      </c>
    </row>
    <row r="20">
      <c r="A20" s="3">
        <f>IFERROR(__xludf.DUMMYFUNCTION("""COMPUTED_VALUE"""),40385.666666666664)</f>
        <v>40385.66667</v>
      </c>
      <c r="B20" s="2">
        <f>IFERROR(__xludf.DUMMYFUNCTION("""COMPUTED_VALUE"""),1.43)</f>
        <v>1.43</v>
      </c>
      <c r="C20" s="2">
        <f>IFERROR(__xludf.DUMMYFUNCTION("""COMPUTED_VALUE"""),1.43)</f>
        <v>1.43</v>
      </c>
      <c r="D20" s="2">
        <f>IFERROR(__xludf.DUMMYFUNCTION("""COMPUTED_VALUE"""),1.35)</f>
        <v>1.35</v>
      </c>
      <c r="E20" s="2">
        <f>IFERROR(__xludf.DUMMYFUNCTION("""COMPUTED_VALUE"""),1.4)</f>
        <v>1.4</v>
      </c>
      <c r="F20" s="2">
        <f>IFERROR(__xludf.DUMMYFUNCTION("""COMPUTED_VALUE"""),896280.0)</f>
        <v>896280</v>
      </c>
    </row>
    <row r="21">
      <c r="A21" s="3">
        <f>IFERROR(__xludf.DUMMYFUNCTION("""COMPUTED_VALUE"""),40386.666666666664)</f>
        <v>40386.66667</v>
      </c>
      <c r="B21" s="2">
        <f>IFERROR(__xludf.DUMMYFUNCTION("""COMPUTED_VALUE"""),1.39)</f>
        <v>1.39</v>
      </c>
      <c r="C21" s="2">
        <f>IFERROR(__xludf.DUMMYFUNCTION("""COMPUTED_VALUE"""),1.41)</f>
        <v>1.41</v>
      </c>
      <c r="D21" s="2">
        <f>IFERROR(__xludf.DUMMYFUNCTION("""COMPUTED_VALUE"""),1.35)</f>
        <v>1.35</v>
      </c>
      <c r="E21" s="2">
        <f>IFERROR(__xludf.DUMMYFUNCTION("""COMPUTED_VALUE"""),1.37)</f>
        <v>1.37</v>
      </c>
      <c r="F21" s="2">
        <f>IFERROR(__xludf.DUMMYFUNCTION("""COMPUTED_VALUE"""),619675.0)</f>
        <v>619675</v>
      </c>
    </row>
    <row r="22">
      <c r="A22" s="3">
        <f>IFERROR(__xludf.DUMMYFUNCTION("""COMPUTED_VALUE"""),40387.666666666664)</f>
        <v>40387.66667</v>
      </c>
      <c r="B22" s="2">
        <f>IFERROR(__xludf.DUMMYFUNCTION("""COMPUTED_VALUE"""),1.37)</f>
        <v>1.37</v>
      </c>
      <c r="C22" s="2">
        <f>IFERROR(__xludf.DUMMYFUNCTION("""COMPUTED_VALUE"""),1.39)</f>
        <v>1.39</v>
      </c>
      <c r="D22" s="2">
        <f>IFERROR(__xludf.DUMMYFUNCTION("""COMPUTED_VALUE"""),1.37)</f>
        <v>1.37</v>
      </c>
      <c r="E22" s="2">
        <f>IFERROR(__xludf.DUMMYFUNCTION("""COMPUTED_VALUE"""),1.38)</f>
        <v>1.38</v>
      </c>
      <c r="F22" s="2">
        <f>IFERROR(__xludf.DUMMYFUNCTION("""COMPUTED_VALUE"""),467183.0)</f>
        <v>467183</v>
      </c>
    </row>
    <row r="23">
      <c r="A23" s="3">
        <f>IFERROR(__xludf.DUMMYFUNCTION("""COMPUTED_VALUE"""),40388.666666666664)</f>
        <v>40388.66667</v>
      </c>
      <c r="B23" s="2">
        <f>IFERROR(__xludf.DUMMYFUNCTION("""COMPUTED_VALUE"""),1.38)</f>
        <v>1.38</v>
      </c>
      <c r="C23" s="2">
        <f>IFERROR(__xludf.DUMMYFUNCTION("""COMPUTED_VALUE"""),1.39)</f>
        <v>1.39</v>
      </c>
      <c r="D23" s="2">
        <f>IFERROR(__xludf.DUMMYFUNCTION("""COMPUTED_VALUE"""),1.33)</f>
        <v>1.33</v>
      </c>
      <c r="E23" s="2">
        <f>IFERROR(__xludf.DUMMYFUNCTION("""COMPUTED_VALUE"""),1.36)</f>
        <v>1.36</v>
      </c>
      <c r="F23" s="2">
        <f>IFERROR(__xludf.DUMMYFUNCTION("""COMPUTED_VALUE"""),615910.0)</f>
        <v>615910</v>
      </c>
    </row>
    <row r="24">
      <c r="A24" s="3">
        <f>IFERROR(__xludf.DUMMYFUNCTION("""COMPUTED_VALUE"""),40389.666666666664)</f>
        <v>40389.66667</v>
      </c>
      <c r="B24" s="2">
        <f>IFERROR(__xludf.DUMMYFUNCTION("""COMPUTED_VALUE"""),1.35)</f>
        <v>1.35</v>
      </c>
      <c r="C24" s="2">
        <f>IFERROR(__xludf.DUMMYFUNCTION("""COMPUTED_VALUE"""),1.36)</f>
        <v>1.36</v>
      </c>
      <c r="D24" s="2">
        <f>IFERROR(__xludf.DUMMYFUNCTION("""COMPUTED_VALUE"""),1.3)</f>
        <v>1.3</v>
      </c>
      <c r="E24" s="2">
        <f>IFERROR(__xludf.DUMMYFUNCTION("""COMPUTED_VALUE"""),1.33)</f>
        <v>1.33</v>
      </c>
      <c r="F24" s="2">
        <f>IFERROR(__xludf.DUMMYFUNCTION("""COMPUTED_VALUE"""),426830.0)</f>
        <v>426830</v>
      </c>
    </row>
    <row r="25">
      <c r="A25" s="3">
        <f>IFERROR(__xludf.DUMMYFUNCTION("""COMPUTED_VALUE"""),40392.666666666664)</f>
        <v>40392.66667</v>
      </c>
      <c r="B25" s="2">
        <f>IFERROR(__xludf.DUMMYFUNCTION("""COMPUTED_VALUE"""),1.36)</f>
        <v>1.36</v>
      </c>
      <c r="C25" s="2">
        <f>IFERROR(__xludf.DUMMYFUNCTION("""COMPUTED_VALUE"""),1.4)</f>
        <v>1.4</v>
      </c>
      <c r="D25" s="2">
        <f>IFERROR(__xludf.DUMMYFUNCTION("""COMPUTED_VALUE"""),1.36)</f>
        <v>1.36</v>
      </c>
      <c r="E25" s="2">
        <f>IFERROR(__xludf.DUMMYFUNCTION("""COMPUTED_VALUE"""),1.39)</f>
        <v>1.39</v>
      </c>
      <c r="F25" s="2">
        <f>IFERROR(__xludf.DUMMYFUNCTION("""COMPUTED_VALUE"""),719145.0)</f>
        <v>719145</v>
      </c>
    </row>
    <row r="26">
      <c r="A26" s="3">
        <f>IFERROR(__xludf.DUMMYFUNCTION("""COMPUTED_VALUE"""),40393.666666666664)</f>
        <v>40393.66667</v>
      </c>
      <c r="B26" s="2">
        <f>IFERROR(__xludf.DUMMYFUNCTION("""COMPUTED_VALUE"""),1.4)</f>
        <v>1.4</v>
      </c>
      <c r="C26" s="2">
        <f>IFERROR(__xludf.DUMMYFUNCTION("""COMPUTED_VALUE"""),1.46)</f>
        <v>1.46</v>
      </c>
      <c r="D26" s="2">
        <f>IFERROR(__xludf.DUMMYFUNCTION("""COMPUTED_VALUE"""),1.39)</f>
        <v>1.39</v>
      </c>
      <c r="E26" s="2">
        <f>IFERROR(__xludf.DUMMYFUNCTION("""COMPUTED_VALUE"""),1.46)</f>
        <v>1.46</v>
      </c>
      <c r="F26" s="2">
        <f>IFERROR(__xludf.DUMMYFUNCTION("""COMPUTED_VALUE"""),1231023.0)</f>
        <v>1231023</v>
      </c>
    </row>
    <row r="27">
      <c r="A27" s="3">
        <f>IFERROR(__xludf.DUMMYFUNCTION("""COMPUTED_VALUE"""),40394.666666666664)</f>
        <v>40394.66667</v>
      </c>
      <c r="B27" s="2">
        <f>IFERROR(__xludf.DUMMYFUNCTION("""COMPUTED_VALUE"""),1.46)</f>
        <v>1.46</v>
      </c>
      <c r="C27" s="2">
        <f>IFERROR(__xludf.DUMMYFUNCTION("""COMPUTED_VALUE"""),1.48)</f>
        <v>1.48</v>
      </c>
      <c r="D27" s="2">
        <f>IFERROR(__xludf.DUMMYFUNCTION("""COMPUTED_VALUE"""),1.39)</f>
        <v>1.39</v>
      </c>
      <c r="E27" s="2">
        <f>IFERROR(__xludf.DUMMYFUNCTION("""COMPUTED_VALUE"""),1.42)</f>
        <v>1.42</v>
      </c>
      <c r="F27" s="2">
        <f>IFERROR(__xludf.DUMMYFUNCTION("""COMPUTED_VALUE"""),920756.0)</f>
        <v>920756</v>
      </c>
    </row>
    <row r="28">
      <c r="A28" s="3">
        <f>IFERROR(__xludf.DUMMYFUNCTION("""COMPUTED_VALUE"""),40395.666666666664)</f>
        <v>40395.66667</v>
      </c>
      <c r="B28" s="2">
        <f>IFERROR(__xludf.DUMMYFUNCTION("""COMPUTED_VALUE"""),1.44)</f>
        <v>1.44</v>
      </c>
      <c r="C28" s="2">
        <f>IFERROR(__xludf.DUMMYFUNCTION("""COMPUTED_VALUE"""),1.44)</f>
        <v>1.44</v>
      </c>
      <c r="D28" s="2">
        <f>IFERROR(__xludf.DUMMYFUNCTION("""COMPUTED_VALUE"""),1.34)</f>
        <v>1.34</v>
      </c>
      <c r="E28" s="2">
        <f>IFERROR(__xludf.DUMMYFUNCTION("""COMPUTED_VALUE"""),1.36)</f>
        <v>1.36</v>
      </c>
      <c r="F28" s="2">
        <f>IFERROR(__xludf.DUMMYFUNCTION("""COMPUTED_VALUE"""),796380.0)</f>
        <v>796380</v>
      </c>
    </row>
    <row r="29">
      <c r="A29" s="3">
        <f>IFERROR(__xludf.DUMMYFUNCTION("""COMPUTED_VALUE"""),40396.666666666664)</f>
        <v>40396.66667</v>
      </c>
      <c r="B29" s="2">
        <f>IFERROR(__xludf.DUMMYFUNCTION("""COMPUTED_VALUE"""),1.34)</f>
        <v>1.34</v>
      </c>
      <c r="C29" s="2">
        <f>IFERROR(__xludf.DUMMYFUNCTION("""COMPUTED_VALUE"""),1.34)</f>
        <v>1.34</v>
      </c>
      <c r="D29" s="2">
        <f>IFERROR(__xludf.DUMMYFUNCTION("""COMPUTED_VALUE"""),1.3)</f>
        <v>1.3</v>
      </c>
      <c r="E29" s="2">
        <f>IFERROR(__xludf.DUMMYFUNCTION("""COMPUTED_VALUE"""),1.31)</f>
        <v>1.31</v>
      </c>
      <c r="F29" s="2">
        <f>IFERROR(__xludf.DUMMYFUNCTION("""COMPUTED_VALUE"""),742138.0)</f>
        <v>742138</v>
      </c>
    </row>
    <row r="30">
      <c r="A30" s="3">
        <f>IFERROR(__xludf.DUMMYFUNCTION("""COMPUTED_VALUE"""),40399.666666666664)</f>
        <v>40399.66667</v>
      </c>
      <c r="B30" s="2">
        <f>IFERROR(__xludf.DUMMYFUNCTION("""COMPUTED_VALUE"""),1.33)</f>
        <v>1.33</v>
      </c>
      <c r="C30" s="2">
        <f>IFERROR(__xludf.DUMMYFUNCTION("""COMPUTED_VALUE"""),1.33)</f>
        <v>1.33</v>
      </c>
      <c r="D30" s="2">
        <f>IFERROR(__xludf.DUMMYFUNCTION("""COMPUTED_VALUE"""),1.3)</f>
        <v>1.3</v>
      </c>
      <c r="E30" s="2">
        <f>IFERROR(__xludf.DUMMYFUNCTION("""COMPUTED_VALUE"""),1.31)</f>
        <v>1.31</v>
      </c>
      <c r="F30" s="2">
        <f>IFERROR(__xludf.DUMMYFUNCTION("""COMPUTED_VALUE"""),812656.0)</f>
        <v>812656</v>
      </c>
    </row>
    <row r="31">
      <c r="A31" s="3">
        <f>IFERROR(__xludf.DUMMYFUNCTION("""COMPUTED_VALUE"""),40400.666666666664)</f>
        <v>40400.66667</v>
      </c>
      <c r="B31" s="2">
        <f>IFERROR(__xludf.DUMMYFUNCTION("""COMPUTED_VALUE"""),1.31)</f>
        <v>1.31</v>
      </c>
      <c r="C31" s="2">
        <f>IFERROR(__xludf.DUMMYFUNCTION("""COMPUTED_VALUE"""),1.31)</f>
        <v>1.31</v>
      </c>
      <c r="D31" s="2">
        <f>IFERROR(__xludf.DUMMYFUNCTION("""COMPUTED_VALUE"""),1.25)</f>
        <v>1.25</v>
      </c>
      <c r="E31" s="2">
        <f>IFERROR(__xludf.DUMMYFUNCTION("""COMPUTED_VALUE"""),1.27)</f>
        <v>1.27</v>
      </c>
      <c r="F31" s="2">
        <f>IFERROR(__xludf.DUMMYFUNCTION("""COMPUTED_VALUE"""),1281286.0)</f>
        <v>1281286</v>
      </c>
    </row>
    <row r="32">
      <c r="A32" s="3">
        <f>IFERROR(__xludf.DUMMYFUNCTION("""COMPUTED_VALUE"""),40401.666666666664)</f>
        <v>40401.66667</v>
      </c>
      <c r="B32" s="2">
        <f>IFERROR(__xludf.DUMMYFUNCTION("""COMPUTED_VALUE"""),1.25)</f>
        <v>1.25</v>
      </c>
      <c r="C32" s="2">
        <f>IFERROR(__xludf.DUMMYFUNCTION("""COMPUTED_VALUE"""),1.26)</f>
        <v>1.26</v>
      </c>
      <c r="D32" s="2">
        <f>IFERROR(__xludf.DUMMYFUNCTION("""COMPUTED_VALUE"""),1.19)</f>
        <v>1.19</v>
      </c>
      <c r="E32" s="2">
        <f>IFERROR(__xludf.DUMMYFUNCTION("""COMPUTED_VALUE"""),1.19)</f>
        <v>1.19</v>
      </c>
      <c r="F32" s="2">
        <f>IFERROR(__xludf.DUMMYFUNCTION("""COMPUTED_VALUE"""),797650.0)</f>
        <v>797650</v>
      </c>
    </row>
    <row r="33">
      <c r="A33" s="3">
        <f>IFERROR(__xludf.DUMMYFUNCTION("""COMPUTED_VALUE"""),40402.666666666664)</f>
        <v>40402.66667</v>
      </c>
      <c r="B33" s="2">
        <f>IFERROR(__xludf.DUMMYFUNCTION("""COMPUTED_VALUE"""),1.19)</f>
        <v>1.19</v>
      </c>
      <c r="C33" s="2">
        <f>IFERROR(__xludf.DUMMYFUNCTION("""COMPUTED_VALUE"""),1.19)</f>
        <v>1.19</v>
      </c>
      <c r="D33" s="2">
        <f>IFERROR(__xludf.DUMMYFUNCTION("""COMPUTED_VALUE"""),1.16)</f>
        <v>1.16</v>
      </c>
      <c r="E33" s="2">
        <f>IFERROR(__xludf.DUMMYFUNCTION("""COMPUTED_VALUE"""),1.17)</f>
        <v>1.17</v>
      </c>
      <c r="F33" s="2">
        <f>IFERROR(__xludf.DUMMYFUNCTION("""COMPUTED_VALUE"""),691281.0)</f>
        <v>691281</v>
      </c>
    </row>
    <row r="34">
      <c r="A34" s="3">
        <f>IFERROR(__xludf.DUMMYFUNCTION("""COMPUTED_VALUE"""),40403.666666666664)</f>
        <v>40403.66667</v>
      </c>
      <c r="B34" s="2">
        <f>IFERROR(__xludf.DUMMYFUNCTION("""COMPUTED_VALUE"""),1.21)</f>
        <v>1.21</v>
      </c>
      <c r="C34" s="2">
        <f>IFERROR(__xludf.DUMMYFUNCTION("""COMPUTED_VALUE"""),1.23)</f>
        <v>1.23</v>
      </c>
      <c r="D34" s="2">
        <f>IFERROR(__xludf.DUMMYFUNCTION("""COMPUTED_VALUE"""),1.18)</f>
        <v>1.18</v>
      </c>
      <c r="E34" s="2">
        <f>IFERROR(__xludf.DUMMYFUNCTION("""COMPUTED_VALUE"""),1.22)</f>
        <v>1.22</v>
      </c>
      <c r="F34" s="2">
        <f>IFERROR(__xludf.DUMMYFUNCTION("""COMPUTED_VALUE"""),634513.0)</f>
        <v>634513</v>
      </c>
    </row>
    <row r="35">
      <c r="A35" s="3">
        <f>IFERROR(__xludf.DUMMYFUNCTION("""COMPUTED_VALUE"""),40406.666666666664)</f>
        <v>40406.66667</v>
      </c>
      <c r="B35" s="2">
        <f>IFERROR(__xludf.DUMMYFUNCTION("""COMPUTED_VALUE"""),1.23)</f>
        <v>1.23</v>
      </c>
      <c r="C35" s="2">
        <f>IFERROR(__xludf.DUMMYFUNCTION("""COMPUTED_VALUE"""),1.25)</f>
        <v>1.25</v>
      </c>
      <c r="D35" s="2">
        <f>IFERROR(__xludf.DUMMYFUNCTION("""COMPUTED_VALUE"""),1.22)</f>
        <v>1.22</v>
      </c>
      <c r="E35" s="2">
        <f>IFERROR(__xludf.DUMMYFUNCTION("""COMPUTED_VALUE"""),1.25)</f>
        <v>1.25</v>
      </c>
      <c r="F35" s="2">
        <f>IFERROR(__xludf.DUMMYFUNCTION("""COMPUTED_VALUE"""),486211.0)</f>
        <v>486211</v>
      </c>
    </row>
    <row r="36">
      <c r="A36" s="3">
        <f>IFERROR(__xludf.DUMMYFUNCTION("""COMPUTED_VALUE"""),40407.666666666664)</f>
        <v>40407.66667</v>
      </c>
      <c r="B36" s="2">
        <f>IFERROR(__xludf.DUMMYFUNCTION("""COMPUTED_VALUE"""),1.26)</f>
        <v>1.26</v>
      </c>
      <c r="C36" s="2">
        <f>IFERROR(__xludf.DUMMYFUNCTION("""COMPUTED_VALUE"""),1.29)</f>
        <v>1.29</v>
      </c>
      <c r="D36" s="2">
        <f>IFERROR(__xludf.DUMMYFUNCTION("""COMPUTED_VALUE"""),1.25)</f>
        <v>1.25</v>
      </c>
      <c r="E36" s="2">
        <f>IFERROR(__xludf.DUMMYFUNCTION("""COMPUTED_VALUE"""),1.28)</f>
        <v>1.28</v>
      </c>
      <c r="F36" s="2">
        <f>IFERROR(__xludf.DUMMYFUNCTION("""COMPUTED_VALUE"""),447881.0)</f>
        <v>447881</v>
      </c>
    </row>
    <row r="37">
      <c r="A37" s="3">
        <f>IFERROR(__xludf.DUMMYFUNCTION("""COMPUTED_VALUE"""),40408.666666666664)</f>
        <v>40408.66667</v>
      </c>
      <c r="B37" s="2">
        <f>IFERROR(__xludf.DUMMYFUNCTION("""COMPUTED_VALUE"""),1.31)</f>
        <v>1.31</v>
      </c>
      <c r="C37" s="2">
        <f>IFERROR(__xludf.DUMMYFUNCTION("""COMPUTED_VALUE"""),1.31)</f>
        <v>1.31</v>
      </c>
      <c r="D37" s="2">
        <f>IFERROR(__xludf.DUMMYFUNCTION("""COMPUTED_VALUE"""),1.24)</f>
        <v>1.24</v>
      </c>
      <c r="E37" s="2">
        <f>IFERROR(__xludf.DUMMYFUNCTION("""COMPUTED_VALUE"""),1.25)</f>
        <v>1.25</v>
      </c>
      <c r="F37" s="2">
        <f>IFERROR(__xludf.DUMMYFUNCTION("""COMPUTED_VALUE"""),601332.0)</f>
        <v>601332</v>
      </c>
    </row>
    <row r="38">
      <c r="A38" s="3">
        <f>IFERROR(__xludf.DUMMYFUNCTION("""COMPUTED_VALUE"""),40409.666666666664)</f>
        <v>40409.66667</v>
      </c>
      <c r="B38" s="2">
        <f>IFERROR(__xludf.DUMMYFUNCTION("""COMPUTED_VALUE"""),1.24)</f>
        <v>1.24</v>
      </c>
      <c r="C38" s="2">
        <f>IFERROR(__xludf.DUMMYFUNCTION("""COMPUTED_VALUE"""),1.28)</f>
        <v>1.28</v>
      </c>
      <c r="D38" s="2">
        <f>IFERROR(__xludf.DUMMYFUNCTION("""COMPUTED_VALUE"""),1.22)</f>
        <v>1.22</v>
      </c>
      <c r="E38" s="2">
        <f>IFERROR(__xludf.DUMMYFUNCTION("""COMPUTED_VALUE"""),1.25)</f>
        <v>1.25</v>
      </c>
      <c r="F38" s="2">
        <f>IFERROR(__xludf.DUMMYFUNCTION("""COMPUTED_VALUE"""),579082.0)</f>
        <v>579082</v>
      </c>
    </row>
    <row r="39">
      <c r="A39" s="3">
        <f>IFERROR(__xludf.DUMMYFUNCTION("""COMPUTED_VALUE"""),40410.666666666664)</f>
        <v>40410.66667</v>
      </c>
      <c r="B39" s="2">
        <f>IFERROR(__xludf.DUMMYFUNCTION("""COMPUTED_VALUE"""),1.24)</f>
        <v>1.24</v>
      </c>
      <c r="C39" s="2">
        <f>IFERROR(__xludf.DUMMYFUNCTION("""COMPUTED_VALUE"""),1.27)</f>
        <v>1.27</v>
      </c>
      <c r="D39" s="2">
        <f>IFERROR(__xludf.DUMMYFUNCTION("""COMPUTED_VALUE"""),1.23)</f>
        <v>1.23</v>
      </c>
      <c r="E39" s="2">
        <f>IFERROR(__xludf.DUMMYFUNCTION("""COMPUTED_VALUE"""),1.27)</f>
        <v>1.27</v>
      </c>
      <c r="F39" s="2">
        <f>IFERROR(__xludf.DUMMYFUNCTION("""COMPUTED_VALUE"""),297499.0)</f>
        <v>297499</v>
      </c>
    </row>
    <row r="40">
      <c r="A40" s="3">
        <f>IFERROR(__xludf.DUMMYFUNCTION("""COMPUTED_VALUE"""),40413.666666666664)</f>
        <v>40413.66667</v>
      </c>
      <c r="B40" s="2">
        <f>IFERROR(__xludf.DUMMYFUNCTION("""COMPUTED_VALUE"""),1.27)</f>
        <v>1.27</v>
      </c>
      <c r="C40" s="2">
        <f>IFERROR(__xludf.DUMMYFUNCTION("""COMPUTED_VALUE"""),1.36)</f>
        <v>1.36</v>
      </c>
      <c r="D40" s="2">
        <f>IFERROR(__xludf.DUMMYFUNCTION("""COMPUTED_VALUE"""),1.27)</f>
        <v>1.27</v>
      </c>
      <c r="E40" s="2">
        <f>IFERROR(__xludf.DUMMYFUNCTION("""COMPUTED_VALUE"""),1.34)</f>
        <v>1.34</v>
      </c>
      <c r="F40" s="2">
        <f>IFERROR(__xludf.DUMMYFUNCTION("""COMPUTED_VALUE"""),1088029.0)</f>
        <v>1088029</v>
      </c>
    </row>
    <row r="41">
      <c r="A41" s="3">
        <f>IFERROR(__xludf.DUMMYFUNCTION("""COMPUTED_VALUE"""),40414.666666666664)</f>
        <v>40414.66667</v>
      </c>
      <c r="B41" s="2">
        <f>IFERROR(__xludf.DUMMYFUNCTION("""COMPUTED_VALUE"""),1.29)</f>
        <v>1.29</v>
      </c>
      <c r="C41" s="2">
        <f>IFERROR(__xludf.DUMMYFUNCTION("""COMPUTED_VALUE"""),1.31)</f>
        <v>1.31</v>
      </c>
      <c r="D41" s="2">
        <f>IFERROR(__xludf.DUMMYFUNCTION("""COMPUTED_VALUE"""),1.26)</f>
        <v>1.26</v>
      </c>
      <c r="E41" s="2">
        <f>IFERROR(__xludf.DUMMYFUNCTION("""COMPUTED_VALUE"""),1.28)</f>
        <v>1.28</v>
      </c>
      <c r="F41" s="2">
        <f>IFERROR(__xludf.DUMMYFUNCTION("""COMPUTED_VALUE"""),673074.0)</f>
        <v>673074</v>
      </c>
    </row>
    <row r="42">
      <c r="A42" s="3">
        <f>IFERROR(__xludf.DUMMYFUNCTION("""COMPUTED_VALUE"""),40415.666666666664)</f>
        <v>40415.66667</v>
      </c>
      <c r="B42" s="2">
        <f>IFERROR(__xludf.DUMMYFUNCTION("""COMPUTED_VALUE"""),1.28)</f>
        <v>1.28</v>
      </c>
      <c r="C42" s="2">
        <f>IFERROR(__xludf.DUMMYFUNCTION("""COMPUTED_VALUE"""),1.33)</f>
        <v>1.33</v>
      </c>
      <c r="D42" s="2">
        <f>IFERROR(__xludf.DUMMYFUNCTION("""COMPUTED_VALUE"""),1.24)</f>
        <v>1.24</v>
      </c>
      <c r="E42" s="2">
        <f>IFERROR(__xludf.DUMMYFUNCTION("""COMPUTED_VALUE"""),1.33)</f>
        <v>1.33</v>
      </c>
      <c r="F42" s="2">
        <f>IFERROR(__xludf.DUMMYFUNCTION("""COMPUTED_VALUE"""),503289.0)</f>
        <v>503289</v>
      </c>
    </row>
    <row r="43">
      <c r="A43" s="3">
        <f>IFERROR(__xludf.DUMMYFUNCTION("""COMPUTED_VALUE"""),40416.666666666664)</f>
        <v>40416.66667</v>
      </c>
      <c r="B43" s="2">
        <f>IFERROR(__xludf.DUMMYFUNCTION("""COMPUTED_VALUE"""),1.33)</f>
        <v>1.33</v>
      </c>
      <c r="C43" s="2">
        <f>IFERROR(__xludf.DUMMYFUNCTION("""COMPUTED_VALUE"""),1.35)</f>
        <v>1.35</v>
      </c>
      <c r="D43" s="2">
        <f>IFERROR(__xludf.DUMMYFUNCTION("""COMPUTED_VALUE"""),1.31)</f>
        <v>1.31</v>
      </c>
      <c r="E43" s="2">
        <f>IFERROR(__xludf.DUMMYFUNCTION("""COMPUTED_VALUE"""),1.32)</f>
        <v>1.32</v>
      </c>
      <c r="F43" s="2">
        <f>IFERROR(__xludf.DUMMYFUNCTION("""COMPUTED_VALUE"""),433736.0)</f>
        <v>433736</v>
      </c>
    </row>
    <row r="44">
      <c r="A44" s="3">
        <f>IFERROR(__xludf.DUMMYFUNCTION("""COMPUTED_VALUE"""),40417.666666666664)</f>
        <v>40417.66667</v>
      </c>
      <c r="B44" s="2">
        <f>IFERROR(__xludf.DUMMYFUNCTION("""COMPUTED_VALUE"""),1.32)</f>
        <v>1.32</v>
      </c>
      <c r="C44" s="2">
        <f>IFERROR(__xludf.DUMMYFUNCTION("""COMPUTED_VALUE"""),1.32)</f>
        <v>1.32</v>
      </c>
      <c r="D44" s="2">
        <f>IFERROR(__xludf.DUMMYFUNCTION("""COMPUTED_VALUE"""),1.3)</f>
        <v>1.3</v>
      </c>
      <c r="E44" s="2">
        <f>IFERROR(__xludf.DUMMYFUNCTION("""COMPUTED_VALUE"""),1.31)</f>
        <v>1.31</v>
      </c>
      <c r="F44" s="2">
        <f>IFERROR(__xludf.DUMMYFUNCTION("""COMPUTED_VALUE"""),379642.0)</f>
        <v>379642</v>
      </c>
    </row>
    <row r="45">
      <c r="A45" s="3">
        <f>IFERROR(__xludf.DUMMYFUNCTION("""COMPUTED_VALUE"""),40420.666666666664)</f>
        <v>40420.66667</v>
      </c>
      <c r="B45" s="2">
        <f>IFERROR(__xludf.DUMMYFUNCTION("""COMPUTED_VALUE"""),1.31)</f>
        <v>1.31</v>
      </c>
      <c r="C45" s="2">
        <f>IFERROR(__xludf.DUMMYFUNCTION("""COMPUTED_VALUE"""),1.35)</f>
        <v>1.35</v>
      </c>
      <c r="D45" s="2">
        <f>IFERROR(__xludf.DUMMYFUNCTION("""COMPUTED_VALUE"""),1.31)</f>
        <v>1.31</v>
      </c>
      <c r="E45" s="2">
        <f>IFERROR(__xludf.DUMMYFUNCTION("""COMPUTED_VALUE"""),1.32)</f>
        <v>1.32</v>
      </c>
      <c r="F45" s="2">
        <f>IFERROR(__xludf.DUMMYFUNCTION("""COMPUTED_VALUE"""),732731.0)</f>
        <v>732731</v>
      </c>
    </row>
    <row r="46">
      <c r="A46" s="3">
        <f>IFERROR(__xludf.DUMMYFUNCTION("""COMPUTED_VALUE"""),40421.666666666664)</f>
        <v>40421.66667</v>
      </c>
      <c r="B46" s="2">
        <f>IFERROR(__xludf.DUMMYFUNCTION("""COMPUTED_VALUE"""),1.31)</f>
        <v>1.31</v>
      </c>
      <c r="C46" s="2">
        <f>IFERROR(__xludf.DUMMYFUNCTION("""COMPUTED_VALUE"""),1.32)</f>
        <v>1.32</v>
      </c>
      <c r="D46" s="2">
        <f>IFERROR(__xludf.DUMMYFUNCTION("""COMPUTED_VALUE"""),1.29)</f>
        <v>1.29</v>
      </c>
      <c r="E46" s="2">
        <f>IFERROR(__xludf.DUMMYFUNCTION("""COMPUTED_VALUE"""),1.3)</f>
        <v>1.3</v>
      </c>
      <c r="F46" s="2">
        <f>IFERROR(__xludf.DUMMYFUNCTION("""COMPUTED_VALUE"""),201012.0)</f>
        <v>201012</v>
      </c>
    </row>
    <row r="47">
      <c r="A47" s="3">
        <f>IFERROR(__xludf.DUMMYFUNCTION("""COMPUTED_VALUE"""),40422.666666666664)</f>
        <v>40422.66667</v>
      </c>
      <c r="B47" s="2">
        <f>IFERROR(__xludf.DUMMYFUNCTION("""COMPUTED_VALUE"""),1.31)</f>
        <v>1.31</v>
      </c>
      <c r="C47" s="2">
        <f>IFERROR(__xludf.DUMMYFUNCTION("""COMPUTED_VALUE"""),1.38)</f>
        <v>1.38</v>
      </c>
      <c r="D47" s="2">
        <f>IFERROR(__xludf.DUMMYFUNCTION("""COMPUTED_VALUE"""),1.31)</f>
        <v>1.31</v>
      </c>
      <c r="E47" s="2">
        <f>IFERROR(__xludf.DUMMYFUNCTION("""COMPUTED_VALUE"""),1.36)</f>
        <v>1.36</v>
      </c>
      <c r="F47" s="2">
        <f>IFERROR(__xludf.DUMMYFUNCTION("""COMPUTED_VALUE"""),495685.0)</f>
        <v>495685</v>
      </c>
    </row>
    <row r="48">
      <c r="A48" s="3">
        <f>IFERROR(__xludf.DUMMYFUNCTION("""COMPUTED_VALUE"""),40423.666666666664)</f>
        <v>40423.66667</v>
      </c>
      <c r="B48" s="2">
        <f>IFERROR(__xludf.DUMMYFUNCTION("""COMPUTED_VALUE"""),1.36)</f>
        <v>1.36</v>
      </c>
      <c r="C48" s="2">
        <f>IFERROR(__xludf.DUMMYFUNCTION("""COMPUTED_VALUE"""),1.42)</f>
        <v>1.42</v>
      </c>
      <c r="D48" s="2">
        <f>IFERROR(__xludf.DUMMYFUNCTION("""COMPUTED_VALUE"""),1.35)</f>
        <v>1.35</v>
      </c>
      <c r="E48" s="2">
        <f>IFERROR(__xludf.DUMMYFUNCTION("""COMPUTED_VALUE"""),1.4)</f>
        <v>1.4</v>
      </c>
      <c r="F48" s="2">
        <f>IFERROR(__xludf.DUMMYFUNCTION("""COMPUTED_VALUE"""),487060.0)</f>
        <v>487060</v>
      </c>
    </row>
    <row r="49">
      <c r="A49" s="3">
        <f>IFERROR(__xludf.DUMMYFUNCTION("""COMPUTED_VALUE"""),40424.666666666664)</f>
        <v>40424.66667</v>
      </c>
      <c r="B49" s="2">
        <f>IFERROR(__xludf.DUMMYFUNCTION("""COMPUTED_VALUE"""),1.39)</f>
        <v>1.39</v>
      </c>
      <c r="C49" s="2">
        <f>IFERROR(__xludf.DUMMYFUNCTION("""COMPUTED_VALUE"""),1.42)</f>
        <v>1.42</v>
      </c>
      <c r="D49" s="2">
        <f>IFERROR(__xludf.DUMMYFUNCTION("""COMPUTED_VALUE"""),1.38)</f>
        <v>1.38</v>
      </c>
      <c r="E49" s="2">
        <f>IFERROR(__xludf.DUMMYFUNCTION("""COMPUTED_VALUE"""),1.4)</f>
        <v>1.4</v>
      </c>
      <c r="F49" s="2">
        <f>IFERROR(__xludf.DUMMYFUNCTION("""COMPUTED_VALUE"""),434756.0)</f>
        <v>434756</v>
      </c>
    </row>
    <row r="50">
      <c r="A50" s="3">
        <f>IFERROR(__xludf.DUMMYFUNCTION("""COMPUTED_VALUE"""),40428.666666666664)</f>
        <v>40428.66667</v>
      </c>
      <c r="B50" s="2">
        <f>IFERROR(__xludf.DUMMYFUNCTION("""COMPUTED_VALUE"""),1.37)</f>
        <v>1.37</v>
      </c>
      <c r="C50" s="2">
        <f>IFERROR(__xludf.DUMMYFUNCTION("""COMPUTED_VALUE"""),1.4)</f>
        <v>1.4</v>
      </c>
      <c r="D50" s="2">
        <f>IFERROR(__xludf.DUMMYFUNCTION("""COMPUTED_VALUE"""),1.37)</f>
        <v>1.37</v>
      </c>
      <c r="E50" s="2">
        <f>IFERROR(__xludf.DUMMYFUNCTION("""COMPUTED_VALUE"""),1.37)</f>
        <v>1.37</v>
      </c>
      <c r="F50" s="2">
        <f>IFERROR(__xludf.DUMMYFUNCTION("""COMPUTED_VALUE"""),243335.0)</f>
        <v>243335</v>
      </c>
    </row>
    <row r="51">
      <c r="A51" s="3">
        <f>IFERROR(__xludf.DUMMYFUNCTION("""COMPUTED_VALUE"""),40429.666666666664)</f>
        <v>40429.66667</v>
      </c>
      <c r="B51" s="2">
        <f>IFERROR(__xludf.DUMMYFUNCTION("""COMPUTED_VALUE"""),1.38)</f>
        <v>1.38</v>
      </c>
      <c r="C51" s="2">
        <f>IFERROR(__xludf.DUMMYFUNCTION("""COMPUTED_VALUE"""),1.4)</f>
        <v>1.4</v>
      </c>
      <c r="D51" s="2">
        <f>IFERROR(__xludf.DUMMYFUNCTION("""COMPUTED_VALUE"""),1.37)</f>
        <v>1.37</v>
      </c>
      <c r="E51" s="2">
        <f>IFERROR(__xludf.DUMMYFUNCTION("""COMPUTED_VALUE"""),1.39)</f>
        <v>1.39</v>
      </c>
      <c r="F51" s="2">
        <f>IFERROR(__xludf.DUMMYFUNCTION("""COMPUTED_VALUE"""),288382.0)</f>
        <v>288382</v>
      </c>
    </row>
    <row r="52">
      <c r="A52" s="3">
        <f>IFERROR(__xludf.DUMMYFUNCTION("""COMPUTED_VALUE"""),40430.666666666664)</f>
        <v>40430.66667</v>
      </c>
      <c r="B52" s="2">
        <f>IFERROR(__xludf.DUMMYFUNCTION("""COMPUTED_VALUE"""),1.4)</f>
        <v>1.4</v>
      </c>
      <c r="C52" s="2">
        <f>IFERROR(__xludf.DUMMYFUNCTION("""COMPUTED_VALUE"""),1.4)</f>
        <v>1.4</v>
      </c>
      <c r="D52" s="2">
        <f>IFERROR(__xludf.DUMMYFUNCTION("""COMPUTED_VALUE"""),1.38)</f>
        <v>1.38</v>
      </c>
      <c r="E52" s="2">
        <f>IFERROR(__xludf.DUMMYFUNCTION("""COMPUTED_VALUE"""),1.38)</f>
        <v>1.38</v>
      </c>
      <c r="F52" s="2">
        <f>IFERROR(__xludf.DUMMYFUNCTION("""COMPUTED_VALUE"""),376197.0)</f>
        <v>376197</v>
      </c>
    </row>
    <row r="53">
      <c r="A53" s="3">
        <f>IFERROR(__xludf.DUMMYFUNCTION("""COMPUTED_VALUE"""),40431.666666666664)</f>
        <v>40431.66667</v>
      </c>
      <c r="B53" s="2">
        <f>IFERROR(__xludf.DUMMYFUNCTION("""COMPUTED_VALUE"""),1.38)</f>
        <v>1.38</v>
      </c>
      <c r="C53" s="2">
        <f>IFERROR(__xludf.DUMMYFUNCTION("""COMPUTED_VALUE"""),1.4)</f>
        <v>1.4</v>
      </c>
      <c r="D53" s="2">
        <f>IFERROR(__xludf.DUMMYFUNCTION("""COMPUTED_VALUE"""),1.32)</f>
        <v>1.32</v>
      </c>
      <c r="E53" s="2">
        <f>IFERROR(__xludf.DUMMYFUNCTION("""COMPUTED_VALUE"""),1.34)</f>
        <v>1.34</v>
      </c>
      <c r="F53" s="2">
        <f>IFERROR(__xludf.DUMMYFUNCTION("""COMPUTED_VALUE"""),386571.0)</f>
        <v>386571</v>
      </c>
    </row>
    <row r="54">
      <c r="A54" s="3">
        <f>IFERROR(__xludf.DUMMYFUNCTION("""COMPUTED_VALUE"""),40434.666666666664)</f>
        <v>40434.66667</v>
      </c>
      <c r="B54" s="2">
        <f>IFERROR(__xludf.DUMMYFUNCTION("""COMPUTED_VALUE"""),1.39)</f>
        <v>1.39</v>
      </c>
      <c r="C54" s="2">
        <f>IFERROR(__xludf.DUMMYFUNCTION("""COMPUTED_VALUE"""),1.39)</f>
        <v>1.39</v>
      </c>
      <c r="D54" s="2">
        <f>IFERROR(__xludf.DUMMYFUNCTION("""COMPUTED_VALUE"""),1.37)</f>
        <v>1.37</v>
      </c>
      <c r="E54" s="2">
        <f>IFERROR(__xludf.DUMMYFUNCTION("""COMPUTED_VALUE"""),1.38)</f>
        <v>1.38</v>
      </c>
      <c r="F54" s="2">
        <f>IFERROR(__xludf.DUMMYFUNCTION("""COMPUTED_VALUE"""),360703.0)</f>
        <v>360703</v>
      </c>
    </row>
    <row r="55">
      <c r="A55" s="3">
        <f>IFERROR(__xludf.DUMMYFUNCTION("""COMPUTED_VALUE"""),40435.666666666664)</f>
        <v>40435.66667</v>
      </c>
      <c r="B55" s="2">
        <f>IFERROR(__xludf.DUMMYFUNCTION("""COMPUTED_VALUE"""),1.37)</f>
        <v>1.37</v>
      </c>
      <c r="C55" s="2">
        <f>IFERROR(__xludf.DUMMYFUNCTION("""COMPUTED_VALUE"""),1.44)</f>
        <v>1.44</v>
      </c>
      <c r="D55" s="2">
        <f>IFERROR(__xludf.DUMMYFUNCTION("""COMPUTED_VALUE"""),1.37)</f>
        <v>1.37</v>
      </c>
      <c r="E55" s="2">
        <f>IFERROR(__xludf.DUMMYFUNCTION("""COMPUTED_VALUE"""),1.41)</f>
        <v>1.41</v>
      </c>
      <c r="F55" s="2">
        <f>IFERROR(__xludf.DUMMYFUNCTION("""COMPUTED_VALUE"""),654629.0)</f>
        <v>654629</v>
      </c>
    </row>
    <row r="56">
      <c r="A56" s="3">
        <f>IFERROR(__xludf.DUMMYFUNCTION("""COMPUTED_VALUE"""),40436.666666666664)</f>
        <v>40436.66667</v>
      </c>
      <c r="B56" s="2">
        <f>IFERROR(__xludf.DUMMYFUNCTION("""COMPUTED_VALUE"""),1.4)</f>
        <v>1.4</v>
      </c>
      <c r="C56" s="2">
        <f>IFERROR(__xludf.DUMMYFUNCTION("""COMPUTED_VALUE"""),1.47)</f>
        <v>1.47</v>
      </c>
      <c r="D56" s="2">
        <f>IFERROR(__xludf.DUMMYFUNCTION("""COMPUTED_VALUE"""),1.39)</f>
        <v>1.39</v>
      </c>
      <c r="E56" s="2">
        <f>IFERROR(__xludf.DUMMYFUNCTION("""COMPUTED_VALUE"""),1.47)</f>
        <v>1.47</v>
      </c>
      <c r="F56" s="2">
        <f>IFERROR(__xludf.DUMMYFUNCTION("""COMPUTED_VALUE"""),684758.0)</f>
        <v>684758</v>
      </c>
    </row>
    <row r="57">
      <c r="A57" s="3">
        <f>IFERROR(__xludf.DUMMYFUNCTION("""COMPUTED_VALUE"""),40437.666666666664)</f>
        <v>40437.66667</v>
      </c>
      <c r="B57" s="2">
        <f>IFERROR(__xludf.DUMMYFUNCTION("""COMPUTED_VALUE"""),1.47)</f>
        <v>1.47</v>
      </c>
      <c r="C57" s="2">
        <f>IFERROR(__xludf.DUMMYFUNCTION("""COMPUTED_VALUE"""),1.54)</f>
        <v>1.54</v>
      </c>
      <c r="D57" s="2">
        <f>IFERROR(__xludf.DUMMYFUNCTION("""COMPUTED_VALUE"""),1.39)</f>
        <v>1.39</v>
      </c>
      <c r="E57" s="2">
        <f>IFERROR(__xludf.DUMMYFUNCTION("""COMPUTED_VALUE"""),1.4)</f>
        <v>1.4</v>
      </c>
      <c r="F57" s="2">
        <f>IFERROR(__xludf.DUMMYFUNCTION("""COMPUTED_VALUE"""),2685880.0)</f>
        <v>2685880</v>
      </c>
    </row>
    <row r="58">
      <c r="A58" s="3">
        <f>IFERROR(__xludf.DUMMYFUNCTION("""COMPUTED_VALUE"""),40438.666666666664)</f>
        <v>40438.66667</v>
      </c>
      <c r="B58" s="2">
        <f>IFERROR(__xludf.DUMMYFUNCTION("""COMPUTED_VALUE"""),1.4)</f>
        <v>1.4</v>
      </c>
      <c r="C58" s="2">
        <f>IFERROR(__xludf.DUMMYFUNCTION("""COMPUTED_VALUE"""),1.42)</f>
        <v>1.42</v>
      </c>
      <c r="D58" s="2">
        <f>IFERROR(__xludf.DUMMYFUNCTION("""COMPUTED_VALUE"""),1.32)</f>
        <v>1.32</v>
      </c>
      <c r="E58" s="2">
        <f>IFERROR(__xludf.DUMMYFUNCTION("""COMPUTED_VALUE"""),1.35)</f>
        <v>1.35</v>
      </c>
      <c r="F58" s="2">
        <f>IFERROR(__xludf.DUMMYFUNCTION("""COMPUTED_VALUE"""),1198458.0)</f>
        <v>1198458</v>
      </c>
    </row>
    <row r="59">
      <c r="A59" s="3">
        <f>IFERROR(__xludf.DUMMYFUNCTION("""COMPUTED_VALUE"""),40441.666666666664)</f>
        <v>40441.66667</v>
      </c>
      <c r="B59" s="2">
        <f>IFERROR(__xludf.DUMMYFUNCTION("""COMPUTED_VALUE"""),1.38)</f>
        <v>1.38</v>
      </c>
      <c r="C59" s="2">
        <f>IFERROR(__xludf.DUMMYFUNCTION("""COMPUTED_VALUE"""),1.42)</f>
        <v>1.42</v>
      </c>
      <c r="D59" s="2">
        <f>IFERROR(__xludf.DUMMYFUNCTION("""COMPUTED_VALUE"""),1.34)</f>
        <v>1.34</v>
      </c>
      <c r="E59" s="2">
        <f>IFERROR(__xludf.DUMMYFUNCTION("""COMPUTED_VALUE"""),1.4)</f>
        <v>1.4</v>
      </c>
      <c r="F59" s="2">
        <f>IFERROR(__xludf.DUMMYFUNCTION("""COMPUTED_VALUE"""),947475.0)</f>
        <v>947475</v>
      </c>
    </row>
    <row r="60">
      <c r="A60" s="3">
        <f>IFERROR(__xludf.DUMMYFUNCTION("""COMPUTED_VALUE"""),40442.666666666664)</f>
        <v>40442.66667</v>
      </c>
      <c r="B60" s="2">
        <f>IFERROR(__xludf.DUMMYFUNCTION("""COMPUTED_VALUE"""),1.39)</f>
        <v>1.39</v>
      </c>
      <c r="C60" s="2">
        <f>IFERROR(__xludf.DUMMYFUNCTION("""COMPUTED_VALUE"""),1.44)</f>
        <v>1.44</v>
      </c>
      <c r="D60" s="2">
        <f>IFERROR(__xludf.DUMMYFUNCTION("""COMPUTED_VALUE"""),1.38)</f>
        <v>1.38</v>
      </c>
      <c r="E60" s="2">
        <f>IFERROR(__xludf.DUMMYFUNCTION("""COMPUTED_VALUE"""),1.38)</f>
        <v>1.38</v>
      </c>
      <c r="F60" s="2">
        <f>IFERROR(__xludf.DUMMYFUNCTION("""COMPUTED_VALUE"""),796000.0)</f>
        <v>796000</v>
      </c>
    </row>
    <row r="61">
      <c r="A61" s="3">
        <f>IFERROR(__xludf.DUMMYFUNCTION("""COMPUTED_VALUE"""),40443.666666666664)</f>
        <v>40443.66667</v>
      </c>
      <c r="B61" s="2">
        <f>IFERROR(__xludf.DUMMYFUNCTION("""COMPUTED_VALUE"""),1.39)</f>
        <v>1.39</v>
      </c>
      <c r="C61" s="2">
        <f>IFERROR(__xludf.DUMMYFUNCTION("""COMPUTED_VALUE"""),1.4)</f>
        <v>1.4</v>
      </c>
      <c r="D61" s="2">
        <f>IFERROR(__xludf.DUMMYFUNCTION("""COMPUTED_VALUE"""),1.32)</f>
        <v>1.32</v>
      </c>
      <c r="E61" s="2">
        <f>IFERROR(__xludf.DUMMYFUNCTION("""COMPUTED_VALUE"""),1.32)</f>
        <v>1.32</v>
      </c>
      <c r="F61" s="2">
        <f>IFERROR(__xludf.DUMMYFUNCTION("""COMPUTED_VALUE"""),962816.0)</f>
        <v>962816</v>
      </c>
    </row>
    <row r="62">
      <c r="A62" s="3">
        <f>IFERROR(__xludf.DUMMYFUNCTION("""COMPUTED_VALUE"""),40444.666666666664)</f>
        <v>40444.66667</v>
      </c>
      <c r="B62" s="2">
        <f>IFERROR(__xludf.DUMMYFUNCTION("""COMPUTED_VALUE"""),1.33)</f>
        <v>1.33</v>
      </c>
      <c r="C62" s="2">
        <f>IFERROR(__xludf.DUMMYFUNCTION("""COMPUTED_VALUE"""),1.34)</f>
        <v>1.34</v>
      </c>
      <c r="D62" s="2">
        <f>IFERROR(__xludf.DUMMYFUNCTION("""COMPUTED_VALUE"""),1.3)</f>
        <v>1.3</v>
      </c>
      <c r="E62" s="2">
        <f>IFERROR(__xludf.DUMMYFUNCTION("""COMPUTED_VALUE"""),1.3)</f>
        <v>1.3</v>
      </c>
      <c r="F62" s="2">
        <f>IFERROR(__xludf.DUMMYFUNCTION("""COMPUTED_VALUE"""),668076.0)</f>
        <v>668076</v>
      </c>
    </row>
    <row r="63">
      <c r="A63" s="3">
        <f>IFERROR(__xludf.DUMMYFUNCTION("""COMPUTED_VALUE"""),40445.666666666664)</f>
        <v>40445.66667</v>
      </c>
      <c r="B63" s="2">
        <f>IFERROR(__xludf.DUMMYFUNCTION("""COMPUTED_VALUE"""),1.33)</f>
        <v>1.33</v>
      </c>
      <c r="C63" s="2">
        <f>IFERROR(__xludf.DUMMYFUNCTION("""COMPUTED_VALUE"""),1.35)</f>
        <v>1.35</v>
      </c>
      <c r="D63" s="2">
        <f>IFERROR(__xludf.DUMMYFUNCTION("""COMPUTED_VALUE"""),1.31)</f>
        <v>1.31</v>
      </c>
      <c r="E63" s="2">
        <f>IFERROR(__xludf.DUMMYFUNCTION("""COMPUTED_VALUE"""),1.34)</f>
        <v>1.34</v>
      </c>
      <c r="F63" s="2">
        <f>IFERROR(__xludf.DUMMYFUNCTION("""COMPUTED_VALUE"""),578987.0)</f>
        <v>578987</v>
      </c>
    </row>
    <row r="64">
      <c r="A64" s="3">
        <f>IFERROR(__xludf.DUMMYFUNCTION("""COMPUTED_VALUE"""),40448.666666666664)</f>
        <v>40448.66667</v>
      </c>
      <c r="B64" s="2">
        <f>IFERROR(__xludf.DUMMYFUNCTION("""COMPUTED_VALUE"""),1.36)</f>
        <v>1.36</v>
      </c>
      <c r="C64" s="2">
        <f>IFERROR(__xludf.DUMMYFUNCTION("""COMPUTED_VALUE"""),1.39)</f>
        <v>1.39</v>
      </c>
      <c r="D64" s="2">
        <f>IFERROR(__xludf.DUMMYFUNCTION("""COMPUTED_VALUE"""),1.34)</f>
        <v>1.34</v>
      </c>
      <c r="E64" s="2">
        <f>IFERROR(__xludf.DUMMYFUNCTION("""COMPUTED_VALUE"""),1.37)</f>
        <v>1.37</v>
      </c>
      <c r="F64" s="2">
        <f>IFERROR(__xludf.DUMMYFUNCTION("""COMPUTED_VALUE"""),418597.0)</f>
        <v>418597</v>
      </c>
    </row>
    <row r="65">
      <c r="A65" s="3">
        <f>IFERROR(__xludf.DUMMYFUNCTION("""COMPUTED_VALUE"""),40449.666666666664)</f>
        <v>40449.66667</v>
      </c>
      <c r="B65" s="2">
        <f>IFERROR(__xludf.DUMMYFUNCTION("""COMPUTED_VALUE"""),1.4)</f>
        <v>1.4</v>
      </c>
      <c r="C65" s="2">
        <f>IFERROR(__xludf.DUMMYFUNCTION("""COMPUTED_VALUE"""),1.43)</f>
        <v>1.43</v>
      </c>
      <c r="D65" s="2">
        <f>IFERROR(__xludf.DUMMYFUNCTION("""COMPUTED_VALUE"""),1.38)</f>
        <v>1.38</v>
      </c>
      <c r="E65" s="2">
        <f>IFERROR(__xludf.DUMMYFUNCTION("""COMPUTED_VALUE"""),1.43)</f>
        <v>1.43</v>
      </c>
      <c r="F65" s="2">
        <f>IFERROR(__xludf.DUMMYFUNCTION("""COMPUTED_VALUE"""),1214465.0)</f>
        <v>1214465</v>
      </c>
    </row>
    <row r="66">
      <c r="A66" s="3">
        <f>IFERROR(__xludf.DUMMYFUNCTION("""COMPUTED_VALUE"""),40450.666666666664)</f>
        <v>40450.66667</v>
      </c>
      <c r="B66" s="2">
        <f>IFERROR(__xludf.DUMMYFUNCTION("""COMPUTED_VALUE"""),1.41)</f>
        <v>1.41</v>
      </c>
      <c r="C66" s="2">
        <f>IFERROR(__xludf.DUMMYFUNCTION("""COMPUTED_VALUE"""),1.47)</f>
        <v>1.47</v>
      </c>
      <c r="D66" s="2">
        <f>IFERROR(__xludf.DUMMYFUNCTION("""COMPUTED_VALUE"""),1.41)</f>
        <v>1.41</v>
      </c>
      <c r="E66" s="2">
        <f>IFERROR(__xludf.DUMMYFUNCTION("""COMPUTED_VALUE"""),1.47)</f>
        <v>1.47</v>
      </c>
      <c r="F66" s="2">
        <f>IFERROR(__xludf.DUMMYFUNCTION("""COMPUTED_VALUE"""),1969457.0)</f>
        <v>1969457</v>
      </c>
    </row>
    <row r="67">
      <c r="A67" s="3">
        <f>IFERROR(__xludf.DUMMYFUNCTION("""COMPUTED_VALUE"""),40451.666666666664)</f>
        <v>40451.66667</v>
      </c>
      <c r="B67" s="2">
        <f>IFERROR(__xludf.DUMMYFUNCTION("""COMPUTED_VALUE"""),1.47)</f>
        <v>1.47</v>
      </c>
      <c r="C67" s="2">
        <f>IFERROR(__xludf.DUMMYFUNCTION("""COMPUTED_VALUE"""),1.48)</f>
        <v>1.48</v>
      </c>
      <c r="D67" s="2">
        <f>IFERROR(__xludf.DUMMYFUNCTION("""COMPUTED_VALUE"""),1.35)</f>
        <v>1.35</v>
      </c>
      <c r="E67" s="2">
        <f>IFERROR(__xludf.DUMMYFUNCTION("""COMPUTED_VALUE"""),1.36)</f>
        <v>1.36</v>
      </c>
      <c r="F67" s="2">
        <f>IFERROR(__xludf.DUMMYFUNCTION("""COMPUTED_VALUE"""),2196625.0)</f>
        <v>2196625</v>
      </c>
    </row>
    <row r="68">
      <c r="A68" s="3">
        <f>IFERROR(__xludf.DUMMYFUNCTION("""COMPUTED_VALUE"""),40452.666666666664)</f>
        <v>40452.66667</v>
      </c>
      <c r="B68" s="2">
        <f>IFERROR(__xludf.DUMMYFUNCTION("""COMPUTED_VALUE"""),1.38)</f>
        <v>1.38</v>
      </c>
      <c r="C68" s="2">
        <f>IFERROR(__xludf.DUMMYFUNCTION("""COMPUTED_VALUE"""),1.38)</f>
        <v>1.38</v>
      </c>
      <c r="D68" s="2">
        <f>IFERROR(__xludf.DUMMYFUNCTION("""COMPUTED_VALUE"""),1.35)</f>
        <v>1.35</v>
      </c>
      <c r="E68" s="2">
        <f>IFERROR(__xludf.DUMMYFUNCTION("""COMPUTED_VALUE"""),1.37)</f>
        <v>1.37</v>
      </c>
      <c r="F68" s="2">
        <f>IFERROR(__xludf.DUMMYFUNCTION("""COMPUTED_VALUE"""),599071.0)</f>
        <v>599071</v>
      </c>
    </row>
    <row r="69">
      <c r="A69" s="3">
        <f>IFERROR(__xludf.DUMMYFUNCTION("""COMPUTED_VALUE"""),40455.666666666664)</f>
        <v>40455.66667</v>
      </c>
      <c r="B69" s="2">
        <f>IFERROR(__xludf.DUMMYFUNCTION("""COMPUTED_VALUE"""),1.36)</f>
        <v>1.36</v>
      </c>
      <c r="C69" s="2">
        <f>IFERROR(__xludf.DUMMYFUNCTION("""COMPUTED_VALUE"""),1.41)</f>
        <v>1.41</v>
      </c>
      <c r="D69" s="2">
        <f>IFERROR(__xludf.DUMMYFUNCTION("""COMPUTED_VALUE"""),1.35)</f>
        <v>1.35</v>
      </c>
      <c r="E69" s="2">
        <f>IFERROR(__xludf.DUMMYFUNCTION("""COMPUTED_VALUE"""),1.4)</f>
        <v>1.4</v>
      </c>
      <c r="F69" s="2">
        <f>IFERROR(__xludf.DUMMYFUNCTION("""COMPUTED_VALUE"""),643599.0)</f>
        <v>643599</v>
      </c>
    </row>
    <row r="70">
      <c r="A70" s="3">
        <f>IFERROR(__xludf.DUMMYFUNCTION("""COMPUTED_VALUE"""),40456.666666666664)</f>
        <v>40456.66667</v>
      </c>
      <c r="B70" s="2">
        <f>IFERROR(__xludf.DUMMYFUNCTION("""COMPUTED_VALUE"""),1.41)</f>
        <v>1.41</v>
      </c>
      <c r="C70" s="2">
        <f>IFERROR(__xludf.DUMMYFUNCTION("""COMPUTED_VALUE"""),1.42)</f>
        <v>1.42</v>
      </c>
      <c r="D70" s="2">
        <f>IFERROR(__xludf.DUMMYFUNCTION("""COMPUTED_VALUE"""),1.4)</f>
        <v>1.4</v>
      </c>
      <c r="E70" s="2">
        <f>IFERROR(__xludf.DUMMYFUNCTION("""COMPUTED_VALUE"""),1.41)</f>
        <v>1.41</v>
      </c>
      <c r="F70" s="2">
        <f>IFERROR(__xludf.DUMMYFUNCTION("""COMPUTED_VALUE"""),331936.0)</f>
        <v>331936</v>
      </c>
    </row>
    <row r="71">
      <c r="A71" s="3">
        <f>IFERROR(__xludf.DUMMYFUNCTION("""COMPUTED_VALUE"""),40457.666666666664)</f>
        <v>40457.66667</v>
      </c>
      <c r="B71" s="2">
        <f>IFERROR(__xludf.DUMMYFUNCTION("""COMPUTED_VALUE"""),1.4)</f>
        <v>1.4</v>
      </c>
      <c r="C71" s="2">
        <f>IFERROR(__xludf.DUMMYFUNCTION("""COMPUTED_VALUE"""),1.42)</f>
        <v>1.42</v>
      </c>
      <c r="D71" s="2">
        <f>IFERROR(__xludf.DUMMYFUNCTION("""COMPUTED_VALUE"""),1.35)</f>
        <v>1.35</v>
      </c>
      <c r="E71" s="2">
        <f>IFERROR(__xludf.DUMMYFUNCTION("""COMPUTED_VALUE"""),1.36)</f>
        <v>1.36</v>
      </c>
      <c r="F71" s="2">
        <f>IFERROR(__xludf.DUMMYFUNCTION("""COMPUTED_VALUE"""),240358.0)</f>
        <v>240358</v>
      </c>
    </row>
    <row r="72">
      <c r="A72" s="3">
        <f>IFERROR(__xludf.DUMMYFUNCTION("""COMPUTED_VALUE"""),40458.666666666664)</f>
        <v>40458.66667</v>
      </c>
      <c r="B72" s="2">
        <f>IFERROR(__xludf.DUMMYFUNCTION("""COMPUTED_VALUE"""),1.37)</f>
        <v>1.37</v>
      </c>
      <c r="C72" s="2">
        <f>IFERROR(__xludf.DUMMYFUNCTION("""COMPUTED_VALUE"""),1.38)</f>
        <v>1.38</v>
      </c>
      <c r="D72" s="2">
        <f>IFERROR(__xludf.DUMMYFUNCTION("""COMPUTED_VALUE"""),1.36)</f>
        <v>1.36</v>
      </c>
      <c r="E72" s="2">
        <f>IFERROR(__xludf.DUMMYFUNCTION("""COMPUTED_VALUE"""),1.36)</f>
        <v>1.36</v>
      </c>
      <c r="F72" s="2">
        <f>IFERROR(__xludf.DUMMYFUNCTION("""COMPUTED_VALUE"""),141020.0)</f>
        <v>141020</v>
      </c>
    </row>
    <row r="73">
      <c r="A73" s="3">
        <f>IFERROR(__xludf.DUMMYFUNCTION("""COMPUTED_VALUE"""),40459.666666666664)</f>
        <v>40459.66667</v>
      </c>
      <c r="B73" s="2">
        <f>IFERROR(__xludf.DUMMYFUNCTION("""COMPUTED_VALUE"""),1.36)</f>
        <v>1.36</v>
      </c>
      <c r="C73" s="2">
        <f>IFERROR(__xludf.DUMMYFUNCTION("""COMPUTED_VALUE"""),1.39)</f>
        <v>1.39</v>
      </c>
      <c r="D73" s="2">
        <f>IFERROR(__xludf.DUMMYFUNCTION("""COMPUTED_VALUE"""),1.36)</f>
        <v>1.36</v>
      </c>
      <c r="E73" s="2">
        <f>IFERROR(__xludf.DUMMYFUNCTION("""COMPUTED_VALUE"""),1.36)</f>
        <v>1.36</v>
      </c>
      <c r="F73" s="2">
        <f>IFERROR(__xludf.DUMMYFUNCTION("""COMPUTED_VALUE"""),268110.0)</f>
        <v>268110</v>
      </c>
    </row>
    <row r="74">
      <c r="A74" s="3">
        <f>IFERROR(__xludf.DUMMYFUNCTION("""COMPUTED_VALUE"""),40462.666666666664)</f>
        <v>40462.66667</v>
      </c>
      <c r="B74" s="2">
        <f>IFERROR(__xludf.DUMMYFUNCTION("""COMPUTED_VALUE"""),1.36)</f>
        <v>1.36</v>
      </c>
      <c r="C74" s="2">
        <f>IFERROR(__xludf.DUMMYFUNCTION("""COMPUTED_VALUE"""),1.38)</f>
        <v>1.38</v>
      </c>
      <c r="D74" s="2">
        <f>IFERROR(__xludf.DUMMYFUNCTION("""COMPUTED_VALUE"""),1.34)</f>
        <v>1.34</v>
      </c>
      <c r="E74" s="2">
        <f>IFERROR(__xludf.DUMMYFUNCTION("""COMPUTED_VALUE"""),1.35)</f>
        <v>1.35</v>
      </c>
      <c r="F74" s="2">
        <f>IFERROR(__xludf.DUMMYFUNCTION("""COMPUTED_VALUE"""),171194.0)</f>
        <v>171194</v>
      </c>
    </row>
    <row r="75">
      <c r="A75" s="3">
        <f>IFERROR(__xludf.DUMMYFUNCTION("""COMPUTED_VALUE"""),40463.666666666664)</f>
        <v>40463.66667</v>
      </c>
      <c r="B75" s="2">
        <f>IFERROR(__xludf.DUMMYFUNCTION("""COMPUTED_VALUE"""),1.35)</f>
        <v>1.35</v>
      </c>
      <c r="C75" s="2">
        <f>IFERROR(__xludf.DUMMYFUNCTION("""COMPUTED_VALUE"""),1.35)</f>
        <v>1.35</v>
      </c>
      <c r="D75" s="2">
        <f>IFERROR(__xludf.DUMMYFUNCTION("""COMPUTED_VALUE"""),1.34)</f>
        <v>1.34</v>
      </c>
      <c r="E75" s="2">
        <f>IFERROR(__xludf.DUMMYFUNCTION("""COMPUTED_VALUE"""),1.35)</f>
        <v>1.35</v>
      </c>
      <c r="F75" s="2">
        <f>IFERROR(__xludf.DUMMYFUNCTION("""COMPUTED_VALUE"""),243912.0)</f>
        <v>243912</v>
      </c>
    </row>
    <row r="76">
      <c r="A76" s="3">
        <f>IFERROR(__xludf.DUMMYFUNCTION("""COMPUTED_VALUE"""),40464.666666666664)</f>
        <v>40464.66667</v>
      </c>
      <c r="B76" s="2">
        <f>IFERROR(__xludf.DUMMYFUNCTION("""COMPUTED_VALUE"""),1.38)</f>
        <v>1.38</v>
      </c>
      <c r="C76" s="2">
        <f>IFERROR(__xludf.DUMMYFUNCTION("""COMPUTED_VALUE"""),1.39)</f>
        <v>1.39</v>
      </c>
      <c r="D76" s="2">
        <f>IFERROR(__xludf.DUMMYFUNCTION("""COMPUTED_VALUE"""),1.36)</f>
        <v>1.36</v>
      </c>
      <c r="E76" s="2">
        <f>IFERROR(__xludf.DUMMYFUNCTION("""COMPUTED_VALUE"""),1.37)</f>
        <v>1.37</v>
      </c>
      <c r="F76" s="2">
        <f>IFERROR(__xludf.DUMMYFUNCTION("""COMPUTED_VALUE"""),320541.0)</f>
        <v>320541</v>
      </c>
    </row>
    <row r="77">
      <c r="A77" s="3">
        <f>IFERROR(__xludf.DUMMYFUNCTION("""COMPUTED_VALUE"""),40465.666666666664)</f>
        <v>40465.66667</v>
      </c>
      <c r="B77" s="2">
        <f>IFERROR(__xludf.DUMMYFUNCTION("""COMPUTED_VALUE"""),1.4)</f>
        <v>1.4</v>
      </c>
      <c r="C77" s="2">
        <f>IFERROR(__xludf.DUMMYFUNCTION("""COMPUTED_VALUE"""),1.4)</f>
        <v>1.4</v>
      </c>
      <c r="D77" s="2">
        <f>IFERROR(__xludf.DUMMYFUNCTION("""COMPUTED_VALUE"""),1.36)</f>
        <v>1.36</v>
      </c>
      <c r="E77" s="2">
        <f>IFERROR(__xludf.DUMMYFUNCTION("""COMPUTED_VALUE"""),1.38)</f>
        <v>1.38</v>
      </c>
      <c r="F77" s="2">
        <f>IFERROR(__xludf.DUMMYFUNCTION("""COMPUTED_VALUE"""),294620.0)</f>
        <v>294620</v>
      </c>
    </row>
    <row r="78">
      <c r="A78" s="3">
        <f>IFERROR(__xludf.DUMMYFUNCTION("""COMPUTED_VALUE"""),40466.666666666664)</f>
        <v>40466.66667</v>
      </c>
      <c r="B78" s="2">
        <f>IFERROR(__xludf.DUMMYFUNCTION("""COMPUTED_VALUE"""),1.39)</f>
        <v>1.39</v>
      </c>
      <c r="C78" s="2">
        <f>IFERROR(__xludf.DUMMYFUNCTION("""COMPUTED_VALUE"""),1.39)</f>
        <v>1.39</v>
      </c>
      <c r="D78" s="2">
        <f>IFERROR(__xludf.DUMMYFUNCTION("""COMPUTED_VALUE"""),1.35)</f>
        <v>1.35</v>
      </c>
      <c r="E78" s="2">
        <f>IFERROR(__xludf.DUMMYFUNCTION("""COMPUTED_VALUE"""),1.37)</f>
        <v>1.37</v>
      </c>
      <c r="F78" s="2">
        <f>IFERROR(__xludf.DUMMYFUNCTION("""COMPUTED_VALUE"""),284840.0)</f>
        <v>284840</v>
      </c>
    </row>
    <row r="79">
      <c r="A79" s="3">
        <f>IFERROR(__xludf.DUMMYFUNCTION("""COMPUTED_VALUE"""),40469.666666666664)</f>
        <v>40469.66667</v>
      </c>
      <c r="B79" s="2">
        <f>IFERROR(__xludf.DUMMYFUNCTION("""COMPUTED_VALUE"""),1.37)</f>
        <v>1.37</v>
      </c>
      <c r="C79" s="2">
        <f>IFERROR(__xludf.DUMMYFUNCTION("""COMPUTED_VALUE"""),1.38)</f>
        <v>1.38</v>
      </c>
      <c r="D79" s="2">
        <f>IFERROR(__xludf.DUMMYFUNCTION("""COMPUTED_VALUE"""),1.35)</f>
        <v>1.35</v>
      </c>
      <c r="E79" s="2">
        <f>IFERROR(__xludf.DUMMYFUNCTION("""COMPUTED_VALUE"""),1.35)</f>
        <v>1.35</v>
      </c>
      <c r="F79" s="2">
        <f>IFERROR(__xludf.DUMMYFUNCTION("""COMPUTED_VALUE"""),162729.0)</f>
        <v>162729</v>
      </c>
    </row>
    <row r="80">
      <c r="A80" s="3">
        <f>IFERROR(__xludf.DUMMYFUNCTION("""COMPUTED_VALUE"""),40470.666666666664)</f>
        <v>40470.66667</v>
      </c>
      <c r="B80" s="2">
        <f>IFERROR(__xludf.DUMMYFUNCTION("""COMPUTED_VALUE"""),1.35)</f>
        <v>1.35</v>
      </c>
      <c r="C80" s="2">
        <f>IFERROR(__xludf.DUMMYFUNCTION("""COMPUTED_VALUE"""),1.36)</f>
        <v>1.36</v>
      </c>
      <c r="D80" s="2">
        <f>IFERROR(__xludf.DUMMYFUNCTION("""COMPUTED_VALUE"""),1.33)</f>
        <v>1.33</v>
      </c>
      <c r="E80" s="2">
        <f>IFERROR(__xludf.DUMMYFUNCTION("""COMPUTED_VALUE"""),1.34)</f>
        <v>1.34</v>
      </c>
      <c r="F80" s="2">
        <f>IFERROR(__xludf.DUMMYFUNCTION("""COMPUTED_VALUE"""),245127.0)</f>
        <v>245127</v>
      </c>
    </row>
    <row r="81">
      <c r="A81" s="3">
        <f>IFERROR(__xludf.DUMMYFUNCTION("""COMPUTED_VALUE"""),40471.666666666664)</f>
        <v>40471.66667</v>
      </c>
      <c r="B81" s="2">
        <f>IFERROR(__xludf.DUMMYFUNCTION("""COMPUTED_VALUE"""),1.34)</f>
        <v>1.34</v>
      </c>
      <c r="C81" s="2">
        <f>IFERROR(__xludf.DUMMYFUNCTION("""COMPUTED_VALUE"""),1.38)</f>
        <v>1.38</v>
      </c>
      <c r="D81" s="2">
        <f>IFERROR(__xludf.DUMMYFUNCTION("""COMPUTED_VALUE"""),1.34)</f>
        <v>1.34</v>
      </c>
      <c r="E81" s="2">
        <f>IFERROR(__xludf.DUMMYFUNCTION("""COMPUTED_VALUE"""),1.38)</f>
        <v>1.38</v>
      </c>
      <c r="F81" s="2">
        <f>IFERROR(__xludf.DUMMYFUNCTION("""COMPUTED_VALUE"""),312444.0)</f>
        <v>312444</v>
      </c>
    </row>
    <row r="82">
      <c r="A82" s="3">
        <f>IFERROR(__xludf.DUMMYFUNCTION("""COMPUTED_VALUE"""),40472.666666666664)</f>
        <v>40472.66667</v>
      </c>
      <c r="B82" s="2">
        <f>IFERROR(__xludf.DUMMYFUNCTION("""COMPUTED_VALUE"""),1.37)</f>
        <v>1.37</v>
      </c>
      <c r="C82" s="2">
        <f>IFERROR(__xludf.DUMMYFUNCTION("""COMPUTED_VALUE"""),1.4)</f>
        <v>1.4</v>
      </c>
      <c r="D82" s="2">
        <f>IFERROR(__xludf.DUMMYFUNCTION("""COMPUTED_VALUE"""),1.36)</f>
        <v>1.36</v>
      </c>
      <c r="E82" s="2">
        <f>IFERROR(__xludf.DUMMYFUNCTION("""COMPUTED_VALUE"""),1.38)</f>
        <v>1.38</v>
      </c>
      <c r="F82" s="2">
        <f>IFERROR(__xludf.DUMMYFUNCTION("""COMPUTED_VALUE"""),417999.0)</f>
        <v>417999</v>
      </c>
    </row>
    <row r="83">
      <c r="A83" s="3">
        <f>IFERROR(__xludf.DUMMYFUNCTION("""COMPUTED_VALUE"""),40473.666666666664)</f>
        <v>40473.66667</v>
      </c>
      <c r="B83" s="2">
        <f>IFERROR(__xludf.DUMMYFUNCTION("""COMPUTED_VALUE"""),1.38)</f>
        <v>1.38</v>
      </c>
      <c r="C83" s="2">
        <f>IFERROR(__xludf.DUMMYFUNCTION("""COMPUTED_VALUE"""),1.4)</f>
        <v>1.4</v>
      </c>
      <c r="D83" s="2">
        <f>IFERROR(__xludf.DUMMYFUNCTION("""COMPUTED_VALUE"""),1.37)</f>
        <v>1.37</v>
      </c>
      <c r="E83" s="2">
        <f>IFERROR(__xludf.DUMMYFUNCTION("""COMPUTED_VALUE"""),1.38)</f>
        <v>1.38</v>
      </c>
      <c r="F83" s="2">
        <f>IFERROR(__xludf.DUMMYFUNCTION("""COMPUTED_VALUE"""),161021.0)</f>
        <v>161021</v>
      </c>
    </row>
    <row r="84">
      <c r="A84" s="3">
        <f>IFERROR(__xludf.DUMMYFUNCTION("""COMPUTED_VALUE"""),40476.666666666664)</f>
        <v>40476.66667</v>
      </c>
      <c r="B84" s="2">
        <f>IFERROR(__xludf.DUMMYFUNCTION("""COMPUTED_VALUE"""),1.4)</f>
        <v>1.4</v>
      </c>
      <c r="C84" s="2">
        <f>IFERROR(__xludf.DUMMYFUNCTION("""COMPUTED_VALUE"""),1.4)</f>
        <v>1.4</v>
      </c>
      <c r="D84" s="2">
        <f>IFERROR(__xludf.DUMMYFUNCTION("""COMPUTED_VALUE"""),1.38)</f>
        <v>1.38</v>
      </c>
      <c r="E84" s="2">
        <f>IFERROR(__xludf.DUMMYFUNCTION("""COMPUTED_VALUE"""),1.39)</f>
        <v>1.39</v>
      </c>
      <c r="F84" s="2">
        <f>IFERROR(__xludf.DUMMYFUNCTION("""COMPUTED_VALUE"""),118614.0)</f>
        <v>118614</v>
      </c>
    </row>
    <row r="85">
      <c r="A85" s="3">
        <f>IFERROR(__xludf.DUMMYFUNCTION("""COMPUTED_VALUE"""),40477.666666666664)</f>
        <v>40477.66667</v>
      </c>
      <c r="B85" s="2">
        <f>IFERROR(__xludf.DUMMYFUNCTION("""COMPUTED_VALUE"""),1.39)</f>
        <v>1.39</v>
      </c>
      <c r="C85" s="2">
        <f>IFERROR(__xludf.DUMMYFUNCTION("""COMPUTED_VALUE"""),1.46)</f>
        <v>1.46</v>
      </c>
      <c r="D85" s="2">
        <f>IFERROR(__xludf.DUMMYFUNCTION("""COMPUTED_VALUE"""),1.37)</f>
        <v>1.37</v>
      </c>
      <c r="E85" s="2">
        <f>IFERROR(__xludf.DUMMYFUNCTION("""COMPUTED_VALUE"""),1.42)</f>
        <v>1.42</v>
      </c>
      <c r="F85" s="2">
        <f>IFERROR(__xludf.DUMMYFUNCTION("""COMPUTED_VALUE"""),660841.0)</f>
        <v>660841</v>
      </c>
    </row>
    <row r="86">
      <c r="A86" s="3">
        <f>IFERROR(__xludf.DUMMYFUNCTION("""COMPUTED_VALUE"""),40478.666666666664)</f>
        <v>40478.66667</v>
      </c>
      <c r="B86" s="2">
        <f>IFERROR(__xludf.DUMMYFUNCTION("""COMPUTED_VALUE"""),1.42)</f>
        <v>1.42</v>
      </c>
      <c r="C86" s="2">
        <f>IFERROR(__xludf.DUMMYFUNCTION("""COMPUTED_VALUE"""),1.43)</f>
        <v>1.43</v>
      </c>
      <c r="D86" s="2">
        <f>IFERROR(__xludf.DUMMYFUNCTION("""COMPUTED_VALUE"""),1.38)</f>
        <v>1.38</v>
      </c>
      <c r="E86" s="2">
        <f>IFERROR(__xludf.DUMMYFUNCTION("""COMPUTED_VALUE"""),1.4)</f>
        <v>1.4</v>
      </c>
      <c r="F86" s="2">
        <f>IFERROR(__xludf.DUMMYFUNCTION("""COMPUTED_VALUE"""),356500.0)</f>
        <v>356500</v>
      </c>
    </row>
    <row r="87">
      <c r="A87" s="3">
        <f>IFERROR(__xludf.DUMMYFUNCTION("""COMPUTED_VALUE"""),40479.666666666664)</f>
        <v>40479.66667</v>
      </c>
      <c r="B87" s="2">
        <f>IFERROR(__xludf.DUMMYFUNCTION("""COMPUTED_VALUE"""),1.43)</f>
        <v>1.43</v>
      </c>
      <c r="C87" s="2">
        <f>IFERROR(__xludf.DUMMYFUNCTION("""COMPUTED_VALUE"""),1.43)</f>
        <v>1.43</v>
      </c>
      <c r="D87" s="2">
        <f>IFERROR(__xludf.DUMMYFUNCTION("""COMPUTED_VALUE"""),1.4)</f>
        <v>1.4</v>
      </c>
      <c r="E87" s="2">
        <f>IFERROR(__xludf.DUMMYFUNCTION("""COMPUTED_VALUE"""),1.41)</f>
        <v>1.41</v>
      </c>
      <c r="F87" s="2">
        <f>IFERROR(__xludf.DUMMYFUNCTION("""COMPUTED_VALUE"""),224190.0)</f>
        <v>224190</v>
      </c>
    </row>
    <row r="88">
      <c r="A88" s="3">
        <f>IFERROR(__xludf.DUMMYFUNCTION("""COMPUTED_VALUE"""),40480.666666666664)</f>
        <v>40480.66667</v>
      </c>
      <c r="B88" s="2">
        <f>IFERROR(__xludf.DUMMYFUNCTION("""COMPUTED_VALUE"""),1.41)</f>
        <v>1.41</v>
      </c>
      <c r="C88" s="2">
        <f>IFERROR(__xludf.DUMMYFUNCTION("""COMPUTED_VALUE"""),1.46)</f>
        <v>1.46</v>
      </c>
      <c r="D88" s="2">
        <f>IFERROR(__xludf.DUMMYFUNCTION("""COMPUTED_VALUE"""),1.4)</f>
        <v>1.4</v>
      </c>
      <c r="E88" s="2">
        <f>IFERROR(__xludf.DUMMYFUNCTION("""COMPUTED_VALUE"""),1.46)</f>
        <v>1.46</v>
      </c>
      <c r="F88" s="2">
        <f>IFERROR(__xludf.DUMMYFUNCTION("""COMPUTED_VALUE"""),280682.0)</f>
        <v>280682</v>
      </c>
    </row>
    <row r="89">
      <c r="A89" s="3">
        <f>IFERROR(__xludf.DUMMYFUNCTION("""COMPUTED_VALUE"""),40483.666666666664)</f>
        <v>40483.66667</v>
      </c>
      <c r="B89" s="2">
        <f>IFERROR(__xludf.DUMMYFUNCTION("""COMPUTED_VALUE"""),1.46)</f>
        <v>1.46</v>
      </c>
      <c r="C89" s="2">
        <f>IFERROR(__xludf.DUMMYFUNCTION("""COMPUTED_VALUE"""),1.52)</f>
        <v>1.52</v>
      </c>
      <c r="D89" s="2">
        <f>IFERROR(__xludf.DUMMYFUNCTION("""COMPUTED_VALUE"""),1.42)</f>
        <v>1.42</v>
      </c>
      <c r="E89" s="2">
        <f>IFERROR(__xludf.DUMMYFUNCTION("""COMPUTED_VALUE"""),1.43)</f>
        <v>1.43</v>
      </c>
      <c r="F89" s="2">
        <f>IFERROR(__xludf.DUMMYFUNCTION("""COMPUTED_VALUE"""),455784.0)</f>
        <v>455784</v>
      </c>
    </row>
    <row r="90">
      <c r="A90" s="3">
        <f>IFERROR(__xludf.DUMMYFUNCTION("""COMPUTED_VALUE"""),40484.666666666664)</f>
        <v>40484.66667</v>
      </c>
      <c r="B90" s="2">
        <f>IFERROR(__xludf.DUMMYFUNCTION("""COMPUTED_VALUE"""),1.45)</f>
        <v>1.45</v>
      </c>
      <c r="C90" s="2">
        <f>IFERROR(__xludf.DUMMYFUNCTION("""COMPUTED_VALUE"""),1.46)</f>
        <v>1.46</v>
      </c>
      <c r="D90" s="2">
        <f>IFERROR(__xludf.DUMMYFUNCTION("""COMPUTED_VALUE"""),1.4)</f>
        <v>1.4</v>
      </c>
      <c r="E90" s="2">
        <f>IFERROR(__xludf.DUMMYFUNCTION("""COMPUTED_VALUE"""),1.42)</f>
        <v>1.42</v>
      </c>
      <c r="F90" s="2">
        <f>IFERROR(__xludf.DUMMYFUNCTION("""COMPUTED_VALUE"""),322465.0)</f>
        <v>322465</v>
      </c>
    </row>
    <row r="91">
      <c r="A91" s="3">
        <f>IFERROR(__xludf.DUMMYFUNCTION("""COMPUTED_VALUE"""),40485.666666666664)</f>
        <v>40485.66667</v>
      </c>
      <c r="B91" s="2">
        <f>IFERROR(__xludf.DUMMYFUNCTION("""COMPUTED_VALUE"""),1.42)</f>
        <v>1.42</v>
      </c>
      <c r="C91" s="2">
        <f>IFERROR(__xludf.DUMMYFUNCTION("""COMPUTED_VALUE"""),1.5)</f>
        <v>1.5</v>
      </c>
      <c r="D91" s="2">
        <f>IFERROR(__xludf.DUMMYFUNCTION("""COMPUTED_VALUE"""),1.41)</f>
        <v>1.41</v>
      </c>
      <c r="E91" s="2">
        <f>IFERROR(__xludf.DUMMYFUNCTION("""COMPUTED_VALUE"""),1.45)</f>
        <v>1.45</v>
      </c>
      <c r="F91" s="2">
        <f>IFERROR(__xludf.DUMMYFUNCTION("""COMPUTED_VALUE"""),374199.0)</f>
        <v>374199</v>
      </c>
    </row>
    <row r="92">
      <c r="A92" s="3">
        <f>IFERROR(__xludf.DUMMYFUNCTION("""COMPUTED_VALUE"""),40486.666666666664)</f>
        <v>40486.66667</v>
      </c>
      <c r="B92" s="2">
        <f>IFERROR(__xludf.DUMMYFUNCTION("""COMPUTED_VALUE"""),1.51)</f>
        <v>1.51</v>
      </c>
      <c r="C92" s="2">
        <f>IFERROR(__xludf.DUMMYFUNCTION("""COMPUTED_VALUE"""),1.69)</f>
        <v>1.69</v>
      </c>
      <c r="D92" s="2">
        <f>IFERROR(__xludf.DUMMYFUNCTION("""COMPUTED_VALUE"""),1.48)</f>
        <v>1.48</v>
      </c>
      <c r="E92" s="2">
        <f>IFERROR(__xludf.DUMMYFUNCTION("""COMPUTED_VALUE"""),1.66)</f>
        <v>1.66</v>
      </c>
      <c r="F92" s="2">
        <f>IFERROR(__xludf.DUMMYFUNCTION("""COMPUTED_VALUE"""),1873358.0)</f>
        <v>1873358</v>
      </c>
    </row>
    <row r="93">
      <c r="A93" s="3">
        <f>IFERROR(__xludf.DUMMYFUNCTION("""COMPUTED_VALUE"""),40487.666666666664)</f>
        <v>40487.66667</v>
      </c>
      <c r="B93" s="2">
        <f>IFERROR(__xludf.DUMMYFUNCTION("""COMPUTED_VALUE"""),1.66)</f>
        <v>1.66</v>
      </c>
      <c r="C93" s="2">
        <f>IFERROR(__xludf.DUMMYFUNCTION("""COMPUTED_VALUE"""),1.66)</f>
        <v>1.66</v>
      </c>
      <c r="D93" s="2">
        <f>IFERROR(__xludf.DUMMYFUNCTION("""COMPUTED_VALUE"""),1.58)</f>
        <v>1.58</v>
      </c>
      <c r="E93" s="2">
        <f>IFERROR(__xludf.DUMMYFUNCTION("""COMPUTED_VALUE"""),1.63)</f>
        <v>1.63</v>
      </c>
      <c r="F93" s="2">
        <f>IFERROR(__xludf.DUMMYFUNCTION("""COMPUTED_VALUE"""),1010946.0)</f>
        <v>1010946</v>
      </c>
    </row>
    <row r="94">
      <c r="A94" s="3">
        <f>IFERROR(__xludf.DUMMYFUNCTION("""COMPUTED_VALUE"""),40490.666666666664)</f>
        <v>40490.66667</v>
      </c>
      <c r="B94" s="2">
        <f>IFERROR(__xludf.DUMMYFUNCTION("""COMPUTED_VALUE"""),1.63)</f>
        <v>1.63</v>
      </c>
      <c r="C94" s="2">
        <f>IFERROR(__xludf.DUMMYFUNCTION("""COMPUTED_VALUE"""),1.67)</f>
        <v>1.67</v>
      </c>
      <c r="D94" s="2">
        <f>IFERROR(__xludf.DUMMYFUNCTION("""COMPUTED_VALUE"""),1.6)</f>
        <v>1.6</v>
      </c>
      <c r="E94" s="2">
        <f>IFERROR(__xludf.DUMMYFUNCTION("""COMPUTED_VALUE"""),1.67)</f>
        <v>1.67</v>
      </c>
      <c r="F94" s="2">
        <f>IFERROR(__xludf.DUMMYFUNCTION("""COMPUTED_VALUE"""),509475.0)</f>
        <v>509475</v>
      </c>
    </row>
    <row r="95">
      <c r="A95" s="3">
        <f>IFERROR(__xludf.DUMMYFUNCTION("""COMPUTED_VALUE"""),40491.666666666664)</f>
        <v>40491.66667</v>
      </c>
      <c r="B95" s="2">
        <f>IFERROR(__xludf.DUMMYFUNCTION("""COMPUTED_VALUE"""),1.67)</f>
        <v>1.67</v>
      </c>
      <c r="C95" s="2">
        <f>IFERROR(__xludf.DUMMYFUNCTION("""COMPUTED_VALUE"""),1.71)</f>
        <v>1.71</v>
      </c>
      <c r="D95" s="2">
        <f>IFERROR(__xludf.DUMMYFUNCTION("""COMPUTED_VALUE"""),1.6)</f>
        <v>1.6</v>
      </c>
      <c r="E95" s="2">
        <f>IFERROR(__xludf.DUMMYFUNCTION("""COMPUTED_VALUE"""),1.64)</f>
        <v>1.64</v>
      </c>
      <c r="F95" s="2">
        <f>IFERROR(__xludf.DUMMYFUNCTION("""COMPUTED_VALUE"""),957749.0)</f>
        <v>957749</v>
      </c>
    </row>
    <row r="96">
      <c r="A96" s="3">
        <f>IFERROR(__xludf.DUMMYFUNCTION("""COMPUTED_VALUE"""),40492.666666666664)</f>
        <v>40492.66667</v>
      </c>
      <c r="B96" s="2">
        <f>IFERROR(__xludf.DUMMYFUNCTION("""COMPUTED_VALUE"""),1.63)</f>
        <v>1.63</v>
      </c>
      <c r="C96" s="2">
        <f>IFERROR(__xludf.DUMMYFUNCTION("""COMPUTED_VALUE"""),2.0)</f>
        <v>2</v>
      </c>
      <c r="D96" s="2">
        <f>IFERROR(__xludf.DUMMYFUNCTION("""COMPUTED_VALUE"""),1.6)</f>
        <v>1.6</v>
      </c>
      <c r="E96" s="2">
        <f>IFERROR(__xludf.DUMMYFUNCTION("""COMPUTED_VALUE"""),1.96)</f>
        <v>1.96</v>
      </c>
      <c r="F96" s="2">
        <f>IFERROR(__xludf.DUMMYFUNCTION("""COMPUTED_VALUE"""),3061038.0)</f>
        <v>3061038</v>
      </c>
    </row>
    <row r="97">
      <c r="A97" s="3">
        <f>IFERROR(__xludf.DUMMYFUNCTION("""COMPUTED_VALUE"""),40493.666666666664)</f>
        <v>40493.66667</v>
      </c>
      <c r="B97" s="2">
        <f>IFERROR(__xludf.DUMMYFUNCTION("""COMPUTED_VALUE"""),1.91)</f>
        <v>1.91</v>
      </c>
      <c r="C97" s="2">
        <f>IFERROR(__xludf.DUMMYFUNCTION("""COMPUTED_VALUE"""),1.94)</f>
        <v>1.94</v>
      </c>
      <c r="D97" s="2">
        <f>IFERROR(__xludf.DUMMYFUNCTION("""COMPUTED_VALUE"""),1.82)</f>
        <v>1.82</v>
      </c>
      <c r="E97" s="2">
        <f>IFERROR(__xludf.DUMMYFUNCTION("""COMPUTED_VALUE"""),1.87)</f>
        <v>1.87</v>
      </c>
      <c r="F97" s="2">
        <f>IFERROR(__xludf.DUMMYFUNCTION("""COMPUTED_VALUE"""),1945094.0)</f>
        <v>1945094</v>
      </c>
    </row>
    <row r="98">
      <c r="A98" s="3">
        <f>IFERROR(__xludf.DUMMYFUNCTION("""COMPUTED_VALUE"""),40494.666666666664)</f>
        <v>40494.66667</v>
      </c>
      <c r="B98" s="2">
        <f>IFERROR(__xludf.DUMMYFUNCTION("""COMPUTED_VALUE"""),1.88)</f>
        <v>1.88</v>
      </c>
      <c r="C98" s="2">
        <f>IFERROR(__xludf.DUMMYFUNCTION("""COMPUTED_VALUE"""),2.03)</f>
        <v>2.03</v>
      </c>
      <c r="D98" s="2">
        <f>IFERROR(__xludf.DUMMYFUNCTION("""COMPUTED_VALUE"""),1.87)</f>
        <v>1.87</v>
      </c>
      <c r="E98" s="2">
        <f>IFERROR(__xludf.DUMMYFUNCTION("""COMPUTED_VALUE"""),1.99)</f>
        <v>1.99</v>
      </c>
      <c r="F98" s="2">
        <f>IFERROR(__xludf.DUMMYFUNCTION("""COMPUTED_VALUE"""),2729169.0)</f>
        <v>2729169</v>
      </c>
    </row>
    <row r="99">
      <c r="A99" s="3">
        <f>IFERROR(__xludf.DUMMYFUNCTION("""COMPUTED_VALUE"""),40497.666666666664)</f>
        <v>40497.66667</v>
      </c>
      <c r="B99" s="2">
        <f>IFERROR(__xludf.DUMMYFUNCTION("""COMPUTED_VALUE"""),2.01)</f>
        <v>2.01</v>
      </c>
      <c r="C99" s="2">
        <f>IFERROR(__xludf.DUMMYFUNCTION("""COMPUTED_VALUE"""),2.2)</f>
        <v>2.2</v>
      </c>
      <c r="D99" s="2">
        <f>IFERROR(__xludf.DUMMYFUNCTION("""COMPUTED_VALUE"""),2.01)</f>
        <v>2.01</v>
      </c>
      <c r="E99" s="2">
        <f>IFERROR(__xludf.DUMMYFUNCTION("""COMPUTED_VALUE"""),2.05)</f>
        <v>2.05</v>
      </c>
      <c r="F99" s="2">
        <f>IFERROR(__xludf.DUMMYFUNCTION("""COMPUTED_VALUE"""),2625133.0)</f>
        <v>2625133</v>
      </c>
    </row>
    <row r="100">
      <c r="A100" s="3">
        <f>IFERROR(__xludf.DUMMYFUNCTION("""COMPUTED_VALUE"""),40498.666666666664)</f>
        <v>40498.66667</v>
      </c>
      <c r="B100" s="2">
        <f>IFERROR(__xludf.DUMMYFUNCTION("""COMPUTED_VALUE"""),2.07)</f>
        <v>2.07</v>
      </c>
      <c r="C100" s="2">
        <f>IFERROR(__xludf.DUMMYFUNCTION("""COMPUTED_VALUE"""),2.09)</f>
        <v>2.09</v>
      </c>
      <c r="D100" s="2">
        <f>IFERROR(__xludf.DUMMYFUNCTION("""COMPUTED_VALUE"""),1.89)</f>
        <v>1.89</v>
      </c>
      <c r="E100" s="2">
        <f>IFERROR(__xludf.DUMMYFUNCTION("""COMPUTED_VALUE"""),1.98)</f>
        <v>1.98</v>
      </c>
      <c r="F100" s="2">
        <f>IFERROR(__xludf.DUMMYFUNCTION("""COMPUTED_VALUE"""),1347731.0)</f>
        <v>1347731</v>
      </c>
    </row>
    <row r="101">
      <c r="A101" s="3">
        <f>IFERROR(__xludf.DUMMYFUNCTION("""COMPUTED_VALUE"""),40499.666666666664)</f>
        <v>40499.66667</v>
      </c>
      <c r="B101" s="2">
        <f>IFERROR(__xludf.DUMMYFUNCTION("""COMPUTED_VALUE"""),2.0)</f>
        <v>2</v>
      </c>
      <c r="C101" s="2">
        <f>IFERROR(__xludf.DUMMYFUNCTION("""COMPUTED_VALUE"""),2.05)</f>
        <v>2.05</v>
      </c>
      <c r="D101" s="2">
        <f>IFERROR(__xludf.DUMMYFUNCTION("""COMPUTED_VALUE"""),1.91)</f>
        <v>1.91</v>
      </c>
      <c r="E101" s="2">
        <f>IFERROR(__xludf.DUMMYFUNCTION("""COMPUTED_VALUE"""),1.97)</f>
        <v>1.97</v>
      </c>
      <c r="F101" s="2">
        <f>IFERROR(__xludf.DUMMYFUNCTION("""COMPUTED_VALUE"""),750341.0)</f>
        <v>750341</v>
      </c>
    </row>
    <row r="102">
      <c r="A102" s="3">
        <f>IFERROR(__xludf.DUMMYFUNCTION("""COMPUTED_VALUE"""),40500.666666666664)</f>
        <v>40500.66667</v>
      </c>
      <c r="B102" s="2">
        <f>IFERROR(__xludf.DUMMYFUNCTION("""COMPUTED_VALUE"""),2.04)</f>
        <v>2.04</v>
      </c>
      <c r="C102" s="2">
        <f>IFERROR(__xludf.DUMMYFUNCTION("""COMPUTED_VALUE"""),2.05)</f>
        <v>2.05</v>
      </c>
      <c r="D102" s="2">
        <f>IFERROR(__xludf.DUMMYFUNCTION("""COMPUTED_VALUE"""),1.93)</f>
        <v>1.93</v>
      </c>
      <c r="E102" s="2">
        <f>IFERROR(__xludf.DUMMYFUNCTION("""COMPUTED_VALUE"""),1.99)</f>
        <v>1.99</v>
      </c>
      <c r="F102" s="2">
        <f>IFERROR(__xludf.DUMMYFUNCTION("""COMPUTED_VALUE"""),956248.0)</f>
        <v>956248</v>
      </c>
    </row>
    <row r="103">
      <c r="A103" s="3">
        <f>IFERROR(__xludf.DUMMYFUNCTION("""COMPUTED_VALUE"""),40501.666666666664)</f>
        <v>40501.66667</v>
      </c>
      <c r="B103" s="2">
        <f>IFERROR(__xludf.DUMMYFUNCTION("""COMPUTED_VALUE"""),2.01)</f>
        <v>2.01</v>
      </c>
      <c r="C103" s="2">
        <f>IFERROR(__xludf.DUMMYFUNCTION("""COMPUTED_VALUE"""),2.09)</f>
        <v>2.09</v>
      </c>
      <c r="D103" s="2">
        <f>IFERROR(__xludf.DUMMYFUNCTION("""COMPUTED_VALUE"""),1.98)</f>
        <v>1.98</v>
      </c>
      <c r="E103" s="2">
        <f>IFERROR(__xludf.DUMMYFUNCTION("""COMPUTED_VALUE"""),2.07)</f>
        <v>2.07</v>
      </c>
      <c r="F103" s="2">
        <f>IFERROR(__xludf.DUMMYFUNCTION("""COMPUTED_VALUE"""),1150494.0)</f>
        <v>1150494</v>
      </c>
    </row>
    <row r="104">
      <c r="A104" s="3">
        <f>IFERROR(__xludf.DUMMYFUNCTION("""COMPUTED_VALUE"""),40504.666666666664)</f>
        <v>40504.66667</v>
      </c>
      <c r="B104" s="2">
        <f>IFERROR(__xludf.DUMMYFUNCTION("""COMPUTED_VALUE"""),2.1)</f>
        <v>2.1</v>
      </c>
      <c r="C104" s="2">
        <f>IFERROR(__xludf.DUMMYFUNCTION("""COMPUTED_VALUE"""),2.23)</f>
        <v>2.23</v>
      </c>
      <c r="D104" s="2">
        <f>IFERROR(__xludf.DUMMYFUNCTION("""COMPUTED_VALUE"""),2.1)</f>
        <v>2.1</v>
      </c>
      <c r="E104" s="2">
        <f>IFERROR(__xludf.DUMMYFUNCTION("""COMPUTED_VALUE"""),2.23)</f>
        <v>2.23</v>
      </c>
      <c r="F104" s="2">
        <f>IFERROR(__xludf.DUMMYFUNCTION("""COMPUTED_VALUE"""),1529972.0)</f>
        <v>1529972</v>
      </c>
    </row>
    <row r="105">
      <c r="A105" s="3">
        <f>IFERROR(__xludf.DUMMYFUNCTION("""COMPUTED_VALUE"""),40505.666666666664)</f>
        <v>40505.66667</v>
      </c>
      <c r="B105" s="2">
        <f>IFERROR(__xludf.DUMMYFUNCTION("""COMPUTED_VALUE"""),2.22)</f>
        <v>2.22</v>
      </c>
      <c r="C105" s="2">
        <f>IFERROR(__xludf.DUMMYFUNCTION("""COMPUTED_VALUE"""),2.38)</f>
        <v>2.38</v>
      </c>
      <c r="D105" s="2">
        <f>IFERROR(__xludf.DUMMYFUNCTION("""COMPUTED_VALUE"""),2.15)</f>
        <v>2.15</v>
      </c>
      <c r="E105" s="2">
        <f>IFERROR(__xludf.DUMMYFUNCTION("""COMPUTED_VALUE"""),2.3)</f>
        <v>2.3</v>
      </c>
      <c r="F105" s="2">
        <f>IFERROR(__xludf.DUMMYFUNCTION("""COMPUTED_VALUE"""),1578070.0)</f>
        <v>1578070</v>
      </c>
    </row>
    <row r="106">
      <c r="A106" s="3">
        <f>IFERROR(__xludf.DUMMYFUNCTION("""COMPUTED_VALUE"""),40506.666666666664)</f>
        <v>40506.66667</v>
      </c>
      <c r="B106" s="2">
        <f>IFERROR(__xludf.DUMMYFUNCTION("""COMPUTED_VALUE"""),2.35)</f>
        <v>2.35</v>
      </c>
      <c r="C106" s="2">
        <f>IFERROR(__xludf.DUMMYFUNCTION("""COMPUTED_VALUE"""),2.4)</f>
        <v>2.4</v>
      </c>
      <c r="D106" s="2">
        <f>IFERROR(__xludf.DUMMYFUNCTION("""COMPUTED_VALUE"""),2.29)</f>
        <v>2.29</v>
      </c>
      <c r="E106" s="2">
        <f>IFERROR(__xludf.DUMMYFUNCTION("""COMPUTED_VALUE"""),2.36)</f>
        <v>2.36</v>
      </c>
      <c r="F106" s="2">
        <f>IFERROR(__xludf.DUMMYFUNCTION("""COMPUTED_VALUE"""),1424959.0)</f>
        <v>1424959</v>
      </c>
    </row>
    <row r="107">
      <c r="A107" s="3">
        <f>IFERROR(__xludf.DUMMYFUNCTION("""COMPUTED_VALUE"""),40508.666666666664)</f>
        <v>40508.66667</v>
      </c>
      <c r="B107" s="2">
        <f>IFERROR(__xludf.DUMMYFUNCTION("""COMPUTED_VALUE"""),2.37)</f>
        <v>2.37</v>
      </c>
      <c r="C107" s="2">
        <f>IFERROR(__xludf.DUMMYFUNCTION("""COMPUTED_VALUE"""),2.4)</f>
        <v>2.4</v>
      </c>
      <c r="D107" s="2">
        <f>IFERROR(__xludf.DUMMYFUNCTION("""COMPUTED_VALUE"""),2.32)</f>
        <v>2.32</v>
      </c>
      <c r="E107" s="2">
        <f>IFERROR(__xludf.DUMMYFUNCTION("""COMPUTED_VALUE"""),2.35)</f>
        <v>2.35</v>
      </c>
      <c r="F107" s="2">
        <f>IFERROR(__xludf.DUMMYFUNCTION("""COMPUTED_VALUE"""),350554.0)</f>
        <v>350554</v>
      </c>
    </row>
    <row r="108">
      <c r="A108" s="3">
        <f>IFERROR(__xludf.DUMMYFUNCTION("""COMPUTED_VALUE"""),40511.666666666664)</f>
        <v>40511.66667</v>
      </c>
      <c r="B108" s="2">
        <f>IFERROR(__xludf.DUMMYFUNCTION("""COMPUTED_VALUE"""),2.38)</f>
        <v>2.38</v>
      </c>
      <c r="C108" s="2">
        <f>IFERROR(__xludf.DUMMYFUNCTION("""COMPUTED_VALUE"""),2.4)</f>
        <v>2.4</v>
      </c>
      <c r="D108" s="2">
        <f>IFERROR(__xludf.DUMMYFUNCTION("""COMPUTED_VALUE"""),2.22)</f>
        <v>2.22</v>
      </c>
      <c r="E108" s="2">
        <f>IFERROR(__xludf.DUMMYFUNCTION("""COMPUTED_VALUE"""),2.29)</f>
        <v>2.29</v>
      </c>
      <c r="F108" s="2">
        <f>IFERROR(__xludf.DUMMYFUNCTION("""COMPUTED_VALUE"""),1145543.0)</f>
        <v>1145543</v>
      </c>
    </row>
    <row r="109">
      <c r="A109" s="3">
        <f>IFERROR(__xludf.DUMMYFUNCTION("""COMPUTED_VALUE"""),40512.666666666664)</f>
        <v>40512.66667</v>
      </c>
      <c r="B109" s="2">
        <f>IFERROR(__xludf.DUMMYFUNCTION("""COMPUTED_VALUE"""),2.25)</f>
        <v>2.25</v>
      </c>
      <c r="C109" s="2">
        <f>IFERROR(__xludf.DUMMYFUNCTION("""COMPUTED_VALUE"""),2.36)</f>
        <v>2.36</v>
      </c>
      <c r="D109" s="2">
        <f>IFERROR(__xludf.DUMMYFUNCTION("""COMPUTED_VALUE"""),2.23)</f>
        <v>2.23</v>
      </c>
      <c r="E109" s="2">
        <f>IFERROR(__xludf.DUMMYFUNCTION("""COMPUTED_VALUE"""),2.36)</f>
        <v>2.36</v>
      </c>
      <c r="F109" s="2">
        <f>IFERROR(__xludf.DUMMYFUNCTION("""COMPUTED_VALUE"""),2222958.0)</f>
        <v>2222958</v>
      </c>
    </row>
    <row r="110">
      <c r="A110" s="3">
        <f>IFERROR(__xludf.DUMMYFUNCTION("""COMPUTED_VALUE"""),40513.666666666664)</f>
        <v>40513.66667</v>
      </c>
      <c r="B110" s="2">
        <f>IFERROR(__xludf.DUMMYFUNCTION("""COMPUTED_VALUE"""),2.39)</f>
        <v>2.39</v>
      </c>
      <c r="C110" s="2">
        <f>IFERROR(__xludf.DUMMYFUNCTION("""COMPUTED_VALUE"""),2.43)</f>
        <v>2.43</v>
      </c>
      <c r="D110" s="2">
        <f>IFERROR(__xludf.DUMMYFUNCTION("""COMPUTED_VALUE"""),2.23)</f>
        <v>2.23</v>
      </c>
      <c r="E110" s="2">
        <f>IFERROR(__xludf.DUMMYFUNCTION("""COMPUTED_VALUE"""),2.29)</f>
        <v>2.29</v>
      </c>
      <c r="F110" s="2">
        <f>IFERROR(__xludf.DUMMYFUNCTION("""COMPUTED_VALUE"""),1299175.0)</f>
        <v>1299175</v>
      </c>
    </row>
    <row r="111">
      <c r="A111" s="3">
        <f>IFERROR(__xludf.DUMMYFUNCTION("""COMPUTED_VALUE"""),40514.666666666664)</f>
        <v>40514.66667</v>
      </c>
      <c r="B111" s="2">
        <f>IFERROR(__xludf.DUMMYFUNCTION("""COMPUTED_VALUE"""),2.27)</f>
        <v>2.27</v>
      </c>
      <c r="C111" s="2">
        <f>IFERROR(__xludf.DUMMYFUNCTION("""COMPUTED_VALUE"""),2.29)</f>
        <v>2.29</v>
      </c>
      <c r="D111" s="2">
        <f>IFERROR(__xludf.DUMMYFUNCTION("""COMPUTED_VALUE"""),2.08)</f>
        <v>2.08</v>
      </c>
      <c r="E111" s="2">
        <f>IFERROR(__xludf.DUMMYFUNCTION("""COMPUTED_VALUE"""),2.16)</f>
        <v>2.16</v>
      </c>
      <c r="F111" s="2">
        <f>IFERROR(__xludf.DUMMYFUNCTION("""COMPUTED_VALUE"""),2006967.0)</f>
        <v>2006967</v>
      </c>
    </row>
    <row r="112">
      <c r="A112" s="3">
        <f>IFERROR(__xludf.DUMMYFUNCTION("""COMPUTED_VALUE"""),40515.666666666664)</f>
        <v>40515.66667</v>
      </c>
      <c r="B112" s="2">
        <f>IFERROR(__xludf.DUMMYFUNCTION("""COMPUTED_VALUE"""),2.13)</f>
        <v>2.13</v>
      </c>
      <c r="C112" s="2">
        <f>IFERROR(__xludf.DUMMYFUNCTION("""COMPUTED_VALUE"""),2.15)</f>
        <v>2.15</v>
      </c>
      <c r="D112" s="2">
        <f>IFERROR(__xludf.DUMMYFUNCTION("""COMPUTED_VALUE"""),2.06)</f>
        <v>2.06</v>
      </c>
      <c r="E112" s="2">
        <f>IFERROR(__xludf.DUMMYFUNCTION("""COMPUTED_VALUE"""),2.1)</f>
        <v>2.1</v>
      </c>
      <c r="F112" s="2">
        <f>IFERROR(__xludf.DUMMYFUNCTION("""COMPUTED_VALUE"""),1160460.0)</f>
        <v>1160460</v>
      </c>
    </row>
    <row r="113">
      <c r="A113" s="3">
        <f>IFERROR(__xludf.DUMMYFUNCTION("""COMPUTED_VALUE"""),40518.666666666664)</f>
        <v>40518.66667</v>
      </c>
      <c r="B113" s="2">
        <f>IFERROR(__xludf.DUMMYFUNCTION("""COMPUTED_VALUE"""),2.09)</f>
        <v>2.09</v>
      </c>
      <c r="C113" s="2">
        <f>IFERROR(__xludf.DUMMYFUNCTION("""COMPUTED_VALUE"""),2.1)</f>
        <v>2.1</v>
      </c>
      <c r="D113" s="2">
        <f>IFERROR(__xludf.DUMMYFUNCTION("""COMPUTED_VALUE"""),1.97)</f>
        <v>1.97</v>
      </c>
      <c r="E113" s="2">
        <f>IFERROR(__xludf.DUMMYFUNCTION("""COMPUTED_VALUE"""),2.02)</f>
        <v>2.02</v>
      </c>
      <c r="F113" s="2">
        <f>IFERROR(__xludf.DUMMYFUNCTION("""COMPUTED_VALUE"""),1274375.0)</f>
        <v>1274375</v>
      </c>
    </row>
    <row r="114">
      <c r="A114" s="3">
        <f>IFERROR(__xludf.DUMMYFUNCTION("""COMPUTED_VALUE"""),40519.666666666664)</f>
        <v>40519.66667</v>
      </c>
      <c r="B114" s="2">
        <f>IFERROR(__xludf.DUMMYFUNCTION("""COMPUTED_VALUE"""),2.03)</f>
        <v>2.03</v>
      </c>
      <c r="C114" s="2">
        <f>IFERROR(__xludf.DUMMYFUNCTION("""COMPUTED_VALUE"""),2.16)</f>
        <v>2.16</v>
      </c>
      <c r="D114" s="2">
        <f>IFERROR(__xludf.DUMMYFUNCTION("""COMPUTED_VALUE"""),2.0)</f>
        <v>2</v>
      </c>
      <c r="E114" s="2">
        <f>IFERROR(__xludf.DUMMYFUNCTION("""COMPUTED_VALUE"""),2.1)</f>
        <v>2.1</v>
      </c>
      <c r="F114" s="2">
        <f>IFERROR(__xludf.DUMMYFUNCTION("""COMPUTED_VALUE"""),1311548.0)</f>
        <v>1311548</v>
      </c>
    </row>
    <row r="115">
      <c r="A115" s="3">
        <f>IFERROR(__xludf.DUMMYFUNCTION("""COMPUTED_VALUE"""),40520.666666666664)</f>
        <v>40520.66667</v>
      </c>
      <c r="B115" s="2">
        <f>IFERROR(__xludf.DUMMYFUNCTION("""COMPUTED_VALUE"""),2.17)</f>
        <v>2.17</v>
      </c>
      <c r="C115" s="2">
        <f>IFERROR(__xludf.DUMMYFUNCTION("""COMPUTED_VALUE"""),2.17)</f>
        <v>2.17</v>
      </c>
      <c r="D115" s="2">
        <f>IFERROR(__xludf.DUMMYFUNCTION("""COMPUTED_VALUE"""),2.1)</f>
        <v>2.1</v>
      </c>
      <c r="E115" s="2">
        <f>IFERROR(__xludf.DUMMYFUNCTION("""COMPUTED_VALUE"""),2.16)</f>
        <v>2.16</v>
      </c>
      <c r="F115" s="2">
        <f>IFERROR(__xludf.DUMMYFUNCTION("""COMPUTED_VALUE"""),660980.0)</f>
        <v>660980</v>
      </c>
    </row>
    <row r="116">
      <c r="A116" s="3">
        <f>IFERROR(__xludf.DUMMYFUNCTION("""COMPUTED_VALUE"""),40521.666666666664)</f>
        <v>40521.66667</v>
      </c>
      <c r="B116" s="2">
        <f>IFERROR(__xludf.DUMMYFUNCTION("""COMPUTED_VALUE"""),2.17)</f>
        <v>2.17</v>
      </c>
      <c r="C116" s="2">
        <f>IFERROR(__xludf.DUMMYFUNCTION("""COMPUTED_VALUE"""),2.18)</f>
        <v>2.18</v>
      </c>
      <c r="D116" s="2">
        <f>IFERROR(__xludf.DUMMYFUNCTION("""COMPUTED_VALUE"""),2.11)</f>
        <v>2.11</v>
      </c>
      <c r="E116" s="2">
        <f>IFERROR(__xludf.DUMMYFUNCTION("""COMPUTED_VALUE"""),2.14)</f>
        <v>2.14</v>
      </c>
      <c r="F116" s="2">
        <f>IFERROR(__xludf.DUMMYFUNCTION("""COMPUTED_VALUE"""),405983.0)</f>
        <v>405983</v>
      </c>
    </row>
    <row r="117">
      <c r="A117" s="3">
        <f>IFERROR(__xludf.DUMMYFUNCTION("""COMPUTED_VALUE"""),40522.666666666664)</f>
        <v>40522.66667</v>
      </c>
      <c r="B117" s="2">
        <f>IFERROR(__xludf.DUMMYFUNCTION("""COMPUTED_VALUE"""),2.14)</f>
        <v>2.14</v>
      </c>
      <c r="C117" s="2">
        <f>IFERROR(__xludf.DUMMYFUNCTION("""COMPUTED_VALUE"""),2.19)</f>
        <v>2.19</v>
      </c>
      <c r="D117" s="2">
        <f>IFERROR(__xludf.DUMMYFUNCTION("""COMPUTED_VALUE"""),2.08)</f>
        <v>2.08</v>
      </c>
      <c r="E117" s="2">
        <f>IFERROR(__xludf.DUMMYFUNCTION("""COMPUTED_VALUE"""),2.1)</f>
        <v>2.1</v>
      </c>
      <c r="F117" s="2">
        <f>IFERROR(__xludf.DUMMYFUNCTION("""COMPUTED_VALUE"""),429381.0)</f>
        <v>429381</v>
      </c>
    </row>
    <row r="118">
      <c r="A118" s="3">
        <f>IFERROR(__xludf.DUMMYFUNCTION("""COMPUTED_VALUE"""),40525.666666666664)</f>
        <v>40525.66667</v>
      </c>
      <c r="B118" s="2">
        <f>IFERROR(__xludf.DUMMYFUNCTION("""COMPUTED_VALUE"""),2.11)</f>
        <v>2.11</v>
      </c>
      <c r="C118" s="2">
        <f>IFERROR(__xludf.DUMMYFUNCTION("""COMPUTED_VALUE"""),2.12)</f>
        <v>2.12</v>
      </c>
      <c r="D118" s="2">
        <f>IFERROR(__xludf.DUMMYFUNCTION("""COMPUTED_VALUE"""),2.03)</f>
        <v>2.03</v>
      </c>
      <c r="E118" s="2">
        <f>IFERROR(__xludf.DUMMYFUNCTION("""COMPUTED_VALUE"""),2.04)</f>
        <v>2.04</v>
      </c>
      <c r="F118" s="2">
        <f>IFERROR(__xludf.DUMMYFUNCTION("""COMPUTED_VALUE"""),410331.0)</f>
        <v>410331</v>
      </c>
    </row>
    <row r="119">
      <c r="A119" s="3">
        <f>IFERROR(__xludf.DUMMYFUNCTION("""COMPUTED_VALUE"""),40526.666666666664)</f>
        <v>40526.66667</v>
      </c>
      <c r="B119" s="2">
        <f>IFERROR(__xludf.DUMMYFUNCTION("""COMPUTED_VALUE"""),2.02)</f>
        <v>2.02</v>
      </c>
      <c r="C119" s="2">
        <f>IFERROR(__xludf.DUMMYFUNCTION("""COMPUTED_VALUE"""),2.03)</f>
        <v>2.03</v>
      </c>
      <c r="D119" s="2">
        <f>IFERROR(__xludf.DUMMYFUNCTION("""COMPUTED_VALUE"""),1.85)</f>
        <v>1.85</v>
      </c>
      <c r="E119" s="2">
        <f>IFERROR(__xludf.DUMMYFUNCTION("""COMPUTED_VALUE"""),1.9)</f>
        <v>1.9</v>
      </c>
      <c r="F119" s="2">
        <f>IFERROR(__xludf.DUMMYFUNCTION("""COMPUTED_VALUE"""),1766910.0)</f>
        <v>1766910</v>
      </c>
    </row>
    <row r="120">
      <c r="A120" s="3">
        <f>IFERROR(__xludf.DUMMYFUNCTION("""COMPUTED_VALUE"""),40527.666666666664)</f>
        <v>40527.66667</v>
      </c>
      <c r="B120" s="2">
        <f>IFERROR(__xludf.DUMMYFUNCTION("""COMPUTED_VALUE"""),1.91)</f>
        <v>1.91</v>
      </c>
      <c r="C120" s="2">
        <f>IFERROR(__xludf.DUMMYFUNCTION("""COMPUTED_VALUE"""),2.0)</f>
        <v>2</v>
      </c>
      <c r="D120" s="2">
        <f>IFERROR(__xludf.DUMMYFUNCTION("""COMPUTED_VALUE"""),1.9)</f>
        <v>1.9</v>
      </c>
      <c r="E120" s="2">
        <f>IFERROR(__xludf.DUMMYFUNCTION("""COMPUTED_VALUE"""),1.97)</f>
        <v>1.97</v>
      </c>
      <c r="F120" s="2">
        <f>IFERROR(__xludf.DUMMYFUNCTION("""COMPUTED_VALUE"""),742900.0)</f>
        <v>742900</v>
      </c>
    </row>
    <row r="121">
      <c r="A121" s="3">
        <f>IFERROR(__xludf.DUMMYFUNCTION("""COMPUTED_VALUE"""),40528.666666666664)</f>
        <v>40528.66667</v>
      </c>
      <c r="B121" s="2">
        <f>IFERROR(__xludf.DUMMYFUNCTION("""COMPUTED_VALUE"""),2.0)</f>
        <v>2</v>
      </c>
      <c r="C121" s="2">
        <f>IFERROR(__xludf.DUMMYFUNCTION("""COMPUTED_VALUE"""),2.06)</f>
        <v>2.06</v>
      </c>
      <c r="D121" s="2">
        <f>IFERROR(__xludf.DUMMYFUNCTION("""COMPUTED_VALUE"""),1.98)</f>
        <v>1.98</v>
      </c>
      <c r="E121" s="2">
        <f>IFERROR(__xludf.DUMMYFUNCTION("""COMPUTED_VALUE"""),2.05)</f>
        <v>2.05</v>
      </c>
      <c r="F121" s="2">
        <f>IFERROR(__xludf.DUMMYFUNCTION("""COMPUTED_VALUE"""),790070.0)</f>
        <v>790070</v>
      </c>
    </row>
    <row r="122">
      <c r="A122" s="3">
        <f>IFERROR(__xludf.DUMMYFUNCTION("""COMPUTED_VALUE"""),40529.666666666664)</f>
        <v>40529.66667</v>
      </c>
      <c r="B122" s="2">
        <f>IFERROR(__xludf.DUMMYFUNCTION("""COMPUTED_VALUE"""),2.09)</f>
        <v>2.09</v>
      </c>
      <c r="C122" s="2">
        <f>IFERROR(__xludf.DUMMYFUNCTION("""COMPUTED_VALUE"""),2.1)</f>
        <v>2.1</v>
      </c>
      <c r="D122" s="2">
        <f>IFERROR(__xludf.DUMMYFUNCTION("""COMPUTED_VALUE"""),2.05)</f>
        <v>2.05</v>
      </c>
      <c r="E122" s="2">
        <f>IFERROR(__xludf.DUMMYFUNCTION("""COMPUTED_VALUE"""),2.09)</f>
        <v>2.09</v>
      </c>
      <c r="F122" s="2">
        <f>IFERROR(__xludf.DUMMYFUNCTION("""COMPUTED_VALUE"""),813817.0)</f>
        <v>813817</v>
      </c>
    </row>
    <row r="123">
      <c r="A123" s="3">
        <f>IFERROR(__xludf.DUMMYFUNCTION("""COMPUTED_VALUE"""),40532.666666666664)</f>
        <v>40532.66667</v>
      </c>
      <c r="B123" s="2">
        <f>IFERROR(__xludf.DUMMYFUNCTION("""COMPUTED_VALUE"""),2.11)</f>
        <v>2.11</v>
      </c>
      <c r="C123" s="2">
        <f>IFERROR(__xludf.DUMMYFUNCTION("""COMPUTED_VALUE"""),2.15)</f>
        <v>2.15</v>
      </c>
      <c r="D123" s="2">
        <f>IFERROR(__xludf.DUMMYFUNCTION("""COMPUTED_VALUE"""),2.08)</f>
        <v>2.08</v>
      </c>
      <c r="E123" s="2">
        <f>IFERROR(__xludf.DUMMYFUNCTION("""COMPUTED_VALUE"""),2.11)</f>
        <v>2.11</v>
      </c>
      <c r="F123" s="2">
        <f>IFERROR(__xludf.DUMMYFUNCTION("""COMPUTED_VALUE"""),523320.0)</f>
        <v>523320</v>
      </c>
    </row>
    <row r="124">
      <c r="A124" s="3">
        <f>IFERROR(__xludf.DUMMYFUNCTION("""COMPUTED_VALUE"""),40533.666666666664)</f>
        <v>40533.66667</v>
      </c>
      <c r="B124" s="2">
        <f>IFERROR(__xludf.DUMMYFUNCTION("""COMPUTED_VALUE"""),2.12)</f>
        <v>2.12</v>
      </c>
      <c r="C124" s="2">
        <f>IFERROR(__xludf.DUMMYFUNCTION("""COMPUTED_VALUE"""),2.18)</f>
        <v>2.18</v>
      </c>
      <c r="D124" s="2">
        <f>IFERROR(__xludf.DUMMYFUNCTION("""COMPUTED_VALUE"""),2.11)</f>
        <v>2.11</v>
      </c>
      <c r="E124" s="2">
        <f>IFERROR(__xludf.DUMMYFUNCTION("""COMPUTED_VALUE"""),2.15)</f>
        <v>2.15</v>
      </c>
      <c r="F124" s="2">
        <f>IFERROR(__xludf.DUMMYFUNCTION("""COMPUTED_VALUE"""),777678.0)</f>
        <v>777678</v>
      </c>
    </row>
    <row r="125">
      <c r="A125" s="3">
        <f>IFERROR(__xludf.DUMMYFUNCTION("""COMPUTED_VALUE"""),40534.666666666664)</f>
        <v>40534.66667</v>
      </c>
      <c r="B125" s="2">
        <f>IFERROR(__xludf.DUMMYFUNCTION("""COMPUTED_VALUE"""),2.15)</f>
        <v>2.15</v>
      </c>
      <c r="C125" s="2">
        <f>IFERROR(__xludf.DUMMYFUNCTION("""COMPUTED_VALUE"""),2.19)</f>
        <v>2.19</v>
      </c>
      <c r="D125" s="2">
        <f>IFERROR(__xludf.DUMMYFUNCTION("""COMPUTED_VALUE"""),2.11)</f>
        <v>2.11</v>
      </c>
      <c r="E125" s="2">
        <f>IFERROR(__xludf.DUMMYFUNCTION("""COMPUTED_VALUE"""),2.18)</f>
        <v>2.18</v>
      </c>
      <c r="F125" s="2">
        <f>IFERROR(__xludf.DUMMYFUNCTION("""COMPUTED_VALUE"""),833256.0)</f>
        <v>833256</v>
      </c>
    </row>
    <row r="126">
      <c r="A126" s="3">
        <f>IFERROR(__xludf.DUMMYFUNCTION("""COMPUTED_VALUE"""),40535.666666666664)</f>
        <v>40535.66667</v>
      </c>
      <c r="B126" s="2">
        <f>IFERROR(__xludf.DUMMYFUNCTION("""COMPUTED_VALUE"""),2.08)</f>
        <v>2.08</v>
      </c>
      <c r="C126" s="2">
        <f>IFERROR(__xludf.DUMMYFUNCTION("""COMPUTED_VALUE"""),2.17)</f>
        <v>2.17</v>
      </c>
      <c r="D126" s="2">
        <f>IFERROR(__xludf.DUMMYFUNCTION("""COMPUTED_VALUE"""),1.99)</f>
        <v>1.99</v>
      </c>
      <c r="E126" s="2">
        <f>IFERROR(__xludf.DUMMYFUNCTION("""COMPUTED_VALUE"""),2.01)</f>
        <v>2.01</v>
      </c>
      <c r="F126" s="2">
        <f>IFERROR(__xludf.DUMMYFUNCTION("""COMPUTED_VALUE"""),1557125.0)</f>
        <v>1557125</v>
      </c>
    </row>
    <row r="127">
      <c r="A127" s="3">
        <f>IFERROR(__xludf.DUMMYFUNCTION("""COMPUTED_VALUE"""),40539.666666666664)</f>
        <v>40539.66667</v>
      </c>
      <c r="B127" s="2">
        <f>IFERROR(__xludf.DUMMYFUNCTION("""COMPUTED_VALUE"""),1.87)</f>
        <v>1.87</v>
      </c>
      <c r="C127" s="2">
        <f>IFERROR(__xludf.DUMMYFUNCTION("""COMPUTED_VALUE"""),1.91)</f>
        <v>1.91</v>
      </c>
      <c r="D127" s="2">
        <f>IFERROR(__xludf.DUMMYFUNCTION("""COMPUTED_VALUE"""),1.67)</f>
        <v>1.67</v>
      </c>
      <c r="E127" s="2">
        <f>IFERROR(__xludf.DUMMYFUNCTION("""COMPUTED_VALUE"""),1.7)</f>
        <v>1.7</v>
      </c>
      <c r="F127" s="2">
        <f>IFERROR(__xludf.DUMMYFUNCTION("""COMPUTED_VALUE"""),9302329.0)</f>
        <v>9302329</v>
      </c>
    </row>
    <row r="128">
      <c r="A128" s="3">
        <f>IFERROR(__xludf.DUMMYFUNCTION("""COMPUTED_VALUE"""),40540.666666666664)</f>
        <v>40540.66667</v>
      </c>
      <c r="B128" s="2">
        <f>IFERROR(__xludf.DUMMYFUNCTION("""COMPUTED_VALUE"""),1.72)</f>
        <v>1.72</v>
      </c>
      <c r="C128" s="2">
        <f>IFERROR(__xludf.DUMMYFUNCTION("""COMPUTED_VALUE"""),1.78)</f>
        <v>1.78</v>
      </c>
      <c r="D128" s="2">
        <f>IFERROR(__xludf.DUMMYFUNCTION("""COMPUTED_VALUE"""),1.67)</f>
        <v>1.67</v>
      </c>
      <c r="E128" s="2">
        <f>IFERROR(__xludf.DUMMYFUNCTION("""COMPUTED_VALUE"""),1.76)</f>
        <v>1.76</v>
      </c>
      <c r="F128" s="2">
        <f>IFERROR(__xludf.DUMMYFUNCTION("""COMPUTED_VALUE"""),4056589.0)</f>
        <v>4056589</v>
      </c>
    </row>
    <row r="129">
      <c r="A129" s="3">
        <f>IFERROR(__xludf.DUMMYFUNCTION("""COMPUTED_VALUE"""),40541.666666666664)</f>
        <v>40541.66667</v>
      </c>
      <c r="B129" s="2">
        <f>IFERROR(__xludf.DUMMYFUNCTION("""COMPUTED_VALUE"""),1.8)</f>
        <v>1.8</v>
      </c>
      <c r="C129" s="2">
        <f>IFERROR(__xludf.DUMMYFUNCTION("""COMPUTED_VALUE"""),1.87)</f>
        <v>1.87</v>
      </c>
      <c r="D129" s="2">
        <f>IFERROR(__xludf.DUMMYFUNCTION("""COMPUTED_VALUE"""),1.77)</f>
        <v>1.77</v>
      </c>
      <c r="E129" s="2">
        <f>IFERROR(__xludf.DUMMYFUNCTION("""COMPUTED_VALUE"""),1.85)</f>
        <v>1.85</v>
      </c>
      <c r="F129" s="2">
        <f>IFERROR(__xludf.DUMMYFUNCTION("""COMPUTED_VALUE"""),3319430.0)</f>
        <v>3319430</v>
      </c>
    </row>
    <row r="130">
      <c r="A130" s="3">
        <f>IFERROR(__xludf.DUMMYFUNCTION("""COMPUTED_VALUE"""),40542.666666666664)</f>
        <v>40542.66667</v>
      </c>
      <c r="B130" s="2">
        <f>IFERROR(__xludf.DUMMYFUNCTION("""COMPUTED_VALUE"""),1.85)</f>
        <v>1.85</v>
      </c>
      <c r="C130" s="2">
        <f>IFERROR(__xludf.DUMMYFUNCTION("""COMPUTED_VALUE"""),1.86)</f>
        <v>1.86</v>
      </c>
      <c r="D130" s="2">
        <f>IFERROR(__xludf.DUMMYFUNCTION("""COMPUTED_VALUE"""),1.76)</f>
        <v>1.76</v>
      </c>
      <c r="E130" s="2">
        <f>IFERROR(__xludf.DUMMYFUNCTION("""COMPUTED_VALUE"""),1.77)</f>
        <v>1.77</v>
      </c>
      <c r="F130" s="2">
        <f>IFERROR(__xludf.DUMMYFUNCTION("""COMPUTED_VALUE"""),2041067.0)</f>
        <v>2041067</v>
      </c>
    </row>
    <row r="131">
      <c r="A131" s="3">
        <f>IFERROR(__xludf.DUMMYFUNCTION("""COMPUTED_VALUE"""),40543.666666666664)</f>
        <v>40543.66667</v>
      </c>
      <c r="B131" s="2">
        <f>IFERROR(__xludf.DUMMYFUNCTION("""COMPUTED_VALUE"""),1.77)</f>
        <v>1.77</v>
      </c>
      <c r="C131" s="2">
        <f>IFERROR(__xludf.DUMMYFUNCTION("""COMPUTED_VALUE"""),1.82)</f>
        <v>1.82</v>
      </c>
      <c r="D131" s="2">
        <f>IFERROR(__xludf.DUMMYFUNCTION("""COMPUTED_VALUE"""),1.77)</f>
        <v>1.77</v>
      </c>
      <c r="E131" s="2">
        <f>IFERROR(__xludf.DUMMYFUNCTION("""COMPUTED_VALUE"""),1.78)</f>
        <v>1.78</v>
      </c>
      <c r="F131" s="2">
        <f>IFERROR(__xludf.DUMMYFUNCTION("""COMPUTED_VALUE"""),1417847.0)</f>
        <v>1417847</v>
      </c>
    </row>
    <row r="132">
      <c r="A132" s="3">
        <f>IFERROR(__xludf.DUMMYFUNCTION("""COMPUTED_VALUE"""),40546.666666666664)</f>
        <v>40546.66667</v>
      </c>
      <c r="B132" s="2">
        <f>IFERROR(__xludf.DUMMYFUNCTION("""COMPUTED_VALUE"""),1.79)</f>
        <v>1.79</v>
      </c>
      <c r="C132" s="2">
        <f>IFERROR(__xludf.DUMMYFUNCTION("""COMPUTED_VALUE"""),1.8)</f>
        <v>1.8</v>
      </c>
      <c r="D132" s="2">
        <f>IFERROR(__xludf.DUMMYFUNCTION("""COMPUTED_VALUE"""),1.73)</f>
        <v>1.73</v>
      </c>
      <c r="E132" s="2">
        <f>IFERROR(__xludf.DUMMYFUNCTION("""COMPUTED_VALUE"""),1.77)</f>
        <v>1.77</v>
      </c>
      <c r="F132" s="2">
        <f>IFERROR(__xludf.DUMMYFUNCTION("""COMPUTED_VALUE"""),1284084.0)</f>
        <v>1284084</v>
      </c>
    </row>
    <row r="133">
      <c r="A133" s="3">
        <f>IFERROR(__xludf.DUMMYFUNCTION("""COMPUTED_VALUE"""),40547.666666666664)</f>
        <v>40547.66667</v>
      </c>
      <c r="B133" s="2">
        <f>IFERROR(__xludf.DUMMYFUNCTION("""COMPUTED_VALUE"""),1.78)</f>
        <v>1.78</v>
      </c>
      <c r="C133" s="2">
        <f>IFERROR(__xludf.DUMMYFUNCTION("""COMPUTED_VALUE"""),1.8)</f>
        <v>1.8</v>
      </c>
      <c r="D133" s="2">
        <f>IFERROR(__xludf.DUMMYFUNCTION("""COMPUTED_VALUE"""),1.73)</f>
        <v>1.73</v>
      </c>
      <c r="E133" s="2">
        <f>IFERROR(__xludf.DUMMYFUNCTION("""COMPUTED_VALUE"""),1.78)</f>
        <v>1.78</v>
      </c>
      <c r="F133" s="2">
        <f>IFERROR(__xludf.DUMMYFUNCTION("""COMPUTED_VALUE"""),1189071.0)</f>
        <v>1189071</v>
      </c>
    </row>
    <row r="134">
      <c r="A134" s="3">
        <f>IFERROR(__xludf.DUMMYFUNCTION("""COMPUTED_VALUE"""),40548.666666666664)</f>
        <v>40548.66667</v>
      </c>
      <c r="B134" s="2">
        <f>IFERROR(__xludf.DUMMYFUNCTION("""COMPUTED_VALUE"""),1.77)</f>
        <v>1.77</v>
      </c>
      <c r="C134" s="2">
        <f>IFERROR(__xludf.DUMMYFUNCTION("""COMPUTED_VALUE"""),1.79)</f>
        <v>1.79</v>
      </c>
      <c r="D134" s="2">
        <f>IFERROR(__xludf.DUMMYFUNCTION("""COMPUTED_VALUE"""),1.75)</f>
        <v>1.75</v>
      </c>
      <c r="E134" s="2">
        <f>IFERROR(__xludf.DUMMYFUNCTION("""COMPUTED_VALUE"""),1.79)</f>
        <v>1.79</v>
      </c>
      <c r="F134" s="2">
        <f>IFERROR(__xludf.DUMMYFUNCTION("""COMPUTED_VALUE"""),1446869.0)</f>
        <v>1446869</v>
      </c>
    </row>
    <row r="135">
      <c r="A135" s="3">
        <f>IFERROR(__xludf.DUMMYFUNCTION("""COMPUTED_VALUE"""),40549.666666666664)</f>
        <v>40549.66667</v>
      </c>
      <c r="B135" s="2">
        <f>IFERROR(__xludf.DUMMYFUNCTION("""COMPUTED_VALUE"""),1.79)</f>
        <v>1.79</v>
      </c>
      <c r="C135" s="2">
        <f>IFERROR(__xludf.DUMMYFUNCTION("""COMPUTED_VALUE"""),1.87)</f>
        <v>1.87</v>
      </c>
      <c r="D135" s="2">
        <f>IFERROR(__xludf.DUMMYFUNCTION("""COMPUTED_VALUE"""),1.79)</f>
        <v>1.79</v>
      </c>
      <c r="E135" s="2">
        <f>IFERROR(__xludf.DUMMYFUNCTION("""COMPUTED_VALUE"""),1.86)</f>
        <v>1.86</v>
      </c>
      <c r="F135" s="2">
        <f>IFERROR(__xludf.DUMMYFUNCTION("""COMPUTED_VALUE"""),2061217.0)</f>
        <v>2061217</v>
      </c>
    </row>
    <row r="136">
      <c r="A136" s="3">
        <f>IFERROR(__xludf.DUMMYFUNCTION("""COMPUTED_VALUE"""),40550.666666666664)</f>
        <v>40550.66667</v>
      </c>
      <c r="B136" s="2">
        <f>IFERROR(__xludf.DUMMYFUNCTION("""COMPUTED_VALUE"""),1.87)</f>
        <v>1.87</v>
      </c>
      <c r="C136" s="2">
        <f>IFERROR(__xludf.DUMMYFUNCTION("""COMPUTED_VALUE"""),1.91)</f>
        <v>1.91</v>
      </c>
      <c r="D136" s="2">
        <f>IFERROR(__xludf.DUMMYFUNCTION("""COMPUTED_VALUE"""),1.86)</f>
        <v>1.86</v>
      </c>
      <c r="E136" s="2">
        <f>IFERROR(__xludf.DUMMYFUNCTION("""COMPUTED_VALUE"""),1.88)</f>
        <v>1.88</v>
      </c>
      <c r="F136" s="2">
        <f>IFERROR(__xludf.DUMMYFUNCTION("""COMPUTED_VALUE"""),2249540.0)</f>
        <v>2249540</v>
      </c>
    </row>
    <row r="137">
      <c r="A137" s="3">
        <f>IFERROR(__xludf.DUMMYFUNCTION("""COMPUTED_VALUE"""),40553.666666666664)</f>
        <v>40553.66667</v>
      </c>
      <c r="B137" s="2">
        <f>IFERROR(__xludf.DUMMYFUNCTION("""COMPUTED_VALUE"""),1.88)</f>
        <v>1.88</v>
      </c>
      <c r="C137" s="2">
        <f>IFERROR(__xludf.DUMMYFUNCTION("""COMPUTED_VALUE"""),1.91)</f>
        <v>1.91</v>
      </c>
      <c r="D137" s="2">
        <f>IFERROR(__xludf.DUMMYFUNCTION("""COMPUTED_VALUE"""),1.87)</f>
        <v>1.87</v>
      </c>
      <c r="E137" s="2">
        <f>IFERROR(__xludf.DUMMYFUNCTION("""COMPUTED_VALUE"""),1.9)</f>
        <v>1.9</v>
      </c>
      <c r="F137" s="2">
        <f>IFERROR(__xludf.DUMMYFUNCTION("""COMPUTED_VALUE"""),1342812.0)</f>
        <v>1342812</v>
      </c>
    </row>
    <row r="138">
      <c r="A138" s="3">
        <f>IFERROR(__xludf.DUMMYFUNCTION("""COMPUTED_VALUE"""),40554.666666666664)</f>
        <v>40554.66667</v>
      </c>
      <c r="B138" s="2">
        <f>IFERROR(__xludf.DUMMYFUNCTION("""COMPUTED_VALUE"""),1.91)</f>
        <v>1.91</v>
      </c>
      <c r="C138" s="2">
        <f>IFERROR(__xludf.DUMMYFUNCTION("""COMPUTED_VALUE"""),1.91)</f>
        <v>1.91</v>
      </c>
      <c r="D138" s="2">
        <f>IFERROR(__xludf.DUMMYFUNCTION("""COMPUTED_VALUE"""),1.79)</f>
        <v>1.79</v>
      </c>
      <c r="E138" s="2">
        <f>IFERROR(__xludf.DUMMYFUNCTION("""COMPUTED_VALUE"""),1.8)</f>
        <v>1.8</v>
      </c>
      <c r="F138" s="2">
        <f>IFERROR(__xludf.DUMMYFUNCTION("""COMPUTED_VALUE"""),1711355.0)</f>
        <v>1711355</v>
      </c>
    </row>
    <row r="139">
      <c r="A139" s="3">
        <f>IFERROR(__xludf.DUMMYFUNCTION("""COMPUTED_VALUE"""),40555.666666666664)</f>
        <v>40555.66667</v>
      </c>
      <c r="B139" s="2">
        <f>IFERROR(__xludf.DUMMYFUNCTION("""COMPUTED_VALUE"""),1.8)</f>
        <v>1.8</v>
      </c>
      <c r="C139" s="2">
        <f>IFERROR(__xludf.DUMMYFUNCTION("""COMPUTED_VALUE"""),1.83)</f>
        <v>1.83</v>
      </c>
      <c r="D139" s="2">
        <f>IFERROR(__xludf.DUMMYFUNCTION("""COMPUTED_VALUE"""),1.77)</f>
        <v>1.77</v>
      </c>
      <c r="E139" s="2">
        <f>IFERROR(__xludf.DUMMYFUNCTION("""COMPUTED_VALUE"""),1.8)</f>
        <v>1.8</v>
      </c>
      <c r="F139" s="2">
        <f>IFERROR(__xludf.DUMMYFUNCTION("""COMPUTED_VALUE"""),964722.0)</f>
        <v>964722</v>
      </c>
    </row>
    <row r="140">
      <c r="A140" s="3">
        <f>IFERROR(__xludf.DUMMYFUNCTION("""COMPUTED_VALUE"""),40556.666666666664)</f>
        <v>40556.66667</v>
      </c>
      <c r="B140" s="2">
        <f>IFERROR(__xludf.DUMMYFUNCTION("""COMPUTED_VALUE"""),1.8)</f>
        <v>1.8</v>
      </c>
      <c r="C140" s="2">
        <f>IFERROR(__xludf.DUMMYFUNCTION("""COMPUTED_VALUE"""),1.8)</f>
        <v>1.8</v>
      </c>
      <c r="D140" s="2">
        <f>IFERROR(__xludf.DUMMYFUNCTION("""COMPUTED_VALUE"""),1.74)</f>
        <v>1.74</v>
      </c>
      <c r="E140" s="2">
        <f>IFERROR(__xludf.DUMMYFUNCTION("""COMPUTED_VALUE"""),1.75)</f>
        <v>1.75</v>
      </c>
      <c r="F140" s="2">
        <f>IFERROR(__xludf.DUMMYFUNCTION("""COMPUTED_VALUE"""),723522.0)</f>
        <v>723522</v>
      </c>
    </row>
    <row r="141">
      <c r="A141" s="3">
        <f>IFERROR(__xludf.DUMMYFUNCTION("""COMPUTED_VALUE"""),40557.666666666664)</f>
        <v>40557.66667</v>
      </c>
      <c r="B141" s="2">
        <f>IFERROR(__xludf.DUMMYFUNCTION("""COMPUTED_VALUE"""),1.74)</f>
        <v>1.74</v>
      </c>
      <c r="C141" s="2">
        <f>IFERROR(__xludf.DUMMYFUNCTION("""COMPUTED_VALUE"""),1.77)</f>
        <v>1.77</v>
      </c>
      <c r="D141" s="2">
        <f>IFERROR(__xludf.DUMMYFUNCTION("""COMPUTED_VALUE"""),1.71)</f>
        <v>1.71</v>
      </c>
      <c r="E141" s="2">
        <f>IFERROR(__xludf.DUMMYFUNCTION("""COMPUTED_VALUE"""),1.72)</f>
        <v>1.72</v>
      </c>
      <c r="F141" s="2">
        <f>IFERROR(__xludf.DUMMYFUNCTION("""COMPUTED_VALUE"""),1192121.0)</f>
        <v>1192121</v>
      </c>
    </row>
    <row r="142">
      <c r="A142" s="3">
        <f>IFERROR(__xludf.DUMMYFUNCTION("""COMPUTED_VALUE"""),40561.666666666664)</f>
        <v>40561.66667</v>
      </c>
      <c r="B142" s="2">
        <f>IFERROR(__xludf.DUMMYFUNCTION("""COMPUTED_VALUE"""),1.7)</f>
        <v>1.7</v>
      </c>
      <c r="C142" s="2">
        <f>IFERROR(__xludf.DUMMYFUNCTION("""COMPUTED_VALUE"""),1.71)</f>
        <v>1.71</v>
      </c>
      <c r="D142" s="2">
        <f>IFERROR(__xludf.DUMMYFUNCTION("""COMPUTED_VALUE"""),1.65)</f>
        <v>1.65</v>
      </c>
      <c r="E142" s="2">
        <f>IFERROR(__xludf.DUMMYFUNCTION("""COMPUTED_VALUE"""),1.71)</f>
        <v>1.71</v>
      </c>
      <c r="F142" s="2">
        <f>IFERROR(__xludf.DUMMYFUNCTION("""COMPUTED_VALUE"""),1623839.0)</f>
        <v>1623839</v>
      </c>
    </row>
    <row r="143">
      <c r="A143" s="3">
        <f>IFERROR(__xludf.DUMMYFUNCTION("""COMPUTED_VALUE"""),40562.666666666664)</f>
        <v>40562.66667</v>
      </c>
      <c r="B143" s="2">
        <f>IFERROR(__xludf.DUMMYFUNCTION("""COMPUTED_VALUE"""),1.68)</f>
        <v>1.68</v>
      </c>
      <c r="C143" s="2">
        <f>IFERROR(__xludf.DUMMYFUNCTION("""COMPUTED_VALUE"""),1.7)</f>
        <v>1.7</v>
      </c>
      <c r="D143" s="2">
        <f>IFERROR(__xludf.DUMMYFUNCTION("""COMPUTED_VALUE"""),1.58)</f>
        <v>1.58</v>
      </c>
      <c r="E143" s="2">
        <f>IFERROR(__xludf.DUMMYFUNCTION("""COMPUTED_VALUE"""),1.6)</f>
        <v>1.6</v>
      </c>
      <c r="F143" s="2">
        <f>IFERROR(__xludf.DUMMYFUNCTION("""COMPUTED_VALUE"""),2371514.0)</f>
        <v>2371514</v>
      </c>
    </row>
    <row r="144">
      <c r="A144" s="3">
        <f>IFERROR(__xludf.DUMMYFUNCTION("""COMPUTED_VALUE"""),40563.666666666664)</f>
        <v>40563.66667</v>
      </c>
      <c r="B144" s="2">
        <f>IFERROR(__xludf.DUMMYFUNCTION("""COMPUTED_VALUE"""),1.6)</f>
        <v>1.6</v>
      </c>
      <c r="C144" s="2">
        <f>IFERROR(__xludf.DUMMYFUNCTION("""COMPUTED_VALUE"""),1.63)</f>
        <v>1.63</v>
      </c>
      <c r="D144" s="2">
        <f>IFERROR(__xludf.DUMMYFUNCTION("""COMPUTED_VALUE"""),1.49)</f>
        <v>1.49</v>
      </c>
      <c r="E144" s="2">
        <f>IFERROR(__xludf.DUMMYFUNCTION("""COMPUTED_VALUE"""),1.51)</f>
        <v>1.51</v>
      </c>
      <c r="F144" s="2">
        <f>IFERROR(__xludf.DUMMYFUNCTION("""COMPUTED_VALUE"""),2279958.0)</f>
        <v>2279958</v>
      </c>
    </row>
    <row r="145">
      <c r="A145" s="3">
        <f>IFERROR(__xludf.DUMMYFUNCTION("""COMPUTED_VALUE"""),40564.666666666664)</f>
        <v>40564.66667</v>
      </c>
      <c r="B145" s="2">
        <f>IFERROR(__xludf.DUMMYFUNCTION("""COMPUTED_VALUE"""),1.54)</f>
        <v>1.54</v>
      </c>
      <c r="C145" s="2">
        <f>IFERROR(__xludf.DUMMYFUNCTION("""COMPUTED_VALUE"""),1.57)</f>
        <v>1.57</v>
      </c>
      <c r="D145" s="2">
        <f>IFERROR(__xludf.DUMMYFUNCTION("""COMPUTED_VALUE"""),1.51)</f>
        <v>1.51</v>
      </c>
      <c r="E145" s="2">
        <f>IFERROR(__xludf.DUMMYFUNCTION("""COMPUTED_VALUE"""),1.54)</f>
        <v>1.54</v>
      </c>
      <c r="F145" s="2">
        <f>IFERROR(__xludf.DUMMYFUNCTION("""COMPUTED_VALUE"""),1216941.0)</f>
        <v>1216941</v>
      </c>
    </row>
    <row r="146">
      <c r="A146" s="3">
        <f>IFERROR(__xludf.DUMMYFUNCTION("""COMPUTED_VALUE"""),40567.666666666664)</f>
        <v>40567.66667</v>
      </c>
      <c r="B146" s="2">
        <f>IFERROR(__xludf.DUMMYFUNCTION("""COMPUTED_VALUE"""),1.57)</f>
        <v>1.57</v>
      </c>
      <c r="C146" s="2">
        <f>IFERROR(__xludf.DUMMYFUNCTION("""COMPUTED_VALUE"""),1.65)</f>
        <v>1.65</v>
      </c>
      <c r="D146" s="2">
        <f>IFERROR(__xludf.DUMMYFUNCTION("""COMPUTED_VALUE"""),1.55)</f>
        <v>1.55</v>
      </c>
      <c r="E146" s="2">
        <f>IFERROR(__xludf.DUMMYFUNCTION("""COMPUTED_VALUE"""),1.63)</f>
        <v>1.63</v>
      </c>
      <c r="F146" s="2">
        <f>IFERROR(__xludf.DUMMYFUNCTION("""COMPUTED_VALUE"""),1645189.0)</f>
        <v>1645189</v>
      </c>
    </row>
    <row r="147">
      <c r="A147" s="3">
        <f>IFERROR(__xludf.DUMMYFUNCTION("""COMPUTED_VALUE"""),40568.666666666664)</f>
        <v>40568.66667</v>
      </c>
      <c r="B147" s="2">
        <f>IFERROR(__xludf.DUMMYFUNCTION("""COMPUTED_VALUE"""),1.64)</f>
        <v>1.64</v>
      </c>
      <c r="C147" s="2">
        <f>IFERROR(__xludf.DUMMYFUNCTION("""COMPUTED_VALUE"""),1.66)</f>
        <v>1.66</v>
      </c>
      <c r="D147" s="2">
        <f>IFERROR(__xludf.DUMMYFUNCTION("""COMPUTED_VALUE"""),1.6)</f>
        <v>1.6</v>
      </c>
      <c r="E147" s="2">
        <f>IFERROR(__xludf.DUMMYFUNCTION("""COMPUTED_VALUE"""),1.65)</f>
        <v>1.65</v>
      </c>
      <c r="F147" s="2">
        <f>IFERROR(__xludf.DUMMYFUNCTION("""COMPUTED_VALUE"""),1271557.0)</f>
        <v>1271557</v>
      </c>
    </row>
    <row r="148">
      <c r="A148" s="3">
        <f>IFERROR(__xludf.DUMMYFUNCTION("""COMPUTED_VALUE"""),40569.666666666664)</f>
        <v>40569.66667</v>
      </c>
      <c r="B148" s="2">
        <f>IFERROR(__xludf.DUMMYFUNCTION("""COMPUTED_VALUE"""),1.65)</f>
        <v>1.65</v>
      </c>
      <c r="C148" s="2">
        <f>IFERROR(__xludf.DUMMYFUNCTION("""COMPUTED_VALUE"""),1.66)</f>
        <v>1.66</v>
      </c>
      <c r="D148" s="2">
        <f>IFERROR(__xludf.DUMMYFUNCTION("""COMPUTED_VALUE"""),1.61)</f>
        <v>1.61</v>
      </c>
      <c r="E148" s="2">
        <f>IFERROR(__xludf.DUMMYFUNCTION("""COMPUTED_VALUE"""),1.65)</f>
        <v>1.65</v>
      </c>
      <c r="F148" s="2">
        <f>IFERROR(__xludf.DUMMYFUNCTION("""COMPUTED_VALUE"""),1079867.0)</f>
        <v>1079867</v>
      </c>
    </row>
    <row r="149">
      <c r="A149" s="3">
        <f>IFERROR(__xludf.DUMMYFUNCTION("""COMPUTED_VALUE"""),40570.666666666664)</f>
        <v>40570.66667</v>
      </c>
      <c r="B149" s="2">
        <f>IFERROR(__xludf.DUMMYFUNCTION("""COMPUTED_VALUE"""),1.65)</f>
        <v>1.65</v>
      </c>
      <c r="C149" s="2">
        <f>IFERROR(__xludf.DUMMYFUNCTION("""COMPUTED_VALUE"""),1.67)</f>
        <v>1.67</v>
      </c>
      <c r="D149" s="2">
        <f>IFERROR(__xludf.DUMMYFUNCTION("""COMPUTED_VALUE"""),1.64)</f>
        <v>1.64</v>
      </c>
      <c r="E149" s="2">
        <f>IFERROR(__xludf.DUMMYFUNCTION("""COMPUTED_VALUE"""),1.66)</f>
        <v>1.66</v>
      </c>
      <c r="F149" s="2">
        <f>IFERROR(__xludf.DUMMYFUNCTION("""COMPUTED_VALUE"""),895655.0)</f>
        <v>895655</v>
      </c>
    </row>
    <row r="150">
      <c r="A150" s="3">
        <f>IFERROR(__xludf.DUMMYFUNCTION("""COMPUTED_VALUE"""),40571.666666666664)</f>
        <v>40571.66667</v>
      </c>
      <c r="B150" s="2">
        <f>IFERROR(__xludf.DUMMYFUNCTION("""COMPUTED_VALUE"""),1.66)</f>
        <v>1.66</v>
      </c>
      <c r="C150" s="2">
        <f>IFERROR(__xludf.DUMMYFUNCTION("""COMPUTED_VALUE"""),1.66)</f>
        <v>1.66</v>
      </c>
      <c r="D150" s="2">
        <f>IFERROR(__xludf.DUMMYFUNCTION("""COMPUTED_VALUE"""),1.58)</f>
        <v>1.58</v>
      </c>
      <c r="E150" s="2">
        <f>IFERROR(__xludf.DUMMYFUNCTION("""COMPUTED_VALUE"""),1.6)</f>
        <v>1.6</v>
      </c>
      <c r="F150" s="2">
        <f>IFERROR(__xludf.DUMMYFUNCTION("""COMPUTED_VALUE"""),1048811.0)</f>
        <v>1048811</v>
      </c>
    </row>
    <row r="151">
      <c r="A151" s="3">
        <f>IFERROR(__xludf.DUMMYFUNCTION("""COMPUTED_VALUE"""),40574.666666666664)</f>
        <v>40574.66667</v>
      </c>
      <c r="B151" s="2">
        <f>IFERROR(__xludf.DUMMYFUNCTION("""COMPUTED_VALUE"""),1.6)</f>
        <v>1.6</v>
      </c>
      <c r="C151" s="2">
        <f>IFERROR(__xludf.DUMMYFUNCTION("""COMPUTED_VALUE"""),1.61)</f>
        <v>1.61</v>
      </c>
      <c r="D151" s="2">
        <f>IFERROR(__xludf.DUMMYFUNCTION("""COMPUTED_VALUE"""),1.57)</f>
        <v>1.57</v>
      </c>
      <c r="E151" s="2">
        <f>IFERROR(__xludf.DUMMYFUNCTION("""COMPUTED_VALUE"""),1.61)</f>
        <v>1.61</v>
      </c>
      <c r="F151" s="2">
        <f>IFERROR(__xludf.DUMMYFUNCTION("""COMPUTED_VALUE"""),830214.0)</f>
        <v>830214</v>
      </c>
    </row>
    <row r="152">
      <c r="A152" s="3">
        <f>IFERROR(__xludf.DUMMYFUNCTION("""COMPUTED_VALUE"""),40575.666666666664)</f>
        <v>40575.66667</v>
      </c>
      <c r="B152" s="2">
        <f>IFERROR(__xludf.DUMMYFUNCTION("""COMPUTED_VALUE"""),1.62)</f>
        <v>1.62</v>
      </c>
      <c r="C152" s="2">
        <f>IFERROR(__xludf.DUMMYFUNCTION("""COMPUTED_VALUE"""),1.65)</f>
        <v>1.65</v>
      </c>
      <c r="D152" s="2">
        <f>IFERROR(__xludf.DUMMYFUNCTION("""COMPUTED_VALUE"""),1.57)</f>
        <v>1.57</v>
      </c>
      <c r="E152" s="2">
        <f>IFERROR(__xludf.DUMMYFUNCTION("""COMPUTED_VALUE"""),1.59)</f>
        <v>1.59</v>
      </c>
      <c r="F152" s="2">
        <f>IFERROR(__xludf.DUMMYFUNCTION("""COMPUTED_VALUE"""),707791.0)</f>
        <v>707791</v>
      </c>
    </row>
    <row r="153">
      <c r="A153" s="3">
        <f>IFERROR(__xludf.DUMMYFUNCTION("""COMPUTED_VALUE"""),40576.666666666664)</f>
        <v>40576.66667</v>
      </c>
      <c r="B153" s="2">
        <f>IFERROR(__xludf.DUMMYFUNCTION("""COMPUTED_VALUE"""),1.59)</f>
        <v>1.59</v>
      </c>
      <c r="C153" s="2">
        <f>IFERROR(__xludf.DUMMYFUNCTION("""COMPUTED_VALUE"""),1.61)</f>
        <v>1.61</v>
      </c>
      <c r="D153" s="2">
        <f>IFERROR(__xludf.DUMMYFUNCTION("""COMPUTED_VALUE"""),1.58)</f>
        <v>1.58</v>
      </c>
      <c r="E153" s="2">
        <f>IFERROR(__xludf.DUMMYFUNCTION("""COMPUTED_VALUE"""),1.6)</f>
        <v>1.6</v>
      </c>
      <c r="F153" s="2">
        <f>IFERROR(__xludf.DUMMYFUNCTION("""COMPUTED_VALUE"""),569472.0)</f>
        <v>569472</v>
      </c>
    </row>
    <row r="154">
      <c r="A154" s="3">
        <f>IFERROR(__xludf.DUMMYFUNCTION("""COMPUTED_VALUE"""),40577.666666666664)</f>
        <v>40577.66667</v>
      </c>
      <c r="B154" s="2">
        <f>IFERROR(__xludf.DUMMYFUNCTION("""COMPUTED_VALUE"""),1.59)</f>
        <v>1.59</v>
      </c>
      <c r="C154" s="2">
        <f>IFERROR(__xludf.DUMMYFUNCTION("""COMPUTED_VALUE"""),1.59)</f>
        <v>1.59</v>
      </c>
      <c r="D154" s="2">
        <f>IFERROR(__xludf.DUMMYFUNCTION("""COMPUTED_VALUE"""),1.54)</f>
        <v>1.54</v>
      </c>
      <c r="E154" s="2">
        <f>IFERROR(__xludf.DUMMYFUNCTION("""COMPUTED_VALUE"""),1.58)</f>
        <v>1.58</v>
      </c>
      <c r="F154" s="2">
        <f>IFERROR(__xludf.DUMMYFUNCTION("""COMPUTED_VALUE"""),512067.0)</f>
        <v>512067</v>
      </c>
    </row>
    <row r="155">
      <c r="A155" s="3">
        <f>IFERROR(__xludf.DUMMYFUNCTION("""COMPUTED_VALUE"""),40578.666666666664)</f>
        <v>40578.66667</v>
      </c>
      <c r="B155" s="2">
        <f>IFERROR(__xludf.DUMMYFUNCTION("""COMPUTED_VALUE"""),1.58)</f>
        <v>1.58</v>
      </c>
      <c r="C155" s="2">
        <f>IFERROR(__xludf.DUMMYFUNCTION("""COMPUTED_VALUE"""),1.58)</f>
        <v>1.58</v>
      </c>
      <c r="D155" s="2">
        <f>IFERROR(__xludf.DUMMYFUNCTION("""COMPUTED_VALUE"""),1.55)</f>
        <v>1.55</v>
      </c>
      <c r="E155" s="2">
        <f>IFERROR(__xludf.DUMMYFUNCTION("""COMPUTED_VALUE"""),1.56)</f>
        <v>1.56</v>
      </c>
      <c r="F155" s="2">
        <f>IFERROR(__xludf.DUMMYFUNCTION("""COMPUTED_VALUE"""),543917.0)</f>
        <v>543917</v>
      </c>
    </row>
    <row r="156">
      <c r="A156" s="3">
        <f>IFERROR(__xludf.DUMMYFUNCTION("""COMPUTED_VALUE"""),40581.666666666664)</f>
        <v>40581.66667</v>
      </c>
      <c r="B156" s="2">
        <f>IFERROR(__xludf.DUMMYFUNCTION("""COMPUTED_VALUE"""),1.55)</f>
        <v>1.55</v>
      </c>
      <c r="C156" s="2">
        <f>IFERROR(__xludf.DUMMYFUNCTION("""COMPUTED_VALUE"""),1.55)</f>
        <v>1.55</v>
      </c>
      <c r="D156" s="2">
        <f>IFERROR(__xludf.DUMMYFUNCTION("""COMPUTED_VALUE"""),1.53)</f>
        <v>1.53</v>
      </c>
      <c r="E156" s="2">
        <f>IFERROR(__xludf.DUMMYFUNCTION("""COMPUTED_VALUE"""),1.54)</f>
        <v>1.54</v>
      </c>
      <c r="F156" s="2">
        <f>IFERROR(__xludf.DUMMYFUNCTION("""COMPUTED_VALUE"""),895011.0)</f>
        <v>895011</v>
      </c>
    </row>
    <row r="157">
      <c r="A157" s="3">
        <f>IFERROR(__xludf.DUMMYFUNCTION("""COMPUTED_VALUE"""),40582.666666666664)</f>
        <v>40582.66667</v>
      </c>
      <c r="B157" s="2">
        <f>IFERROR(__xludf.DUMMYFUNCTION("""COMPUTED_VALUE"""),1.54)</f>
        <v>1.54</v>
      </c>
      <c r="C157" s="2">
        <f>IFERROR(__xludf.DUMMYFUNCTION("""COMPUTED_VALUE"""),1.68)</f>
        <v>1.68</v>
      </c>
      <c r="D157" s="2">
        <f>IFERROR(__xludf.DUMMYFUNCTION("""COMPUTED_VALUE"""),1.53)</f>
        <v>1.53</v>
      </c>
      <c r="E157" s="2">
        <f>IFERROR(__xludf.DUMMYFUNCTION("""COMPUTED_VALUE"""),1.63)</f>
        <v>1.63</v>
      </c>
      <c r="F157" s="2">
        <f>IFERROR(__xludf.DUMMYFUNCTION("""COMPUTED_VALUE"""),3505183.0)</f>
        <v>3505183</v>
      </c>
    </row>
    <row r="158">
      <c r="A158" s="3">
        <f>IFERROR(__xludf.DUMMYFUNCTION("""COMPUTED_VALUE"""),40583.666666666664)</f>
        <v>40583.66667</v>
      </c>
      <c r="B158" s="2">
        <f>IFERROR(__xludf.DUMMYFUNCTION("""COMPUTED_VALUE"""),1.61)</f>
        <v>1.61</v>
      </c>
      <c r="C158" s="2">
        <f>IFERROR(__xludf.DUMMYFUNCTION("""COMPUTED_VALUE"""),1.61)</f>
        <v>1.61</v>
      </c>
      <c r="D158" s="2">
        <f>IFERROR(__xludf.DUMMYFUNCTION("""COMPUTED_VALUE"""),1.52)</f>
        <v>1.52</v>
      </c>
      <c r="E158" s="2">
        <f>IFERROR(__xludf.DUMMYFUNCTION("""COMPUTED_VALUE"""),1.55)</f>
        <v>1.55</v>
      </c>
      <c r="F158" s="2">
        <f>IFERROR(__xludf.DUMMYFUNCTION("""COMPUTED_VALUE"""),2636262.0)</f>
        <v>2636262</v>
      </c>
    </row>
    <row r="159">
      <c r="A159" s="3">
        <f>IFERROR(__xludf.DUMMYFUNCTION("""COMPUTED_VALUE"""),40584.666666666664)</f>
        <v>40584.66667</v>
      </c>
      <c r="B159" s="2">
        <f>IFERROR(__xludf.DUMMYFUNCTION("""COMPUTED_VALUE"""),1.55)</f>
        <v>1.55</v>
      </c>
      <c r="C159" s="2">
        <f>IFERROR(__xludf.DUMMYFUNCTION("""COMPUTED_VALUE"""),1.58)</f>
        <v>1.58</v>
      </c>
      <c r="D159" s="2">
        <f>IFERROR(__xludf.DUMMYFUNCTION("""COMPUTED_VALUE"""),1.52)</f>
        <v>1.52</v>
      </c>
      <c r="E159" s="2">
        <f>IFERROR(__xludf.DUMMYFUNCTION("""COMPUTED_VALUE"""),1.55)</f>
        <v>1.55</v>
      </c>
      <c r="F159" s="2">
        <f>IFERROR(__xludf.DUMMYFUNCTION("""COMPUTED_VALUE"""),836020.0)</f>
        <v>836020</v>
      </c>
    </row>
    <row r="160">
      <c r="A160" s="3">
        <f>IFERROR(__xludf.DUMMYFUNCTION("""COMPUTED_VALUE"""),40585.666666666664)</f>
        <v>40585.66667</v>
      </c>
      <c r="B160" s="2">
        <f>IFERROR(__xludf.DUMMYFUNCTION("""COMPUTED_VALUE"""),1.55)</f>
        <v>1.55</v>
      </c>
      <c r="C160" s="2">
        <f>IFERROR(__xludf.DUMMYFUNCTION("""COMPUTED_VALUE"""),1.58)</f>
        <v>1.58</v>
      </c>
      <c r="D160" s="2">
        <f>IFERROR(__xludf.DUMMYFUNCTION("""COMPUTED_VALUE"""),1.53)</f>
        <v>1.53</v>
      </c>
      <c r="E160" s="2">
        <f>IFERROR(__xludf.DUMMYFUNCTION("""COMPUTED_VALUE"""),1.55)</f>
        <v>1.55</v>
      </c>
      <c r="F160" s="2">
        <f>IFERROR(__xludf.DUMMYFUNCTION("""COMPUTED_VALUE"""),636602.0)</f>
        <v>636602</v>
      </c>
    </row>
    <row r="161">
      <c r="A161" s="3">
        <f>IFERROR(__xludf.DUMMYFUNCTION("""COMPUTED_VALUE"""),40588.666666666664)</f>
        <v>40588.66667</v>
      </c>
      <c r="B161" s="2">
        <f>IFERROR(__xludf.DUMMYFUNCTION("""COMPUTED_VALUE"""),1.54)</f>
        <v>1.54</v>
      </c>
      <c r="C161" s="2">
        <f>IFERROR(__xludf.DUMMYFUNCTION("""COMPUTED_VALUE"""),1.61)</f>
        <v>1.61</v>
      </c>
      <c r="D161" s="2">
        <f>IFERROR(__xludf.DUMMYFUNCTION("""COMPUTED_VALUE"""),1.54)</f>
        <v>1.54</v>
      </c>
      <c r="E161" s="2">
        <f>IFERROR(__xludf.DUMMYFUNCTION("""COMPUTED_VALUE"""),1.54)</f>
        <v>1.54</v>
      </c>
      <c r="F161" s="2">
        <f>IFERROR(__xludf.DUMMYFUNCTION("""COMPUTED_VALUE"""),1283404.0)</f>
        <v>1283404</v>
      </c>
    </row>
    <row r="162">
      <c r="A162" s="3">
        <f>IFERROR(__xludf.DUMMYFUNCTION("""COMPUTED_VALUE"""),40589.666666666664)</f>
        <v>40589.66667</v>
      </c>
      <c r="B162" s="2">
        <f>IFERROR(__xludf.DUMMYFUNCTION("""COMPUTED_VALUE"""),1.53)</f>
        <v>1.53</v>
      </c>
      <c r="C162" s="2">
        <f>IFERROR(__xludf.DUMMYFUNCTION("""COMPUTED_VALUE"""),1.54)</f>
        <v>1.54</v>
      </c>
      <c r="D162" s="2">
        <f>IFERROR(__xludf.DUMMYFUNCTION("""COMPUTED_VALUE"""),1.5)</f>
        <v>1.5</v>
      </c>
      <c r="E162" s="2">
        <f>IFERROR(__xludf.DUMMYFUNCTION("""COMPUTED_VALUE"""),1.52)</f>
        <v>1.52</v>
      </c>
      <c r="F162" s="2">
        <f>IFERROR(__xludf.DUMMYFUNCTION("""COMPUTED_VALUE"""),960851.0)</f>
        <v>960851</v>
      </c>
    </row>
    <row r="163">
      <c r="A163" s="3">
        <f>IFERROR(__xludf.DUMMYFUNCTION("""COMPUTED_VALUE"""),40590.666666666664)</f>
        <v>40590.66667</v>
      </c>
      <c r="B163" s="2">
        <f>IFERROR(__xludf.DUMMYFUNCTION("""COMPUTED_VALUE"""),1.54)</f>
        <v>1.54</v>
      </c>
      <c r="C163" s="2">
        <f>IFERROR(__xludf.DUMMYFUNCTION("""COMPUTED_VALUE"""),1.66)</f>
        <v>1.66</v>
      </c>
      <c r="D163" s="2">
        <f>IFERROR(__xludf.DUMMYFUNCTION("""COMPUTED_VALUE"""),1.54)</f>
        <v>1.54</v>
      </c>
      <c r="E163" s="2">
        <f>IFERROR(__xludf.DUMMYFUNCTION("""COMPUTED_VALUE"""),1.65)</f>
        <v>1.65</v>
      </c>
      <c r="F163" s="2">
        <f>IFERROR(__xludf.DUMMYFUNCTION("""COMPUTED_VALUE"""),4115806.0)</f>
        <v>4115806</v>
      </c>
    </row>
    <row r="164">
      <c r="A164" s="3">
        <f>IFERROR(__xludf.DUMMYFUNCTION("""COMPUTED_VALUE"""),40591.666666666664)</f>
        <v>40591.66667</v>
      </c>
      <c r="B164" s="2">
        <f>IFERROR(__xludf.DUMMYFUNCTION("""COMPUTED_VALUE"""),1.64)</f>
        <v>1.64</v>
      </c>
      <c r="C164" s="2">
        <f>IFERROR(__xludf.DUMMYFUNCTION("""COMPUTED_VALUE"""),1.7)</f>
        <v>1.7</v>
      </c>
      <c r="D164" s="2">
        <f>IFERROR(__xludf.DUMMYFUNCTION("""COMPUTED_VALUE"""),1.57)</f>
        <v>1.57</v>
      </c>
      <c r="E164" s="2">
        <f>IFERROR(__xludf.DUMMYFUNCTION("""COMPUTED_VALUE"""),1.57)</f>
        <v>1.57</v>
      </c>
      <c r="F164" s="2">
        <f>IFERROR(__xludf.DUMMYFUNCTION("""COMPUTED_VALUE"""),2619942.0)</f>
        <v>2619942</v>
      </c>
    </row>
    <row r="165">
      <c r="A165" s="3">
        <f>IFERROR(__xludf.DUMMYFUNCTION("""COMPUTED_VALUE"""),40592.666666666664)</f>
        <v>40592.66667</v>
      </c>
      <c r="B165" s="2">
        <f>IFERROR(__xludf.DUMMYFUNCTION("""COMPUTED_VALUE"""),1.56)</f>
        <v>1.56</v>
      </c>
      <c r="C165" s="2">
        <f>IFERROR(__xludf.DUMMYFUNCTION("""COMPUTED_VALUE"""),1.57)</f>
        <v>1.57</v>
      </c>
      <c r="D165" s="2">
        <f>IFERROR(__xludf.DUMMYFUNCTION("""COMPUTED_VALUE"""),1.53)</f>
        <v>1.53</v>
      </c>
      <c r="E165" s="2">
        <f>IFERROR(__xludf.DUMMYFUNCTION("""COMPUTED_VALUE"""),1.55)</f>
        <v>1.55</v>
      </c>
      <c r="F165" s="2">
        <f>IFERROR(__xludf.DUMMYFUNCTION("""COMPUTED_VALUE"""),2370770.0)</f>
        <v>2370770</v>
      </c>
    </row>
    <row r="166">
      <c r="A166" s="3">
        <f>IFERROR(__xludf.DUMMYFUNCTION("""COMPUTED_VALUE"""),40596.666666666664)</f>
        <v>40596.66667</v>
      </c>
      <c r="B166" s="2">
        <f>IFERROR(__xludf.DUMMYFUNCTION("""COMPUTED_VALUE"""),1.53)</f>
        <v>1.53</v>
      </c>
      <c r="C166" s="2">
        <f>IFERROR(__xludf.DUMMYFUNCTION("""COMPUTED_VALUE"""),1.53)</f>
        <v>1.53</v>
      </c>
      <c r="D166" s="2">
        <f>IFERROR(__xludf.DUMMYFUNCTION("""COMPUTED_VALUE"""),1.45)</f>
        <v>1.45</v>
      </c>
      <c r="E166" s="2">
        <f>IFERROR(__xludf.DUMMYFUNCTION("""COMPUTED_VALUE"""),1.46)</f>
        <v>1.46</v>
      </c>
      <c r="F166" s="2">
        <f>IFERROR(__xludf.DUMMYFUNCTION("""COMPUTED_VALUE"""),2064540.0)</f>
        <v>2064540</v>
      </c>
    </row>
    <row r="167">
      <c r="A167" s="3">
        <f>IFERROR(__xludf.DUMMYFUNCTION("""COMPUTED_VALUE"""),40597.666666666664)</f>
        <v>40597.66667</v>
      </c>
      <c r="B167" s="2">
        <f>IFERROR(__xludf.DUMMYFUNCTION("""COMPUTED_VALUE"""),1.48)</f>
        <v>1.48</v>
      </c>
      <c r="C167" s="2">
        <f>IFERROR(__xludf.DUMMYFUNCTION("""COMPUTED_VALUE"""),1.5)</f>
        <v>1.5</v>
      </c>
      <c r="D167" s="2">
        <f>IFERROR(__xludf.DUMMYFUNCTION("""COMPUTED_VALUE"""),1.41)</f>
        <v>1.41</v>
      </c>
      <c r="E167" s="2">
        <f>IFERROR(__xludf.DUMMYFUNCTION("""COMPUTED_VALUE"""),1.46)</f>
        <v>1.46</v>
      </c>
      <c r="F167" s="2">
        <f>IFERROR(__xludf.DUMMYFUNCTION("""COMPUTED_VALUE"""),1605708.0)</f>
        <v>1605708</v>
      </c>
    </row>
    <row r="168">
      <c r="A168" s="3">
        <f>IFERROR(__xludf.DUMMYFUNCTION("""COMPUTED_VALUE"""),40598.666666666664)</f>
        <v>40598.66667</v>
      </c>
      <c r="B168" s="2">
        <f>IFERROR(__xludf.DUMMYFUNCTION("""COMPUTED_VALUE"""),1.45)</f>
        <v>1.45</v>
      </c>
      <c r="C168" s="2">
        <f>IFERROR(__xludf.DUMMYFUNCTION("""COMPUTED_VALUE"""),1.51)</f>
        <v>1.51</v>
      </c>
      <c r="D168" s="2">
        <f>IFERROR(__xludf.DUMMYFUNCTION("""COMPUTED_VALUE"""),1.43)</f>
        <v>1.43</v>
      </c>
      <c r="E168" s="2">
        <f>IFERROR(__xludf.DUMMYFUNCTION("""COMPUTED_VALUE"""),1.5)</f>
        <v>1.5</v>
      </c>
      <c r="F168" s="2">
        <f>IFERROR(__xludf.DUMMYFUNCTION("""COMPUTED_VALUE"""),1055450.0)</f>
        <v>1055450</v>
      </c>
    </row>
    <row r="169">
      <c r="A169" s="3">
        <f>IFERROR(__xludf.DUMMYFUNCTION("""COMPUTED_VALUE"""),40599.666666666664)</f>
        <v>40599.66667</v>
      </c>
      <c r="B169" s="2">
        <f>IFERROR(__xludf.DUMMYFUNCTION("""COMPUTED_VALUE"""),1.52)</f>
        <v>1.52</v>
      </c>
      <c r="C169" s="2">
        <f>IFERROR(__xludf.DUMMYFUNCTION("""COMPUTED_VALUE"""),1.59)</f>
        <v>1.59</v>
      </c>
      <c r="D169" s="2">
        <f>IFERROR(__xludf.DUMMYFUNCTION("""COMPUTED_VALUE"""),1.51)</f>
        <v>1.51</v>
      </c>
      <c r="E169" s="2">
        <f>IFERROR(__xludf.DUMMYFUNCTION("""COMPUTED_VALUE"""),1.57)</f>
        <v>1.57</v>
      </c>
      <c r="F169" s="2">
        <f>IFERROR(__xludf.DUMMYFUNCTION("""COMPUTED_VALUE"""),1347257.0)</f>
        <v>1347257</v>
      </c>
    </row>
    <row r="170">
      <c r="A170" s="3">
        <f>IFERROR(__xludf.DUMMYFUNCTION("""COMPUTED_VALUE"""),40602.666666666664)</f>
        <v>40602.66667</v>
      </c>
      <c r="B170" s="2">
        <f>IFERROR(__xludf.DUMMYFUNCTION("""COMPUTED_VALUE"""),1.58)</f>
        <v>1.58</v>
      </c>
      <c r="C170" s="2">
        <f>IFERROR(__xludf.DUMMYFUNCTION("""COMPUTED_VALUE"""),1.61)</f>
        <v>1.61</v>
      </c>
      <c r="D170" s="2">
        <f>IFERROR(__xludf.DUMMYFUNCTION("""COMPUTED_VALUE"""),1.57)</f>
        <v>1.57</v>
      </c>
      <c r="E170" s="2">
        <f>IFERROR(__xludf.DUMMYFUNCTION("""COMPUTED_VALUE"""),1.59)</f>
        <v>1.59</v>
      </c>
      <c r="F170" s="2">
        <f>IFERROR(__xludf.DUMMYFUNCTION("""COMPUTED_VALUE"""),1051106.0)</f>
        <v>1051106</v>
      </c>
    </row>
    <row r="171">
      <c r="A171" s="3">
        <f>IFERROR(__xludf.DUMMYFUNCTION("""COMPUTED_VALUE"""),40603.666666666664)</f>
        <v>40603.66667</v>
      </c>
      <c r="B171" s="2">
        <f>IFERROR(__xludf.DUMMYFUNCTION("""COMPUTED_VALUE"""),1.6)</f>
        <v>1.6</v>
      </c>
      <c r="C171" s="2">
        <f>IFERROR(__xludf.DUMMYFUNCTION("""COMPUTED_VALUE"""),1.62)</f>
        <v>1.62</v>
      </c>
      <c r="D171" s="2">
        <f>IFERROR(__xludf.DUMMYFUNCTION("""COMPUTED_VALUE"""),1.58)</f>
        <v>1.58</v>
      </c>
      <c r="E171" s="2">
        <f>IFERROR(__xludf.DUMMYFUNCTION("""COMPUTED_VALUE"""),1.6)</f>
        <v>1.6</v>
      </c>
      <c r="F171" s="2">
        <f>IFERROR(__xludf.DUMMYFUNCTION("""COMPUTED_VALUE"""),1106350.0)</f>
        <v>1106350</v>
      </c>
    </row>
    <row r="172">
      <c r="A172" s="3">
        <f>IFERROR(__xludf.DUMMYFUNCTION("""COMPUTED_VALUE"""),40604.666666666664)</f>
        <v>40604.66667</v>
      </c>
      <c r="B172" s="2">
        <f>IFERROR(__xludf.DUMMYFUNCTION("""COMPUTED_VALUE"""),1.59)</f>
        <v>1.59</v>
      </c>
      <c r="C172" s="2">
        <f>IFERROR(__xludf.DUMMYFUNCTION("""COMPUTED_VALUE"""),1.62)</f>
        <v>1.62</v>
      </c>
      <c r="D172" s="2">
        <f>IFERROR(__xludf.DUMMYFUNCTION("""COMPUTED_VALUE"""),1.58)</f>
        <v>1.58</v>
      </c>
      <c r="E172" s="2">
        <f>IFERROR(__xludf.DUMMYFUNCTION("""COMPUTED_VALUE"""),1.6)</f>
        <v>1.6</v>
      </c>
      <c r="F172" s="2">
        <f>IFERROR(__xludf.DUMMYFUNCTION("""COMPUTED_VALUE"""),663294.0)</f>
        <v>663294</v>
      </c>
    </row>
    <row r="173">
      <c r="A173" s="3">
        <f>IFERROR(__xludf.DUMMYFUNCTION("""COMPUTED_VALUE"""),40605.666666666664)</f>
        <v>40605.66667</v>
      </c>
      <c r="B173" s="2">
        <f>IFERROR(__xludf.DUMMYFUNCTION("""COMPUTED_VALUE"""),1.62)</f>
        <v>1.62</v>
      </c>
      <c r="C173" s="2">
        <f>IFERROR(__xludf.DUMMYFUNCTION("""COMPUTED_VALUE"""),1.65)</f>
        <v>1.65</v>
      </c>
      <c r="D173" s="2">
        <f>IFERROR(__xludf.DUMMYFUNCTION("""COMPUTED_VALUE"""),1.6)</f>
        <v>1.6</v>
      </c>
      <c r="E173" s="2">
        <f>IFERROR(__xludf.DUMMYFUNCTION("""COMPUTED_VALUE"""),1.62)</f>
        <v>1.62</v>
      </c>
      <c r="F173" s="2">
        <f>IFERROR(__xludf.DUMMYFUNCTION("""COMPUTED_VALUE"""),640140.0)</f>
        <v>640140</v>
      </c>
    </row>
    <row r="174">
      <c r="A174" s="3">
        <f>IFERROR(__xludf.DUMMYFUNCTION("""COMPUTED_VALUE"""),40606.666666666664)</f>
        <v>40606.66667</v>
      </c>
      <c r="B174" s="2">
        <f>IFERROR(__xludf.DUMMYFUNCTION("""COMPUTED_VALUE"""),1.63)</f>
        <v>1.63</v>
      </c>
      <c r="C174" s="2">
        <f>IFERROR(__xludf.DUMMYFUNCTION("""COMPUTED_VALUE"""),1.67)</f>
        <v>1.67</v>
      </c>
      <c r="D174" s="2">
        <f>IFERROR(__xludf.DUMMYFUNCTION("""COMPUTED_VALUE"""),1.59)</f>
        <v>1.59</v>
      </c>
      <c r="E174" s="2">
        <f>IFERROR(__xludf.DUMMYFUNCTION("""COMPUTED_VALUE"""),1.66)</f>
        <v>1.66</v>
      </c>
      <c r="F174" s="2">
        <f>IFERROR(__xludf.DUMMYFUNCTION("""COMPUTED_VALUE"""),1580100.0)</f>
        <v>1580100</v>
      </c>
    </row>
    <row r="175">
      <c r="A175" s="3">
        <f>IFERROR(__xludf.DUMMYFUNCTION("""COMPUTED_VALUE"""),40609.666666666664)</f>
        <v>40609.66667</v>
      </c>
      <c r="B175" s="2">
        <f>IFERROR(__xludf.DUMMYFUNCTION("""COMPUTED_VALUE"""),1.66)</f>
        <v>1.66</v>
      </c>
      <c r="C175" s="2">
        <f>IFERROR(__xludf.DUMMYFUNCTION("""COMPUTED_VALUE"""),1.69)</f>
        <v>1.69</v>
      </c>
      <c r="D175" s="2">
        <f>IFERROR(__xludf.DUMMYFUNCTION("""COMPUTED_VALUE"""),1.65)</f>
        <v>1.65</v>
      </c>
      <c r="E175" s="2">
        <f>IFERROR(__xludf.DUMMYFUNCTION("""COMPUTED_VALUE"""),1.66)</f>
        <v>1.66</v>
      </c>
      <c r="F175" s="2">
        <f>IFERROR(__xludf.DUMMYFUNCTION("""COMPUTED_VALUE"""),2033531.0)</f>
        <v>2033531</v>
      </c>
    </row>
    <row r="176">
      <c r="A176" s="3">
        <f>IFERROR(__xludf.DUMMYFUNCTION("""COMPUTED_VALUE"""),40610.666666666664)</f>
        <v>40610.66667</v>
      </c>
      <c r="B176" s="2">
        <f>IFERROR(__xludf.DUMMYFUNCTION("""COMPUTED_VALUE"""),1.66)</f>
        <v>1.66</v>
      </c>
      <c r="C176" s="2">
        <f>IFERROR(__xludf.DUMMYFUNCTION("""COMPUTED_VALUE"""),1.66)</f>
        <v>1.66</v>
      </c>
      <c r="D176" s="2">
        <f>IFERROR(__xludf.DUMMYFUNCTION("""COMPUTED_VALUE"""),1.6)</f>
        <v>1.6</v>
      </c>
      <c r="E176" s="2">
        <f>IFERROR(__xludf.DUMMYFUNCTION("""COMPUTED_VALUE"""),1.64)</f>
        <v>1.64</v>
      </c>
      <c r="F176" s="2">
        <f>IFERROR(__xludf.DUMMYFUNCTION("""COMPUTED_VALUE"""),1399851.0)</f>
        <v>1399851</v>
      </c>
    </row>
    <row r="177">
      <c r="A177" s="3">
        <f>IFERROR(__xludf.DUMMYFUNCTION("""COMPUTED_VALUE"""),40611.666666666664)</f>
        <v>40611.66667</v>
      </c>
      <c r="B177" s="2">
        <f>IFERROR(__xludf.DUMMYFUNCTION("""COMPUTED_VALUE"""),1.63)</f>
        <v>1.63</v>
      </c>
      <c r="C177" s="2">
        <f>IFERROR(__xludf.DUMMYFUNCTION("""COMPUTED_VALUE"""),1.67)</f>
        <v>1.67</v>
      </c>
      <c r="D177" s="2">
        <f>IFERROR(__xludf.DUMMYFUNCTION("""COMPUTED_VALUE"""),1.62)</f>
        <v>1.62</v>
      </c>
      <c r="E177" s="2">
        <f>IFERROR(__xludf.DUMMYFUNCTION("""COMPUTED_VALUE"""),1.65)</f>
        <v>1.65</v>
      </c>
      <c r="F177" s="2">
        <f>IFERROR(__xludf.DUMMYFUNCTION("""COMPUTED_VALUE"""),924721.0)</f>
        <v>924721</v>
      </c>
    </row>
    <row r="178">
      <c r="A178" s="3">
        <f>IFERROR(__xludf.DUMMYFUNCTION("""COMPUTED_VALUE"""),40612.666666666664)</f>
        <v>40612.66667</v>
      </c>
      <c r="B178" s="2">
        <f>IFERROR(__xludf.DUMMYFUNCTION("""COMPUTED_VALUE"""),1.63)</f>
        <v>1.63</v>
      </c>
      <c r="C178" s="2">
        <f>IFERROR(__xludf.DUMMYFUNCTION("""COMPUTED_VALUE"""),1.63)</f>
        <v>1.63</v>
      </c>
      <c r="D178" s="2">
        <f>IFERROR(__xludf.DUMMYFUNCTION("""COMPUTED_VALUE"""),1.58)</f>
        <v>1.58</v>
      </c>
      <c r="E178" s="2">
        <f>IFERROR(__xludf.DUMMYFUNCTION("""COMPUTED_VALUE"""),1.6)</f>
        <v>1.6</v>
      </c>
      <c r="F178" s="2">
        <f>IFERROR(__xludf.DUMMYFUNCTION("""COMPUTED_VALUE"""),1017047.0)</f>
        <v>1017047</v>
      </c>
    </row>
    <row r="179">
      <c r="A179" s="3">
        <f>IFERROR(__xludf.DUMMYFUNCTION("""COMPUTED_VALUE"""),40613.666666666664)</f>
        <v>40613.66667</v>
      </c>
      <c r="B179" s="2">
        <f>IFERROR(__xludf.DUMMYFUNCTION("""COMPUTED_VALUE"""),1.59)</f>
        <v>1.59</v>
      </c>
      <c r="C179" s="2">
        <f>IFERROR(__xludf.DUMMYFUNCTION("""COMPUTED_VALUE"""),1.62)</f>
        <v>1.62</v>
      </c>
      <c r="D179" s="2">
        <f>IFERROR(__xludf.DUMMYFUNCTION("""COMPUTED_VALUE"""),1.57)</f>
        <v>1.57</v>
      </c>
      <c r="E179" s="2">
        <f>IFERROR(__xludf.DUMMYFUNCTION("""COMPUTED_VALUE"""),1.6)</f>
        <v>1.6</v>
      </c>
      <c r="F179" s="2">
        <f>IFERROR(__xludf.DUMMYFUNCTION("""COMPUTED_VALUE"""),930794.0)</f>
        <v>930794</v>
      </c>
    </row>
    <row r="180">
      <c r="A180" s="3">
        <f>IFERROR(__xludf.DUMMYFUNCTION("""COMPUTED_VALUE"""),40616.666666666664)</f>
        <v>40616.66667</v>
      </c>
      <c r="B180" s="2">
        <f>IFERROR(__xludf.DUMMYFUNCTION("""COMPUTED_VALUE"""),1.59)</f>
        <v>1.59</v>
      </c>
      <c r="C180" s="2">
        <f>IFERROR(__xludf.DUMMYFUNCTION("""COMPUTED_VALUE"""),1.6)</f>
        <v>1.6</v>
      </c>
      <c r="D180" s="2">
        <f>IFERROR(__xludf.DUMMYFUNCTION("""COMPUTED_VALUE"""),1.55)</f>
        <v>1.55</v>
      </c>
      <c r="E180" s="2">
        <f>IFERROR(__xludf.DUMMYFUNCTION("""COMPUTED_VALUE"""),1.55)</f>
        <v>1.55</v>
      </c>
      <c r="F180" s="2">
        <f>IFERROR(__xludf.DUMMYFUNCTION("""COMPUTED_VALUE"""),1165971.0)</f>
        <v>1165971</v>
      </c>
    </row>
    <row r="181">
      <c r="A181" s="3">
        <f>IFERROR(__xludf.DUMMYFUNCTION("""COMPUTED_VALUE"""),40617.666666666664)</f>
        <v>40617.66667</v>
      </c>
      <c r="B181" s="2">
        <f>IFERROR(__xludf.DUMMYFUNCTION("""COMPUTED_VALUE"""),1.48)</f>
        <v>1.48</v>
      </c>
      <c r="C181" s="2">
        <f>IFERROR(__xludf.DUMMYFUNCTION("""COMPUTED_VALUE"""),1.53)</f>
        <v>1.53</v>
      </c>
      <c r="D181" s="2">
        <f>IFERROR(__xludf.DUMMYFUNCTION("""COMPUTED_VALUE"""),1.45)</f>
        <v>1.45</v>
      </c>
      <c r="E181" s="2">
        <f>IFERROR(__xludf.DUMMYFUNCTION("""COMPUTED_VALUE"""),1.53)</f>
        <v>1.53</v>
      </c>
      <c r="F181" s="2">
        <f>IFERROR(__xludf.DUMMYFUNCTION("""COMPUTED_VALUE"""),1318869.0)</f>
        <v>1318869</v>
      </c>
    </row>
    <row r="182">
      <c r="A182" s="3">
        <f>IFERROR(__xludf.DUMMYFUNCTION("""COMPUTED_VALUE"""),40618.666666666664)</f>
        <v>40618.66667</v>
      </c>
      <c r="B182" s="2">
        <f>IFERROR(__xludf.DUMMYFUNCTION("""COMPUTED_VALUE"""),1.52)</f>
        <v>1.52</v>
      </c>
      <c r="C182" s="2">
        <f>IFERROR(__xludf.DUMMYFUNCTION("""COMPUTED_VALUE"""),1.55)</f>
        <v>1.55</v>
      </c>
      <c r="D182" s="2">
        <f>IFERROR(__xludf.DUMMYFUNCTION("""COMPUTED_VALUE"""),1.51)</f>
        <v>1.51</v>
      </c>
      <c r="E182" s="2">
        <f>IFERROR(__xludf.DUMMYFUNCTION("""COMPUTED_VALUE"""),1.52)</f>
        <v>1.52</v>
      </c>
      <c r="F182" s="2">
        <f>IFERROR(__xludf.DUMMYFUNCTION("""COMPUTED_VALUE"""),1169676.0)</f>
        <v>1169676</v>
      </c>
    </row>
    <row r="183">
      <c r="A183" s="3">
        <f>IFERROR(__xludf.DUMMYFUNCTION("""COMPUTED_VALUE"""),40619.666666666664)</f>
        <v>40619.66667</v>
      </c>
      <c r="B183" s="2">
        <f>IFERROR(__xludf.DUMMYFUNCTION("""COMPUTED_VALUE"""),1.55)</f>
        <v>1.55</v>
      </c>
      <c r="C183" s="2">
        <f>IFERROR(__xludf.DUMMYFUNCTION("""COMPUTED_VALUE"""),1.56)</f>
        <v>1.56</v>
      </c>
      <c r="D183" s="2">
        <f>IFERROR(__xludf.DUMMYFUNCTION("""COMPUTED_VALUE"""),1.51)</f>
        <v>1.51</v>
      </c>
      <c r="E183" s="2">
        <f>IFERROR(__xludf.DUMMYFUNCTION("""COMPUTED_VALUE"""),1.52)</f>
        <v>1.52</v>
      </c>
      <c r="F183" s="2">
        <f>IFERROR(__xludf.DUMMYFUNCTION("""COMPUTED_VALUE"""),922504.0)</f>
        <v>922504</v>
      </c>
    </row>
    <row r="184">
      <c r="A184" s="3">
        <f>IFERROR(__xludf.DUMMYFUNCTION("""COMPUTED_VALUE"""),40620.666666666664)</f>
        <v>40620.66667</v>
      </c>
      <c r="B184" s="2">
        <f>IFERROR(__xludf.DUMMYFUNCTION("""COMPUTED_VALUE"""),1.55)</f>
        <v>1.55</v>
      </c>
      <c r="C184" s="2">
        <f>IFERROR(__xludf.DUMMYFUNCTION("""COMPUTED_VALUE"""),1.55)</f>
        <v>1.55</v>
      </c>
      <c r="D184" s="2">
        <f>IFERROR(__xludf.DUMMYFUNCTION("""COMPUTED_VALUE"""),1.5)</f>
        <v>1.5</v>
      </c>
      <c r="E184" s="2">
        <f>IFERROR(__xludf.DUMMYFUNCTION("""COMPUTED_VALUE"""),1.53)</f>
        <v>1.53</v>
      </c>
      <c r="F184" s="2">
        <f>IFERROR(__xludf.DUMMYFUNCTION("""COMPUTED_VALUE"""),687823.0)</f>
        <v>687823</v>
      </c>
    </row>
    <row r="185">
      <c r="A185" s="3">
        <f>IFERROR(__xludf.DUMMYFUNCTION("""COMPUTED_VALUE"""),40623.666666666664)</f>
        <v>40623.66667</v>
      </c>
      <c r="B185" s="2">
        <f>IFERROR(__xludf.DUMMYFUNCTION("""COMPUTED_VALUE"""),1.54)</f>
        <v>1.54</v>
      </c>
      <c r="C185" s="2">
        <f>IFERROR(__xludf.DUMMYFUNCTION("""COMPUTED_VALUE"""),1.54)</f>
        <v>1.54</v>
      </c>
      <c r="D185" s="2">
        <f>IFERROR(__xludf.DUMMYFUNCTION("""COMPUTED_VALUE"""),1.5)</f>
        <v>1.5</v>
      </c>
      <c r="E185" s="2">
        <f>IFERROR(__xludf.DUMMYFUNCTION("""COMPUTED_VALUE"""),1.52)</f>
        <v>1.52</v>
      </c>
      <c r="F185" s="2">
        <f>IFERROR(__xludf.DUMMYFUNCTION("""COMPUTED_VALUE"""),411650.0)</f>
        <v>411650</v>
      </c>
    </row>
    <row r="186">
      <c r="A186" s="3">
        <f>IFERROR(__xludf.DUMMYFUNCTION("""COMPUTED_VALUE"""),40624.666666666664)</f>
        <v>40624.66667</v>
      </c>
      <c r="B186" s="2">
        <f>IFERROR(__xludf.DUMMYFUNCTION("""COMPUTED_VALUE"""),1.52)</f>
        <v>1.52</v>
      </c>
      <c r="C186" s="2">
        <f>IFERROR(__xludf.DUMMYFUNCTION("""COMPUTED_VALUE"""),1.52)</f>
        <v>1.52</v>
      </c>
      <c r="D186" s="2">
        <f>IFERROR(__xludf.DUMMYFUNCTION("""COMPUTED_VALUE"""),1.47)</f>
        <v>1.47</v>
      </c>
      <c r="E186" s="2">
        <f>IFERROR(__xludf.DUMMYFUNCTION("""COMPUTED_VALUE"""),1.48)</f>
        <v>1.48</v>
      </c>
      <c r="F186" s="2">
        <f>IFERROR(__xludf.DUMMYFUNCTION("""COMPUTED_VALUE"""),582813.0)</f>
        <v>582813</v>
      </c>
    </row>
    <row r="187">
      <c r="A187" s="3">
        <f>IFERROR(__xludf.DUMMYFUNCTION("""COMPUTED_VALUE"""),40625.666666666664)</f>
        <v>40625.66667</v>
      </c>
      <c r="B187" s="2">
        <f>IFERROR(__xludf.DUMMYFUNCTION("""COMPUTED_VALUE"""),1.47)</f>
        <v>1.47</v>
      </c>
      <c r="C187" s="2">
        <f>IFERROR(__xludf.DUMMYFUNCTION("""COMPUTED_VALUE"""),1.48)</f>
        <v>1.48</v>
      </c>
      <c r="D187" s="2">
        <f>IFERROR(__xludf.DUMMYFUNCTION("""COMPUTED_VALUE"""),1.45)</f>
        <v>1.45</v>
      </c>
      <c r="E187" s="2">
        <f>IFERROR(__xludf.DUMMYFUNCTION("""COMPUTED_VALUE"""),1.48)</f>
        <v>1.48</v>
      </c>
      <c r="F187" s="2">
        <f>IFERROR(__xludf.DUMMYFUNCTION("""COMPUTED_VALUE"""),422793.0)</f>
        <v>422793</v>
      </c>
    </row>
    <row r="188">
      <c r="A188" s="3">
        <f>IFERROR(__xludf.DUMMYFUNCTION("""COMPUTED_VALUE"""),40626.666666666664)</f>
        <v>40626.66667</v>
      </c>
      <c r="B188" s="2">
        <f>IFERROR(__xludf.DUMMYFUNCTION("""COMPUTED_VALUE"""),1.48)</f>
        <v>1.48</v>
      </c>
      <c r="C188" s="2">
        <f>IFERROR(__xludf.DUMMYFUNCTION("""COMPUTED_VALUE"""),1.49)</f>
        <v>1.49</v>
      </c>
      <c r="D188" s="2">
        <f>IFERROR(__xludf.DUMMYFUNCTION("""COMPUTED_VALUE"""),1.47)</f>
        <v>1.47</v>
      </c>
      <c r="E188" s="2">
        <f>IFERROR(__xludf.DUMMYFUNCTION("""COMPUTED_VALUE"""),1.49)</f>
        <v>1.49</v>
      </c>
      <c r="F188" s="2">
        <f>IFERROR(__xludf.DUMMYFUNCTION("""COMPUTED_VALUE"""),462160.0)</f>
        <v>462160</v>
      </c>
    </row>
    <row r="189">
      <c r="A189" s="3">
        <f>IFERROR(__xludf.DUMMYFUNCTION("""COMPUTED_VALUE"""),40627.666666666664)</f>
        <v>40627.66667</v>
      </c>
      <c r="B189" s="2">
        <f>IFERROR(__xludf.DUMMYFUNCTION("""COMPUTED_VALUE"""),1.5)</f>
        <v>1.5</v>
      </c>
      <c r="C189" s="2">
        <f>IFERROR(__xludf.DUMMYFUNCTION("""COMPUTED_VALUE"""),1.53)</f>
        <v>1.53</v>
      </c>
      <c r="D189" s="2">
        <f>IFERROR(__xludf.DUMMYFUNCTION("""COMPUTED_VALUE"""),1.49)</f>
        <v>1.49</v>
      </c>
      <c r="E189" s="2">
        <f>IFERROR(__xludf.DUMMYFUNCTION("""COMPUTED_VALUE"""),1.52)</f>
        <v>1.52</v>
      </c>
      <c r="F189" s="2">
        <f>IFERROR(__xludf.DUMMYFUNCTION("""COMPUTED_VALUE"""),567922.0)</f>
        <v>567922</v>
      </c>
    </row>
    <row r="190">
      <c r="A190" s="3">
        <f>IFERROR(__xludf.DUMMYFUNCTION("""COMPUTED_VALUE"""),40630.666666666664)</f>
        <v>40630.66667</v>
      </c>
      <c r="B190" s="2">
        <f>IFERROR(__xludf.DUMMYFUNCTION("""COMPUTED_VALUE"""),1.51)</f>
        <v>1.51</v>
      </c>
      <c r="C190" s="2">
        <f>IFERROR(__xludf.DUMMYFUNCTION("""COMPUTED_VALUE"""),1.57)</f>
        <v>1.57</v>
      </c>
      <c r="D190" s="2">
        <f>IFERROR(__xludf.DUMMYFUNCTION("""COMPUTED_VALUE"""),1.5)</f>
        <v>1.5</v>
      </c>
      <c r="E190" s="2">
        <f>IFERROR(__xludf.DUMMYFUNCTION("""COMPUTED_VALUE"""),1.55)</f>
        <v>1.55</v>
      </c>
      <c r="F190" s="2">
        <f>IFERROR(__xludf.DUMMYFUNCTION("""COMPUTED_VALUE"""),1058018.0)</f>
        <v>1058018</v>
      </c>
    </row>
    <row r="191">
      <c r="A191" s="3">
        <f>IFERROR(__xludf.DUMMYFUNCTION("""COMPUTED_VALUE"""),40631.666666666664)</f>
        <v>40631.66667</v>
      </c>
      <c r="B191" s="2">
        <f>IFERROR(__xludf.DUMMYFUNCTION("""COMPUTED_VALUE"""),1.55)</f>
        <v>1.55</v>
      </c>
      <c r="C191" s="2">
        <f>IFERROR(__xludf.DUMMYFUNCTION("""COMPUTED_VALUE"""),1.6)</f>
        <v>1.6</v>
      </c>
      <c r="D191" s="2">
        <f>IFERROR(__xludf.DUMMYFUNCTION("""COMPUTED_VALUE"""),1.55)</f>
        <v>1.55</v>
      </c>
      <c r="E191" s="2">
        <f>IFERROR(__xludf.DUMMYFUNCTION("""COMPUTED_VALUE"""),1.59)</f>
        <v>1.59</v>
      </c>
      <c r="F191" s="2">
        <f>IFERROR(__xludf.DUMMYFUNCTION("""COMPUTED_VALUE"""),755591.0)</f>
        <v>755591</v>
      </c>
    </row>
    <row r="192">
      <c r="A192" s="3">
        <f>IFERROR(__xludf.DUMMYFUNCTION("""COMPUTED_VALUE"""),40632.666666666664)</f>
        <v>40632.66667</v>
      </c>
      <c r="B192" s="2">
        <f>IFERROR(__xludf.DUMMYFUNCTION("""COMPUTED_VALUE"""),1.61)</f>
        <v>1.61</v>
      </c>
      <c r="C192" s="2">
        <f>IFERROR(__xludf.DUMMYFUNCTION("""COMPUTED_VALUE"""),1.63)</f>
        <v>1.63</v>
      </c>
      <c r="D192" s="2">
        <f>IFERROR(__xludf.DUMMYFUNCTION("""COMPUTED_VALUE"""),1.53)</f>
        <v>1.53</v>
      </c>
      <c r="E192" s="2">
        <f>IFERROR(__xludf.DUMMYFUNCTION("""COMPUTED_VALUE"""),1.58)</f>
        <v>1.58</v>
      </c>
      <c r="F192" s="2">
        <f>IFERROR(__xludf.DUMMYFUNCTION("""COMPUTED_VALUE"""),1223877.0)</f>
        <v>1223877</v>
      </c>
    </row>
    <row r="193">
      <c r="A193" s="3">
        <f>IFERROR(__xludf.DUMMYFUNCTION("""COMPUTED_VALUE"""),40633.666666666664)</f>
        <v>40633.66667</v>
      </c>
      <c r="B193" s="2">
        <f>IFERROR(__xludf.DUMMYFUNCTION("""COMPUTED_VALUE"""),1.77)</f>
        <v>1.77</v>
      </c>
      <c r="C193" s="2">
        <f>IFERROR(__xludf.DUMMYFUNCTION("""COMPUTED_VALUE"""),1.91)</f>
        <v>1.91</v>
      </c>
      <c r="D193" s="2">
        <f>IFERROR(__xludf.DUMMYFUNCTION("""COMPUTED_VALUE"""),1.77)</f>
        <v>1.77</v>
      </c>
      <c r="E193" s="2">
        <f>IFERROR(__xludf.DUMMYFUNCTION("""COMPUTED_VALUE"""),1.85)</f>
        <v>1.85</v>
      </c>
      <c r="F193" s="2">
        <f>IFERROR(__xludf.DUMMYFUNCTION("""COMPUTED_VALUE"""),1.1522337E7)</f>
        <v>11522337</v>
      </c>
    </row>
    <row r="194">
      <c r="A194" s="3">
        <f>IFERROR(__xludf.DUMMYFUNCTION("""COMPUTED_VALUE"""),40634.666666666664)</f>
        <v>40634.66667</v>
      </c>
      <c r="B194" s="2">
        <f>IFERROR(__xludf.DUMMYFUNCTION("""COMPUTED_VALUE"""),1.85)</f>
        <v>1.85</v>
      </c>
      <c r="C194" s="2">
        <f>IFERROR(__xludf.DUMMYFUNCTION("""COMPUTED_VALUE"""),1.88)</f>
        <v>1.88</v>
      </c>
      <c r="D194" s="2">
        <f>IFERROR(__xludf.DUMMYFUNCTION("""COMPUTED_VALUE"""),1.77)</f>
        <v>1.77</v>
      </c>
      <c r="E194" s="2">
        <f>IFERROR(__xludf.DUMMYFUNCTION("""COMPUTED_VALUE"""),1.78)</f>
        <v>1.78</v>
      </c>
      <c r="F194" s="2">
        <f>IFERROR(__xludf.DUMMYFUNCTION("""COMPUTED_VALUE"""),2865087.0)</f>
        <v>2865087</v>
      </c>
    </row>
    <row r="195">
      <c r="A195" s="3">
        <f>IFERROR(__xludf.DUMMYFUNCTION("""COMPUTED_VALUE"""),40637.666666666664)</f>
        <v>40637.66667</v>
      </c>
      <c r="B195" s="2">
        <f>IFERROR(__xludf.DUMMYFUNCTION("""COMPUTED_VALUE"""),1.79)</f>
        <v>1.79</v>
      </c>
      <c r="C195" s="2">
        <f>IFERROR(__xludf.DUMMYFUNCTION("""COMPUTED_VALUE"""),1.8)</f>
        <v>1.8</v>
      </c>
      <c r="D195" s="2">
        <f>IFERROR(__xludf.DUMMYFUNCTION("""COMPUTED_VALUE"""),1.68)</f>
        <v>1.68</v>
      </c>
      <c r="E195" s="2">
        <f>IFERROR(__xludf.DUMMYFUNCTION("""COMPUTED_VALUE"""),1.72)</f>
        <v>1.72</v>
      </c>
      <c r="F195" s="2">
        <f>IFERROR(__xludf.DUMMYFUNCTION("""COMPUTED_VALUE"""),2609227.0)</f>
        <v>2609227</v>
      </c>
    </row>
    <row r="196">
      <c r="A196" s="3">
        <f>IFERROR(__xludf.DUMMYFUNCTION("""COMPUTED_VALUE"""),40638.666666666664)</f>
        <v>40638.66667</v>
      </c>
      <c r="B196" s="2">
        <f>IFERROR(__xludf.DUMMYFUNCTION("""COMPUTED_VALUE"""),1.73)</f>
        <v>1.73</v>
      </c>
      <c r="C196" s="2">
        <f>IFERROR(__xludf.DUMMYFUNCTION("""COMPUTED_VALUE"""),1.8)</f>
        <v>1.8</v>
      </c>
      <c r="D196" s="2">
        <f>IFERROR(__xludf.DUMMYFUNCTION("""COMPUTED_VALUE"""),1.71)</f>
        <v>1.71</v>
      </c>
      <c r="E196" s="2">
        <f>IFERROR(__xludf.DUMMYFUNCTION("""COMPUTED_VALUE"""),1.78)</f>
        <v>1.78</v>
      </c>
      <c r="F196" s="2">
        <f>IFERROR(__xludf.DUMMYFUNCTION("""COMPUTED_VALUE"""),3181727.0)</f>
        <v>3181727</v>
      </c>
    </row>
    <row r="197">
      <c r="A197" s="3">
        <f>IFERROR(__xludf.DUMMYFUNCTION("""COMPUTED_VALUE"""),40639.666666666664)</f>
        <v>40639.66667</v>
      </c>
      <c r="B197" s="2">
        <f>IFERROR(__xludf.DUMMYFUNCTION("""COMPUTED_VALUE"""),1.8)</f>
        <v>1.8</v>
      </c>
      <c r="C197" s="2">
        <f>IFERROR(__xludf.DUMMYFUNCTION("""COMPUTED_VALUE"""),1.8)</f>
        <v>1.8</v>
      </c>
      <c r="D197" s="2">
        <f>IFERROR(__xludf.DUMMYFUNCTION("""COMPUTED_VALUE"""),1.72)</f>
        <v>1.72</v>
      </c>
      <c r="E197" s="2">
        <f>IFERROR(__xludf.DUMMYFUNCTION("""COMPUTED_VALUE"""),1.77)</f>
        <v>1.77</v>
      </c>
      <c r="F197" s="2">
        <f>IFERROR(__xludf.DUMMYFUNCTION("""COMPUTED_VALUE"""),1288297.0)</f>
        <v>1288297</v>
      </c>
    </row>
    <row r="198">
      <c r="A198" s="3">
        <f>IFERROR(__xludf.DUMMYFUNCTION("""COMPUTED_VALUE"""),40640.666666666664)</f>
        <v>40640.66667</v>
      </c>
      <c r="B198" s="2">
        <f>IFERROR(__xludf.DUMMYFUNCTION("""COMPUTED_VALUE"""),1.79)</f>
        <v>1.79</v>
      </c>
      <c r="C198" s="2">
        <f>IFERROR(__xludf.DUMMYFUNCTION("""COMPUTED_VALUE"""),1.86)</f>
        <v>1.86</v>
      </c>
      <c r="D198" s="2">
        <f>IFERROR(__xludf.DUMMYFUNCTION("""COMPUTED_VALUE"""),1.76)</f>
        <v>1.76</v>
      </c>
      <c r="E198" s="2">
        <f>IFERROR(__xludf.DUMMYFUNCTION("""COMPUTED_VALUE"""),1.82)</f>
        <v>1.82</v>
      </c>
      <c r="F198" s="2">
        <f>IFERROR(__xludf.DUMMYFUNCTION("""COMPUTED_VALUE"""),2810766.0)</f>
        <v>2810766</v>
      </c>
    </row>
    <row r="199">
      <c r="A199" s="3">
        <f>IFERROR(__xludf.DUMMYFUNCTION("""COMPUTED_VALUE"""),40641.666666666664)</f>
        <v>40641.66667</v>
      </c>
      <c r="B199" s="2">
        <f>IFERROR(__xludf.DUMMYFUNCTION("""COMPUTED_VALUE"""),1.84)</f>
        <v>1.84</v>
      </c>
      <c r="C199" s="2">
        <f>IFERROR(__xludf.DUMMYFUNCTION("""COMPUTED_VALUE"""),1.84)</f>
        <v>1.84</v>
      </c>
      <c r="D199" s="2">
        <f>IFERROR(__xludf.DUMMYFUNCTION("""COMPUTED_VALUE"""),1.76)</f>
        <v>1.76</v>
      </c>
      <c r="E199" s="2">
        <f>IFERROR(__xludf.DUMMYFUNCTION("""COMPUTED_VALUE"""),1.77)</f>
        <v>1.77</v>
      </c>
      <c r="F199" s="2">
        <f>IFERROR(__xludf.DUMMYFUNCTION("""COMPUTED_VALUE"""),1946352.0)</f>
        <v>1946352</v>
      </c>
    </row>
    <row r="200">
      <c r="A200" s="3">
        <f>IFERROR(__xludf.DUMMYFUNCTION("""COMPUTED_VALUE"""),40644.666666666664)</f>
        <v>40644.66667</v>
      </c>
      <c r="B200" s="2">
        <f>IFERROR(__xludf.DUMMYFUNCTION("""COMPUTED_VALUE"""),1.77)</f>
        <v>1.77</v>
      </c>
      <c r="C200" s="2">
        <f>IFERROR(__xludf.DUMMYFUNCTION("""COMPUTED_VALUE"""),1.77)</f>
        <v>1.77</v>
      </c>
      <c r="D200" s="2">
        <f>IFERROR(__xludf.DUMMYFUNCTION("""COMPUTED_VALUE"""),1.67)</f>
        <v>1.67</v>
      </c>
      <c r="E200" s="2">
        <f>IFERROR(__xludf.DUMMYFUNCTION("""COMPUTED_VALUE"""),1.68)</f>
        <v>1.68</v>
      </c>
      <c r="F200" s="2">
        <f>IFERROR(__xludf.DUMMYFUNCTION("""COMPUTED_VALUE"""),1372200.0)</f>
        <v>1372200</v>
      </c>
    </row>
    <row r="201">
      <c r="A201" s="3">
        <f>IFERROR(__xludf.DUMMYFUNCTION("""COMPUTED_VALUE"""),40645.666666666664)</f>
        <v>40645.66667</v>
      </c>
      <c r="B201" s="2">
        <f>IFERROR(__xludf.DUMMYFUNCTION("""COMPUTED_VALUE"""),1.67)</f>
        <v>1.67</v>
      </c>
      <c r="C201" s="2">
        <f>IFERROR(__xludf.DUMMYFUNCTION("""COMPUTED_VALUE"""),1.68)</f>
        <v>1.68</v>
      </c>
      <c r="D201" s="2">
        <f>IFERROR(__xludf.DUMMYFUNCTION("""COMPUTED_VALUE"""),1.62)</f>
        <v>1.62</v>
      </c>
      <c r="E201" s="2">
        <f>IFERROR(__xludf.DUMMYFUNCTION("""COMPUTED_VALUE"""),1.64)</f>
        <v>1.64</v>
      </c>
      <c r="F201" s="2">
        <f>IFERROR(__xludf.DUMMYFUNCTION("""COMPUTED_VALUE"""),1357401.0)</f>
        <v>1357401</v>
      </c>
    </row>
    <row r="202">
      <c r="A202" s="3">
        <f>IFERROR(__xludf.DUMMYFUNCTION("""COMPUTED_VALUE"""),40646.666666666664)</f>
        <v>40646.66667</v>
      </c>
      <c r="B202" s="2">
        <f>IFERROR(__xludf.DUMMYFUNCTION("""COMPUTED_VALUE"""),1.68)</f>
        <v>1.68</v>
      </c>
      <c r="C202" s="2">
        <f>IFERROR(__xludf.DUMMYFUNCTION("""COMPUTED_VALUE"""),1.71)</f>
        <v>1.71</v>
      </c>
      <c r="D202" s="2">
        <f>IFERROR(__xludf.DUMMYFUNCTION("""COMPUTED_VALUE"""),1.65)</f>
        <v>1.65</v>
      </c>
      <c r="E202" s="2">
        <f>IFERROR(__xludf.DUMMYFUNCTION("""COMPUTED_VALUE"""),1.66)</f>
        <v>1.66</v>
      </c>
      <c r="F202" s="2">
        <f>IFERROR(__xludf.DUMMYFUNCTION("""COMPUTED_VALUE"""),1211444.0)</f>
        <v>1211444</v>
      </c>
    </row>
    <row r="203">
      <c r="A203" s="3">
        <f>IFERROR(__xludf.DUMMYFUNCTION("""COMPUTED_VALUE"""),40647.666666666664)</f>
        <v>40647.66667</v>
      </c>
      <c r="B203" s="2">
        <f>IFERROR(__xludf.DUMMYFUNCTION("""COMPUTED_VALUE"""),1.66)</f>
        <v>1.66</v>
      </c>
      <c r="C203" s="2">
        <f>IFERROR(__xludf.DUMMYFUNCTION("""COMPUTED_VALUE"""),1.69)</f>
        <v>1.69</v>
      </c>
      <c r="D203" s="2">
        <f>IFERROR(__xludf.DUMMYFUNCTION("""COMPUTED_VALUE"""),1.61)</f>
        <v>1.61</v>
      </c>
      <c r="E203" s="2">
        <f>IFERROR(__xludf.DUMMYFUNCTION("""COMPUTED_VALUE"""),1.68)</f>
        <v>1.68</v>
      </c>
      <c r="F203" s="2">
        <f>IFERROR(__xludf.DUMMYFUNCTION("""COMPUTED_VALUE"""),983382.0)</f>
        <v>983382</v>
      </c>
    </row>
    <row r="204">
      <c r="A204" s="3">
        <f>IFERROR(__xludf.DUMMYFUNCTION("""COMPUTED_VALUE"""),40648.666666666664)</f>
        <v>40648.66667</v>
      </c>
      <c r="B204" s="2">
        <f>IFERROR(__xludf.DUMMYFUNCTION("""COMPUTED_VALUE"""),1.71)</f>
        <v>1.71</v>
      </c>
      <c r="C204" s="2">
        <f>IFERROR(__xludf.DUMMYFUNCTION("""COMPUTED_VALUE"""),1.75)</f>
        <v>1.75</v>
      </c>
      <c r="D204" s="2">
        <f>IFERROR(__xludf.DUMMYFUNCTION("""COMPUTED_VALUE"""),1.69)</f>
        <v>1.69</v>
      </c>
      <c r="E204" s="2">
        <f>IFERROR(__xludf.DUMMYFUNCTION("""COMPUTED_VALUE"""),1.71)</f>
        <v>1.71</v>
      </c>
      <c r="F204" s="2">
        <f>IFERROR(__xludf.DUMMYFUNCTION("""COMPUTED_VALUE"""),943451.0)</f>
        <v>943451</v>
      </c>
    </row>
    <row r="205">
      <c r="A205" s="3">
        <f>IFERROR(__xludf.DUMMYFUNCTION("""COMPUTED_VALUE"""),40651.666666666664)</f>
        <v>40651.66667</v>
      </c>
      <c r="B205" s="2">
        <f>IFERROR(__xludf.DUMMYFUNCTION("""COMPUTED_VALUE"""),1.68)</f>
        <v>1.68</v>
      </c>
      <c r="C205" s="2">
        <f>IFERROR(__xludf.DUMMYFUNCTION("""COMPUTED_VALUE"""),1.71)</f>
        <v>1.71</v>
      </c>
      <c r="D205" s="2">
        <f>IFERROR(__xludf.DUMMYFUNCTION("""COMPUTED_VALUE"""),1.62)</f>
        <v>1.62</v>
      </c>
      <c r="E205" s="2">
        <f>IFERROR(__xludf.DUMMYFUNCTION("""COMPUTED_VALUE"""),1.67)</f>
        <v>1.67</v>
      </c>
      <c r="F205" s="2">
        <f>IFERROR(__xludf.DUMMYFUNCTION("""COMPUTED_VALUE"""),1033871.0)</f>
        <v>1033871</v>
      </c>
    </row>
    <row r="206">
      <c r="A206" s="3">
        <f>IFERROR(__xludf.DUMMYFUNCTION("""COMPUTED_VALUE"""),40652.666666666664)</f>
        <v>40652.66667</v>
      </c>
      <c r="B206" s="2">
        <f>IFERROR(__xludf.DUMMYFUNCTION("""COMPUTED_VALUE"""),1.67)</f>
        <v>1.67</v>
      </c>
      <c r="C206" s="2">
        <f>IFERROR(__xludf.DUMMYFUNCTION("""COMPUTED_VALUE"""),1.68)</f>
        <v>1.68</v>
      </c>
      <c r="D206" s="2">
        <f>IFERROR(__xludf.DUMMYFUNCTION("""COMPUTED_VALUE"""),1.64)</f>
        <v>1.64</v>
      </c>
      <c r="E206" s="2">
        <f>IFERROR(__xludf.DUMMYFUNCTION("""COMPUTED_VALUE"""),1.68)</f>
        <v>1.68</v>
      </c>
      <c r="F206" s="2">
        <f>IFERROR(__xludf.DUMMYFUNCTION("""COMPUTED_VALUE"""),548693.0)</f>
        <v>548693</v>
      </c>
    </row>
    <row r="207">
      <c r="A207" s="3">
        <f>IFERROR(__xludf.DUMMYFUNCTION("""COMPUTED_VALUE"""),40653.666666666664)</f>
        <v>40653.66667</v>
      </c>
      <c r="B207" s="2">
        <f>IFERROR(__xludf.DUMMYFUNCTION("""COMPUTED_VALUE"""),1.71)</f>
        <v>1.71</v>
      </c>
      <c r="C207" s="2">
        <f>IFERROR(__xludf.DUMMYFUNCTION("""COMPUTED_VALUE"""),1.74)</f>
        <v>1.74</v>
      </c>
      <c r="D207" s="2">
        <f>IFERROR(__xludf.DUMMYFUNCTION("""COMPUTED_VALUE"""),1.69)</f>
        <v>1.69</v>
      </c>
      <c r="E207" s="2">
        <f>IFERROR(__xludf.DUMMYFUNCTION("""COMPUTED_VALUE"""),1.72)</f>
        <v>1.72</v>
      </c>
      <c r="F207" s="2">
        <f>IFERROR(__xludf.DUMMYFUNCTION("""COMPUTED_VALUE"""),837469.0)</f>
        <v>837469</v>
      </c>
    </row>
    <row r="208">
      <c r="A208" s="3">
        <f>IFERROR(__xludf.DUMMYFUNCTION("""COMPUTED_VALUE"""),40654.666666666664)</f>
        <v>40654.66667</v>
      </c>
      <c r="B208" s="2">
        <f>IFERROR(__xludf.DUMMYFUNCTION("""COMPUTED_VALUE"""),1.72)</f>
        <v>1.72</v>
      </c>
      <c r="C208" s="2">
        <f>IFERROR(__xludf.DUMMYFUNCTION("""COMPUTED_VALUE"""),1.8)</f>
        <v>1.8</v>
      </c>
      <c r="D208" s="2">
        <f>IFERROR(__xludf.DUMMYFUNCTION("""COMPUTED_VALUE"""),1.71)</f>
        <v>1.71</v>
      </c>
      <c r="E208" s="2">
        <f>IFERROR(__xludf.DUMMYFUNCTION("""COMPUTED_VALUE"""),1.78)</f>
        <v>1.78</v>
      </c>
      <c r="F208" s="2">
        <f>IFERROR(__xludf.DUMMYFUNCTION("""COMPUTED_VALUE"""),1386053.0)</f>
        <v>1386053</v>
      </c>
    </row>
    <row r="209">
      <c r="A209" s="3">
        <f>IFERROR(__xludf.DUMMYFUNCTION("""COMPUTED_VALUE"""),40658.666666666664)</f>
        <v>40658.66667</v>
      </c>
      <c r="B209" s="2">
        <f>IFERROR(__xludf.DUMMYFUNCTION("""COMPUTED_VALUE"""),1.78)</f>
        <v>1.78</v>
      </c>
      <c r="C209" s="2">
        <f>IFERROR(__xludf.DUMMYFUNCTION("""COMPUTED_VALUE"""),1.78)</f>
        <v>1.78</v>
      </c>
      <c r="D209" s="2">
        <f>IFERROR(__xludf.DUMMYFUNCTION("""COMPUTED_VALUE"""),1.73)</f>
        <v>1.73</v>
      </c>
      <c r="E209" s="2">
        <f>IFERROR(__xludf.DUMMYFUNCTION("""COMPUTED_VALUE"""),1.76)</f>
        <v>1.76</v>
      </c>
      <c r="F209" s="2">
        <f>IFERROR(__xludf.DUMMYFUNCTION("""COMPUTED_VALUE"""),800839.0)</f>
        <v>800839</v>
      </c>
    </row>
    <row r="210">
      <c r="A210" s="3">
        <f>IFERROR(__xludf.DUMMYFUNCTION("""COMPUTED_VALUE"""),40659.666666666664)</f>
        <v>40659.66667</v>
      </c>
      <c r="B210" s="2">
        <f>IFERROR(__xludf.DUMMYFUNCTION("""COMPUTED_VALUE"""),1.76)</f>
        <v>1.76</v>
      </c>
      <c r="C210" s="2">
        <f>IFERROR(__xludf.DUMMYFUNCTION("""COMPUTED_VALUE"""),1.82)</f>
        <v>1.82</v>
      </c>
      <c r="D210" s="2">
        <f>IFERROR(__xludf.DUMMYFUNCTION("""COMPUTED_VALUE"""),1.75)</f>
        <v>1.75</v>
      </c>
      <c r="E210" s="2">
        <f>IFERROR(__xludf.DUMMYFUNCTION("""COMPUTED_VALUE"""),1.8)</f>
        <v>1.8</v>
      </c>
      <c r="F210" s="2">
        <f>IFERROR(__xludf.DUMMYFUNCTION("""COMPUTED_VALUE"""),1372343.0)</f>
        <v>1372343</v>
      </c>
    </row>
    <row r="211">
      <c r="A211" s="3">
        <f>IFERROR(__xludf.DUMMYFUNCTION("""COMPUTED_VALUE"""),40660.666666666664)</f>
        <v>40660.66667</v>
      </c>
      <c r="B211" s="2">
        <f>IFERROR(__xludf.DUMMYFUNCTION("""COMPUTED_VALUE"""),1.8)</f>
        <v>1.8</v>
      </c>
      <c r="C211" s="2">
        <f>IFERROR(__xludf.DUMMYFUNCTION("""COMPUTED_VALUE"""),1.82)</f>
        <v>1.82</v>
      </c>
      <c r="D211" s="2">
        <f>IFERROR(__xludf.DUMMYFUNCTION("""COMPUTED_VALUE"""),1.78)</f>
        <v>1.78</v>
      </c>
      <c r="E211" s="2">
        <f>IFERROR(__xludf.DUMMYFUNCTION("""COMPUTED_VALUE"""),1.81)</f>
        <v>1.81</v>
      </c>
      <c r="F211" s="2">
        <f>IFERROR(__xludf.DUMMYFUNCTION("""COMPUTED_VALUE"""),996901.0)</f>
        <v>996901</v>
      </c>
    </row>
    <row r="212">
      <c r="A212" s="3">
        <f>IFERROR(__xludf.DUMMYFUNCTION("""COMPUTED_VALUE"""),40661.666666666664)</f>
        <v>40661.66667</v>
      </c>
      <c r="B212" s="2">
        <f>IFERROR(__xludf.DUMMYFUNCTION("""COMPUTED_VALUE"""),1.8)</f>
        <v>1.8</v>
      </c>
      <c r="C212" s="2">
        <f>IFERROR(__xludf.DUMMYFUNCTION("""COMPUTED_VALUE"""),1.85)</f>
        <v>1.85</v>
      </c>
      <c r="D212" s="2">
        <f>IFERROR(__xludf.DUMMYFUNCTION("""COMPUTED_VALUE"""),1.78)</f>
        <v>1.78</v>
      </c>
      <c r="E212" s="2">
        <f>IFERROR(__xludf.DUMMYFUNCTION("""COMPUTED_VALUE"""),1.84)</f>
        <v>1.84</v>
      </c>
      <c r="F212" s="2">
        <f>IFERROR(__xludf.DUMMYFUNCTION("""COMPUTED_VALUE"""),1644997.0)</f>
        <v>1644997</v>
      </c>
    </row>
    <row r="213">
      <c r="A213" s="3">
        <f>IFERROR(__xludf.DUMMYFUNCTION("""COMPUTED_VALUE"""),40662.666666666664)</f>
        <v>40662.66667</v>
      </c>
      <c r="B213" s="2">
        <f>IFERROR(__xludf.DUMMYFUNCTION("""COMPUTED_VALUE"""),1.85)</f>
        <v>1.85</v>
      </c>
      <c r="C213" s="2">
        <f>IFERROR(__xludf.DUMMYFUNCTION("""COMPUTED_VALUE"""),1.86)</f>
        <v>1.86</v>
      </c>
      <c r="D213" s="2">
        <f>IFERROR(__xludf.DUMMYFUNCTION("""COMPUTED_VALUE"""),1.83)</f>
        <v>1.83</v>
      </c>
      <c r="E213" s="2">
        <f>IFERROR(__xludf.DUMMYFUNCTION("""COMPUTED_VALUE"""),1.84)</f>
        <v>1.84</v>
      </c>
      <c r="F213" s="2">
        <f>IFERROR(__xludf.DUMMYFUNCTION("""COMPUTED_VALUE"""),726340.0)</f>
        <v>726340</v>
      </c>
    </row>
    <row r="214">
      <c r="A214" s="3">
        <f>IFERROR(__xludf.DUMMYFUNCTION("""COMPUTED_VALUE"""),40665.666666666664)</f>
        <v>40665.66667</v>
      </c>
      <c r="B214" s="2">
        <f>IFERROR(__xludf.DUMMYFUNCTION("""COMPUTED_VALUE"""),1.84)</f>
        <v>1.84</v>
      </c>
      <c r="C214" s="2">
        <f>IFERROR(__xludf.DUMMYFUNCTION("""COMPUTED_VALUE"""),1.85)</f>
        <v>1.85</v>
      </c>
      <c r="D214" s="2">
        <f>IFERROR(__xludf.DUMMYFUNCTION("""COMPUTED_VALUE"""),1.8)</f>
        <v>1.8</v>
      </c>
      <c r="E214" s="2">
        <f>IFERROR(__xludf.DUMMYFUNCTION("""COMPUTED_VALUE"""),1.83)</f>
        <v>1.83</v>
      </c>
      <c r="F214" s="2">
        <f>IFERROR(__xludf.DUMMYFUNCTION("""COMPUTED_VALUE"""),784560.0)</f>
        <v>784560</v>
      </c>
    </row>
    <row r="215">
      <c r="A215" s="3">
        <f>IFERROR(__xludf.DUMMYFUNCTION("""COMPUTED_VALUE"""),40666.666666666664)</f>
        <v>40666.66667</v>
      </c>
      <c r="B215" s="2">
        <f>IFERROR(__xludf.DUMMYFUNCTION("""COMPUTED_VALUE"""),1.83)</f>
        <v>1.83</v>
      </c>
      <c r="C215" s="2">
        <f>IFERROR(__xludf.DUMMYFUNCTION("""COMPUTED_VALUE"""),1.83)</f>
        <v>1.83</v>
      </c>
      <c r="D215" s="2">
        <f>IFERROR(__xludf.DUMMYFUNCTION("""COMPUTED_VALUE"""),1.77)</f>
        <v>1.77</v>
      </c>
      <c r="E215" s="2">
        <f>IFERROR(__xludf.DUMMYFUNCTION("""COMPUTED_VALUE"""),1.79)</f>
        <v>1.79</v>
      </c>
      <c r="F215" s="2">
        <f>IFERROR(__xludf.DUMMYFUNCTION("""COMPUTED_VALUE"""),913965.0)</f>
        <v>913965</v>
      </c>
    </row>
    <row r="216">
      <c r="A216" s="3">
        <f>IFERROR(__xludf.DUMMYFUNCTION("""COMPUTED_VALUE"""),40667.666666666664)</f>
        <v>40667.66667</v>
      </c>
      <c r="B216" s="2">
        <f>IFERROR(__xludf.DUMMYFUNCTION("""COMPUTED_VALUE"""),1.79)</f>
        <v>1.79</v>
      </c>
      <c r="C216" s="2">
        <f>IFERROR(__xludf.DUMMYFUNCTION("""COMPUTED_VALUE"""),1.8)</f>
        <v>1.8</v>
      </c>
      <c r="D216" s="2">
        <f>IFERROR(__xludf.DUMMYFUNCTION("""COMPUTED_VALUE"""),1.72)</f>
        <v>1.72</v>
      </c>
      <c r="E216" s="2">
        <f>IFERROR(__xludf.DUMMYFUNCTION("""COMPUTED_VALUE"""),1.78)</f>
        <v>1.78</v>
      </c>
      <c r="F216" s="2">
        <f>IFERROR(__xludf.DUMMYFUNCTION("""COMPUTED_VALUE"""),1047169.0)</f>
        <v>1047169</v>
      </c>
    </row>
    <row r="217">
      <c r="A217" s="3">
        <f>IFERROR(__xludf.DUMMYFUNCTION("""COMPUTED_VALUE"""),40668.666666666664)</f>
        <v>40668.66667</v>
      </c>
      <c r="B217" s="2">
        <f>IFERROR(__xludf.DUMMYFUNCTION("""COMPUTED_VALUE"""),1.81)</f>
        <v>1.81</v>
      </c>
      <c r="C217" s="2">
        <f>IFERROR(__xludf.DUMMYFUNCTION("""COMPUTED_VALUE"""),1.83)</f>
        <v>1.83</v>
      </c>
      <c r="D217" s="2">
        <f>IFERROR(__xludf.DUMMYFUNCTION("""COMPUTED_VALUE"""),1.74)</f>
        <v>1.74</v>
      </c>
      <c r="E217" s="2">
        <f>IFERROR(__xludf.DUMMYFUNCTION("""COMPUTED_VALUE"""),1.76)</f>
        <v>1.76</v>
      </c>
      <c r="F217" s="2">
        <f>IFERROR(__xludf.DUMMYFUNCTION("""COMPUTED_VALUE"""),1219449.0)</f>
        <v>1219449</v>
      </c>
    </row>
    <row r="218">
      <c r="A218" s="3">
        <f>IFERROR(__xludf.DUMMYFUNCTION("""COMPUTED_VALUE"""),40669.666666666664)</f>
        <v>40669.66667</v>
      </c>
      <c r="B218" s="2">
        <f>IFERROR(__xludf.DUMMYFUNCTION("""COMPUTED_VALUE"""),1.79)</f>
        <v>1.79</v>
      </c>
      <c r="C218" s="2">
        <f>IFERROR(__xludf.DUMMYFUNCTION("""COMPUTED_VALUE"""),1.85)</f>
        <v>1.85</v>
      </c>
      <c r="D218" s="2">
        <f>IFERROR(__xludf.DUMMYFUNCTION("""COMPUTED_VALUE"""),1.77)</f>
        <v>1.77</v>
      </c>
      <c r="E218" s="2">
        <f>IFERROR(__xludf.DUMMYFUNCTION("""COMPUTED_VALUE"""),1.81)</f>
        <v>1.81</v>
      </c>
      <c r="F218" s="2">
        <f>IFERROR(__xludf.DUMMYFUNCTION("""COMPUTED_VALUE"""),981606.0)</f>
        <v>981606</v>
      </c>
    </row>
    <row r="219">
      <c r="A219" s="3">
        <f>IFERROR(__xludf.DUMMYFUNCTION("""COMPUTED_VALUE"""),40672.666666666664)</f>
        <v>40672.66667</v>
      </c>
      <c r="B219" s="2">
        <f>IFERROR(__xludf.DUMMYFUNCTION("""COMPUTED_VALUE"""),1.8)</f>
        <v>1.8</v>
      </c>
      <c r="C219" s="2">
        <f>IFERROR(__xludf.DUMMYFUNCTION("""COMPUTED_VALUE"""),1.87)</f>
        <v>1.87</v>
      </c>
      <c r="D219" s="2">
        <f>IFERROR(__xludf.DUMMYFUNCTION("""COMPUTED_VALUE"""),1.79)</f>
        <v>1.79</v>
      </c>
      <c r="E219" s="2">
        <f>IFERROR(__xludf.DUMMYFUNCTION("""COMPUTED_VALUE"""),1.86)</f>
        <v>1.86</v>
      </c>
      <c r="F219" s="2">
        <f>IFERROR(__xludf.DUMMYFUNCTION("""COMPUTED_VALUE"""),916303.0)</f>
        <v>916303</v>
      </c>
    </row>
    <row r="220">
      <c r="A220" s="3">
        <f>IFERROR(__xludf.DUMMYFUNCTION("""COMPUTED_VALUE"""),40673.666666666664)</f>
        <v>40673.66667</v>
      </c>
      <c r="B220" s="2">
        <f>IFERROR(__xludf.DUMMYFUNCTION("""COMPUTED_VALUE"""),1.87)</f>
        <v>1.87</v>
      </c>
      <c r="C220" s="2">
        <f>IFERROR(__xludf.DUMMYFUNCTION("""COMPUTED_VALUE"""),1.93)</f>
        <v>1.93</v>
      </c>
      <c r="D220" s="2">
        <f>IFERROR(__xludf.DUMMYFUNCTION("""COMPUTED_VALUE"""),1.86)</f>
        <v>1.86</v>
      </c>
      <c r="E220" s="2">
        <f>IFERROR(__xludf.DUMMYFUNCTION("""COMPUTED_VALUE"""),1.89)</f>
        <v>1.89</v>
      </c>
      <c r="F220" s="2">
        <f>IFERROR(__xludf.DUMMYFUNCTION("""COMPUTED_VALUE"""),1535626.0)</f>
        <v>1535626</v>
      </c>
    </row>
    <row r="221">
      <c r="A221" s="3">
        <f>IFERROR(__xludf.DUMMYFUNCTION("""COMPUTED_VALUE"""),40674.666666666664)</f>
        <v>40674.66667</v>
      </c>
      <c r="B221" s="2">
        <f>IFERROR(__xludf.DUMMYFUNCTION("""COMPUTED_VALUE"""),1.88)</f>
        <v>1.88</v>
      </c>
      <c r="C221" s="2">
        <f>IFERROR(__xludf.DUMMYFUNCTION("""COMPUTED_VALUE"""),1.89)</f>
        <v>1.89</v>
      </c>
      <c r="D221" s="2">
        <f>IFERROR(__xludf.DUMMYFUNCTION("""COMPUTED_VALUE"""),1.79)</f>
        <v>1.79</v>
      </c>
      <c r="E221" s="2">
        <f>IFERROR(__xludf.DUMMYFUNCTION("""COMPUTED_VALUE"""),1.8)</f>
        <v>1.8</v>
      </c>
      <c r="F221" s="2">
        <f>IFERROR(__xludf.DUMMYFUNCTION("""COMPUTED_VALUE"""),962965.0)</f>
        <v>962965</v>
      </c>
    </row>
    <row r="222">
      <c r="A222" s="3">
        <f>IFERROR(__xludf.DUMMYFUNCTION("""COMPUTED_VALUE"""),40675.666666666664)</f>
        <v>40675.66667</v>
      </c>
      <c r="B222" s="2">
        <f>IFERROR(__xludf.DUMMYFUNCTION("""COMPUTED_VALUE"""),1.8)</f>
        <v>1.8</v>
      </c>
      <c r="C222" s="2">
        <f>IFERROR(__xludf.DUMMYFUNCTION("""COMPUTED_VALUE"""),1.85)</f>
        <v>1.85</v>
      </c>
      <c r="D222" s="2">
        <f>IFERROR(__xludf.DUMMYFUNCTION("""COMPUTED_VALUE"""),1.78)</f>
        <v>1.78</v>
      </c>
      <c r="E222" s="2">
        <f>IFERROR(__xludf.DUMMYFUNCTION("""COMPUTED_VALUE"""),1.84)</f>
        <v>1.84</v>
      </c>
      <c r="F222" s="2">
        <f>IFERROR(__xludf.DUMMYFUNCTION("""COMPUTED_VALUE"""),627740.0)</f>
        <v>627740</v>
      </c>
    </row>
    <row r="223">
      <c r="A223" s="3">
        <f>IFERROR(__xludf.DUMMYFUNCTION("""COMPUTED_VALUE"""),40676.666666666664)</f>
        <v>40676.66667</v>
      </c>
      <c r="B223" s="2">
        <f>IFERROR(__xludf.DUMMYFUNCTION("""COMPUTED_VALUE"""),1.87)</f>
        <v>1.87</v>
      </c>
      <c r="C223" s="2">
        <f>IFERROR(__xludf.DUMMYFUNCTION("""COMPUTED_VALUE"""),1.88)</f>
        <v>1.88</v>
      </c>
      <c r="D223" s="2">
        <f>IFERROR(__xludf.DUMMYFUNCTION("""COMPUTED_VALUE"""),1.82)</f>
        <v>1.82</v>
      </c>
      <c r="E223" s="2">
        <f>IFERROR(__xludf.DUMMYFUNCTION("""COMPUTED_VALUE"""),1.84)</f>
        <v>1.84</v>
      </c>
      <c r="F223" s="2">
        <f>IFERROR(__xludf.DUMMYFUNCTION("""COMPUTED_VALUE"""),661577.0)</f>
        <v>661577</v>
      </c>
    </row>
    <row r="224">
      <c r="A224" s="3">
        <f>IFERROR(__xludf.DUMMYFUNCTION("""COMPUTED_VALUE"""),40679.666666666664)</f>
        <v>40679.66667</v>
      </c>
      <c r="B224" s="2">
        <f>IFERROR(__xludf.DUMMYFUNCTION("""COMPUTED_VALUE"""),1.87)</f>
        <v>1.87</v>
      </c>
      <c r="C224" s="2">
        <f>IFERROR(__xludf.DUMMYFUNCTION("""COMPUTED_VALUE"""),1.87)</f>
        <v>1.87</v>
      </c>
      <c r="D224" s="2">
        <f>IFERROR(__xludf.DUMMYFUNCTION("""COMPUTED_VALUE"""),1.77)</f>
        <v>1.77</v>
      </c>
      <c r="E224" s="2">
        <f>IFERROR(__xludf.DUMMYFUNCTION("""COMPUTED_VALUE"""),1.77)</f>
        <v>1.77</v>
      </c>
      <c r="F224" s="2">
        <f>IFERROR(__xludf.DUMMYFUNCTION("""COMPUTED_VALUE"""),755622.0)</f>
        <v>755622</v>
      </c>
    </row>
    <row r="225">
      <c r="A225" s="3">
        <f>IFERROR(__xludf.DUMMYFUNCTION("""COMPUTED_VALUE"""),40680.666666666664)</f>
        <v>40680.66667</v>
      </c>
      <c r="B225" s="2">
        <f>IFERROR(__xludf.DUMMYFUNCTION("""COMPUTED_VALUE"""),1.8)</f>
        <v>1.8</v>
      </c>
      <c r="C225" s="2">
        <f>IFERROR(__xludf.DUMMYFUNCTION("""COMPUTED_VALUE"""),1.8)</f>
        <v>1.8</v>
      </c>
      <c r="D225" s="2">
        <f>IFERROR(__xludf.DUMMYFUNCTION("""COMPUTED_VALUE"""),1.71)</f>
        <v>1.71</v>
      </c>
      <c r="E225" s="2">
        <f>IFERROR(__xludf.DUMMYFUNCTION("""COMPUTED_VALUE"""),1.73)</f>
        <v>1.73</v>
      </c>
      <c r="F225" s="2">
        <f>IFERROR(__xludf.DUMMYFUNCTION("""COMPUTED_VALUE"""),1234156.0)</f>
        <v>1234156</v>
      </c>
    </row>
    <row r="226">
      <c r="A226" s="3">
        <f>IFERROR(__xludf.DUMMYFUNCTION("""COMPUTED_VALUE"""),40681.666666666664)</f>
        <v>40681.66667</v>
      </c>
      <c r="B226" s="2">
        <f>IFERROR(__xludf.DUMMYFUNCTION("""COMPUTED_VALUE"""),1.74)</f>
        <v>1.74</v>
      </c>
      <c r="C226" s="2">
        <f>IFERROR(__xludf.DUMMYFUNCTION("""COMPUTED_VALUE"""),1.76)</f>
        <v>1.76</v>
      </c>
      <c r="D226" s="2">
        <f>IFERROR(__xludf.DUMMYFUNCTION("""COMPUTED_VALUE"""),1.7)</f>
        <v>1.7</v>
      </c>
      <c r="E226" s="2">
        <f>IFERROR(__xludf.DUMMYFUNCTION("""COMPUTED_VALUE"""),1.76)</f>
        <v>1.76</v>
      </c>
      <c r="F226" s="2">
        <f>IFERROR(__xludf.DUMMYFUNCTION("""COMPUTED_VALUE"""),729407.0)</f>
        <v>729407</v>
      </c>
    </row>
    <row r="227">
      <c r="A227" s="3">
        <f>IFERROR(__xludf.DUMMYFUNCTION("""COMPUTED_VALUE"""),40682.666666666664)</f>
        <v>40682.66667</v>
      </c>
      <c r="B227" s="2">
        <f>IFERROR(__xludf.DUMMYFUNCTION("""COMPUTED_VALUE"""),1.8)</f>
        <v>1.8</v>
      </c>
      <c r="C227" s="2">
        <f>IFERROR(__xludf.DUMMYFUNCTION("""COMPUTED_VALUE"""),1.9)</f>
        <v>1.9</v>
      </c>
      <c r="D227" s="2">
        <f>IFERROR(__xludf.DUMMYFUNCTION("""COMPUTED_VALUE"""),1.77)</f>
        <v>1.77</v>
      </c>
      <c r="E227" s="2">
        <f>IFERROR(__xludf.DUMMYFUNCTION("""COMPUTED_VALUE"""),1.88)</f>
        <v>1.88</v>
      </c>
      <c r="F227" s="2">
        <f>IFERROR(__xludf.DUMMYFUNCTION("""COMPUTED_VALUE"""),2655367.0)</f>
        <v>2655367</v>
      </c>
    </row>
    <row r="228">
      <c r="A228" s="3">
        <f>IFERROR(__xludf.DUMMYFUNCTION("""COMPUTED_VALUE"""),40683.666666666664)</f>
        <v>40683.66667</v>
      </c>
      <c r="B228" s="2">
        <f>IFERROR(__xludf.DUMMYFUNCTION("""COMPUTED_VALUE"""),1.88)</f>
        <v>1.88</v>
      </c>
      <c r="C228" s="2">
        <f>IFERROR(__xludf.DUMMYFUNCTION("""COMPUTED_VALUE"""),1.89)</f>
        <v>1.89</v>
      </c>
      <c r="D228" s="2">
        <f>IFERROR(__xludf.DUMMYFUNCTION("""COMPUTED_VALUE"""),1.82)</f>
        <v>1.82</v>
      </c>
      <c r="E228" s="2">
        <f>IFERROR(__xludf.DUMMYFUNCTION("""COMPUTED_VALUE"""),1.86)</f>
        <v>1.86</v>
      </c>
      <c r="F228" s="2">
        <f>IFERROR(__xludf.DUMMYFUNCTION("""COMPUTED_VALUE"""),842534.0)</f>
        <v>842534</v>
      </c>
    </row>
    <row r="229">
      <c r="A229" s="3">
        <f>IFERROR(__xludf.DUMMYFUNCTION("""COMPUTED_VALUE"""),40686.666666666664)</f>
        <v>40686.66667</v>
      </c>
      <c r="B229" s="2">
        <f>IFERROR(__xludf.DUMMYFUNCTION("""COMPUTED_VALUE"""),1.84)</f>
        <v>1.84</v>
      </c>
      <c r="C229" s="2">
        <f>IFERROR(__xludf.DUMMYFUNCTION("""COMPUTED_VALUE"""),1.84)</f>
        <v>1.84</v>
      </c>
      <c r="D229" s="2">
        <f>IFERROR(__xludf.DUMMYFUNCTION("""COMPUTED_VALUE"""),1.77)</f>
        <v>1.77</v>
      </c>
      <c r="E229" s="2">
        <f>IFERROR(__xludf.DUMMYFUNCTION("""COMPUTED_VALUE"""),1.79)</f>
        <v>1.79</v>
      </c>
      <c r="F229" s="2">
        <f>IFERROR(__xludf.DUMMYFUNCTION("""COMPUTED_VALUE"""),863548.0)</f>
        <v>863548</v>
      </c>
    </row>
    <row r="230">
      <c r="A230" s="3">
        <f>IFERROR(__xludf.DUMMYFUNCTION("""COMPUTED_VALUE"""),40687.666666666664)</f>
        <v>40687.66667</v>
      </c>
      <c r="B230" s="2">
        <f>IFERROR(__xludf.DUMMYFUNCTION("""COMPUTED_VALUE"""),1.8)</f>
        <v>1.8</v>
      </c>
      <c r="C230" s="2">
        <f>IFERROR(__xludf.DUMMYFUNCTION("""COMPUTED_VALUE"""),1.83)</f>
        <v>1.83</v>
      </c>
      <c r="D230" s="2">
        <f>IFERROR(__xludf.DUMMYFUNCTION("""COMPUTED_VALUE"""),1.77)</f>
        <v>1.77</v>
      </c>
      <c r="E230" s="2">
        <f>IFERROR(__xludf.DUMMYFUNCTION("""COMPUTED_VALUE"""),1.78)</f>
        <v>1.78</v>
      </c>
      <c r="F230" s="2">
        <f>IFERROR(__xludf.DUMMYFUNCTION("""COMPUTED_VALUE"""),613673.0)</f>
        <v>613673</v>
      </c>
    </row>
    <row r="231">
      <c r="A231" s="3">
        <f>IFERROR(__xludf.DUMMYFUNCTION("""COMPUTED_VALUE"""),40688.666666666664)</f>
        <v>40688.66667</v>
      </c>
      <c r="B231" s="2">
        <f>IFERROR(__xludf.DUMMYFUNCTION("""COMPUTED_VALUE"""),1.79)</f>
        <v>1.79</v>
      </c>
      <c r="C231" s="2">
        <f>IFERROR(__xludf.DUMMYFUNCTION("""COMPUTED_VALUE"""),1.93)</f>
        <v>1.93</v>
      </c>
      <c r="D231" s="2">
        <f>IFERROR(__xludf.DUMMYFUNCTION("""COMPUTED_VALUE"""),1.74)</f>
        <v>1.74</v>
      </c>
      <c r="E231" s="2">
        <f>IFERROR(__xludf.DUMMYFUNCTION("""COMPUTED_VALUE"""),1.93)</f>
        <v>1.93</v>
      </c>
      <c r="F231" s="2">
        <f>IFERROR(__xludf.DUMMYFUNCTION("""COMPUTED_VALUE"""),4693811.0)</f>
        <v>4693811</v>
      </c>
    </row>
    <row r="232">
      <c r="A232" s="3">
        <f>IFERROR(__xludf.DUMMYFUNCTION("""COMPUTED_VALUE"""),40689.666666666664)</f>
        <v>40689.66667</v>
      </c>
      <c r="B232" s="2">
        <f>IFERROR(__xludf.DUMMYFUNCTION("""COMPUTED_VALUE"""),1.93)</f>
        <v>1.93</v>
      </c>
      <c r="C232" s="2">
        <f>IFERROR(__xludf.DUMMYFUNCTION("""COMPUTED_VALUE"""),1.98)</f>
        <v>1.98</v>
      </c>
      <c r="D232" s="2">
        <f>IFERROR(__xludf.DUMMYFUNCTION("""COMPUTED_VALUE"""),1.87)</f>
        <v>1.87</v>
      </c>
      <c r="E232" s="2">
        <f>IFERROR(__xludf.DUMMYFUNCTION("""COMPUTED_VALUE"""),1.97)</f>
        <v>1.97</v>
      </c>
      <c r="F232" s="2">
        <f>IFERROR(__xludf.DUMMYFUNCTION("""COMPUTED_VALUE"""),3336891.0)</f>
        <v>3336891</v>
      </c>
    </row>
    <row r="233">
      <c r="A233" s="3">
        <f>IFERROR(__xludf.DUMMYFUNCTION("""COMPUTED_VALUE"""),40690.666666666664)</f>
        <v>40690.66667</v>
      </c>
      <c r="B233" s="2">
        <f>IFERROR(__xludf.DUMMYFUNCTION("""COMPUTED_VALUE"""),1.96)</f>
        <v>1.96</v>
      </c>
      <c r="C233" s="2">
        <f>IFERROR(__xludf.DUMMYFUNCTION("""COMPUTED_VALUE"""),1.98)</f>
        <v>1.98</v>
      </c>
      <c r="D233" s="2">
        <f>IFERROR(__xludf.DUMMYFUNCTION("""COMPUTED_VALUE"""),1.92)</f>
        <v>1.92</v>
      </c>
      <c r="E233" s="2">
        <f>IFERROR(__xludf.DUMMYFUNCTION("""COMPUTED_VALUE"""),1.97)</f>
        <v>1.97</v>
      </c>
      <c r="F233" s="2">
        <f>IFERROR(__xludf.DUMMYFUNCTION("""COMPUTED_VALUE"""),1687069.0)</f>
        <v>1687069</v>
      </c>
    </row>
    <row r="234">
      <c r="A234" s="3">
        <f>IFERROR(__xludf.DUMMYFUNCTION("""COMPUTED_VALUE"""),40694.666666666664)</f>
        <v>40694.66667</v>
      </c>
      <c r="B234" s="2">
        <f>IFERROR(__xludf.DUMMYFUNCTION("""COMPUTED_VALUE"""),1.98)</f>
        <v>1.98</v>
      </c>
      <c r="C234" s="2">
        <f>IFERROR(__xludf.DUMMYFUNCTION("""COMPUTED_VALUE"""),2.02)</f>
        <v>2.02</v>
      </c>
      <c r="D234" s="2">
        <f>IFERROR(__xludf.DUMMYFUNCTION("""COMPUTED_VALUE"""),1.97)</f>
        <v>1.97</v>
      </c>
      <c r="E234" s="2">
        <f>IFERROR(__xludf.DUMMYFUNCTION("""COMPUTED_VALUE"""),2.01)</f>
        <v>2.01</v>
      </c>
      <c r="F234" s="2">
        <f>IFERROR(__xludf.DUMMYFUNCTION("""COMPUTED_VALUE"""),3290522.0)</f>
        <v>3290522</v>
      </c>
    </row>
    <row r="235">
      <c r="A235" s="3">
        <f>IFERROR(__xludf.DUMMYFUNCTION("""COMPUTED_VALUE"""),40695.666666666664)</f>
        <v>40695.66667</v>
      </c>
      <c r="B235" s="2">
        <f>IFERROR(__xludf.DUMMYFUNCTION("""COMPUTED_VALUE"""),2.0)</f>
        <v>2</v>
      </c>
      <c r="C235" s="2">
        <f>IFERROR(__xludf.DUMMYFUNCTION("""COMPUTED_VALUE"""),2.01)</f>
        <v>2.01</v>
      </c>
      <c r="D235" s="2">
        <f>IFERROR(__xludf.DUMMYFUNCTION("""COMPUTED_VALUE"""),1.89)</f>
        <v>1.89</v>
      </c>
      <c r="E235" s="2">
        <f>IFERROR(__xludf.DUMMYFUNCTION("""COMPUTED_VALUE"""),1.9)</f>
        <v>1.9</v>
      </c>
      <c r="F235" s="2">
        <f>IFERROR(__xludf.DUMMYFUNCTION("""COMPUTED_VALUE"""),1530396.0)</f>
        <v>1530396</v>
      </c>
    </row>
    <row r="236">
      <c r="A236" s="3">
        <f>IFERROR(__xludf.DUMMYFUNCTION("""COMPUTED_VALUE"""),40696.666666666664)</f>
        <v>40696.66667</v>
      </c>
      <c r="B236" s="2">
        <f>IFERROR(__xludf.DUMMYFUNCTION("""COMPUTED_VALUE"""),1.9)</f>
        <v>1.9</v>
      </c>
      <c r="C236" s="2">
        <f>IFERROR(__xludf.DUMMYFUNCTION("""COMPUTED_VALUE"""),1.95)</f>
        <v>1.95</v>
      </c>
      <c r="D236" s="2">
        <f>IFERROR(__xludf.DUMMYFUNCTION("""COMPUTED_VALUE"""),1.9)</f>
        <v>1.9</v>
      </c>
      <c r="E236" s="2">
        <f>IFERROR(__xludf.DUMMYFUNCTION("""COMPUTED_VALUE"""),1.92)</f>
        <v>1.92</v>
      </c>
      <c r="F236" s="2">
        <f>IFERROR(__xludf.DUMMYFUNCTION("""COMPUTED_VALUE"""),986294.0)</f>
        <v>986294</v>
      </c>
    </row>
    <row r="237">
      <c r="A237" s="3">
        <f>IFERROR(__xludf.DUMMYFUNCTION("""COMPUTED_VALUE"""),40697.666666666664)</f>
        <v>40697.66667</v>
      </c>
      <c r="B237" s="2">
        <f>IFERROR(__xludf.DUMMYFUNCTION("""COMPUTED_VALUE"""),2.0)</f>
        <v>2</v>
      </c>
      <c r="C237" s="2">
        <f>IFERROR(__xludf.DUMMYFUNCTION("""COMPUTED_VALUE"""),2.1)</f>
        <v>2.1</v>
      </c>
      <c r="D237" s="2">
        <f>IFERROR(__xludf.DUMMYFUNCTION("""COMPUTED_VALUE"""),1.97)</f>
        <v>1.97</v>
      </c>
      <c r="E237" s="2">
        <f>IFERROR(__xludf.DUMMYFUNCTION("""COMPUTED_VALUE"""),2.01)</f>
        <v>2.01</v>
      </c>
      <c r="F237" s="2">
        <f>IFERROR(__xludf.DUMMYFUNCTION("""COMPUTED_VALUE"""),6210209.0)</f>
        <v>6210209</v>
      </c>
    </row>
    <row r="238">
      <c r="A238" s="3">
        <f>IFERROR(__xludf.DUMMYFUNCTION("""COMPUTED_VALUE"""),40700.666666666664)</f>
        <v>40700.66667</v>
      </c>
      <c r="B238" s="2">
        <f>IFERROR(__xludf.DUMMYFUNCTION("""COMPUTED_VALUE"""),2.01)</f>
        <v>2.01</v>
      </c>
      <c r="C238" s="2">
        <f>IFERROR(__xludf.DUMMYFUNCTION("""COMPUTED_VALUE"""),2.01)</f>
        <v>2.01</v>
      </c>
      <c r="D238" s="2">
        <f>IFERROR(__xludf.DUMMYFUNCTION("""COMPUTED_VALUE"""),1.88)</f>
        <v>1.88</v>
      </c>
      <c r="E238" s="2">
        <f>IFERROR(__xludf.DUMMYFUNCTION("""COMPUTED_VALUE"""),1.91)</f>
        <v>1.91</v>
      </c>
      <c r="F238" s="2">
        <f>IFERROR(__xludf.DUMMYFUNCTION("""COMPUTED_VALUE"""),2331767.0)</f>
        <v>2331767</v>
      </c>
    </row>
    <row r="239">
      <c r="A239" s="3">
        <f>IFERROR(__xludf.DUMMYFUNCTION("""COMPUTED_VALUE"""),40701.666666666664)</f>
        <v>40701.66667</v>
      </c>
      <c r="B239" s="2">
        <f>IFERROR(__xludf.DUMMYFUNCTION("""COMPUTED_VALUE"""),1.93)</f>
        <v>1.93</v>
      </c>
      <c r="C239" s="2">
        <f>IFERROR(__xludf.DUMMYFUNCTION("""COMPUTED_VALUE"""),1.96)</f>
        <v>1.96</v>
      </c>
      <c r="D239" s="2">
        <f>IFERROR(__xludf.DUMMYFUNCTION("""COMPUTED_VALUE"""),1.88)</f>
        <v>1.88</v>
      </c>
      <c r="E239" s="2">
        <f>IFERROR(__xludf.DUMMYFUNCTION("""COMPUTED_VALUE"""),1.89)</f>
        <v>1.89</v>
      </c>
      <c r="F239" s="2">
        <f>IFERROR(__xludf.DUMMYFUNCTION("""COMPUTED_VALUE"""),1222099.0)</f>
        <v>1222099</v>
      </c>
    </row>
    <row r="240">
      <c r="A240" s="3">
        <f>IFERROR(__xludf.DUMMYFUNCTION("""COMPUTED_VALUE"""),40702.666666666664)</f>
        <v>40702.66667</v>
      </c>
      <c r="B240" s="2">
        <f>IFERROR(__xludf.DUMMYFUNCTION("""COMPUTED_VALUE"""),1.9)</f>
        <v>1.9</v>
      </c>
      <c r="C240" s="2">
        <f>IFERROR(__xludf.DUMMYFUNCTION("""COMPUTED_VALUE"""),1.91)</f>
        <v>1.91</v>
      </c>
      <c r="D240" s="2">
        <f>IFERROR(__xludf.DUMMYFUNCTION("""COMPUTED_VALUE"""),1.8)</f>
        <v>1.8</v>
      </c>
      <c r="E240" s="2">
        <f>IFERROR(__xludf.DUMMYFUNCTION("""COMPUTED_VALUE"""),1.81)</f>
        <v>1.81</v>
      </c>
      <c r="F240" s="2">
        <f>IFERROR(__xludf.DUMMYFUNCTION("""COMPUTED_VALUE"""),1696936.0)</f>
        <v>1696936</v>
      </c>
    </row>
    <row r="241">
      <c r="A241" s="3">
        <f>IFERROR(__xludf.DUMMYFUNCTION("""COMPUTED_VALUE"""),40703.666666666664)</f>
        <v>40703.66667</v>
      </c>
      <c r="B241" s="2">
        <f>IFERROR(__xludf.DUMMYFUNCTION("""COMPUTED_VALUE"""),1.83)</f>
        <v>1.83</v>
      </c>
      <c r="C241" s="2">
        <f>IFERROR(__xludf.DUMMYFUNCTION("""COMPUTED_VALUE"""),1.87)</f>
        <v>1.87</v>
      </c>
      <c r="D241" s="2">
        <f>IFERROR(__xludf.DUMMYFUNCTION("""COMPUTED_VALUE"""),1.81)</f>
        <v>1.81</v>
      </c>
      <c r="E241" s="2">
        <f>IFERROR(__xludf.DUMMYFUNCTION("""COMPUTED_VALUE"""),1.84)</f>
        <v>1.84</v>
      </c>
      <c r="F241" s="2">
        <f>IFERROR(__xludf.DUMMYFUNCTION("""COMPUTED_VALUE"""),1604220.0)</f>
        <v>1604220</v>
      </c>
    </row>
    <row r="242">
      <c r="A242" s="3">
        <f>IFERROR(__xludf.DUMMYFUNCTION("""COMPUTED_VALUE"""),40704.666666666664)</f>
        <v>40704.66667</v>
      </c>
      <c r="B242" s="2">
        <f>IFERROR(__xludf.DUMMYFUNCTION("""COMPUTED_VALUE"""),1.83)</f>
        <v>1.83</v>
      </c>
      <c r="C242" s="2">
        <f>IFERROR(__xludf.DUMMYFUNCTION("""COMPUTED_VALUE"""),1.89)</f>
        <v>1.89</v>
      </c>
      <c r="D242" s="2">
        <f>IFERROR(__xludf.DUMMYFUNCTION("""COMPUTED_VALUE"""),1.82)</f>
        <v>1.82</v>
      </c>
      <c r="E242" s="2">
        <f>IFERROR(__xludf.DUMMYFUNCTION("""COMPUTED_VALUE"""),1.86)</f>
        <v>1.86</v>
      </c>
      <c r="F242" s="2">
        <f>IFERROR(__xludf.DUMMYFUNCTION("""COMPUTED_VALUE"""),1566532.0)</f>
        <v>1566532</v>
      </c>
    </row>
    <row r="243">
      <c r="A243" s="3">
        <f>IFERROR(__xludf.DUMMYFUNCTION("""COMPUTED_VALUE"""),40707.666666666664)</f>
        <v>40707.66667</v>
      </c>
      <c r="B243" s="2">
        <f>IFERROR(__xludf.DUMMYFUNCTION("""COMPUTED_VALUE"""),1.87)</f>
        <v>1.87</v>
      </c>
      <c r="C243" s="2">
        <f>IFERROR(__xludf.DUMMYFUNCTION("""COMPUTED_VALUE"""),1.93)</f>
        <v>1.93</v>
      </c>
      <c r="D243" s="2">
        <f>IFERROR(__xludf.DUMMYFUNCTION("""COMPUTED_VALUE"""),1.86)</f>
        <v>1.86</v>
      </c>
      <c r="E243" s="2">
        <f>IFERROR(__xludf.DUMMYFUNCTION("""COMPUTED_VALUE"""),1.9)</f>
        <v>1.9</v>
      </c>
      <c r="F243" s="2">
        <f>IFERROR(__xludf.DUMMYFUNCTION("""COMPUTED_VALUE"""),1713761.0)</f>
        <v>1713761</v>
      </c>
    </row>
    <row r="244">
      <c r="A244" s="3">
        <f>IFERROR(__xludf.DUMMYFUNCTION("""COMPUTED_VALUE"""),40708.666666666664)</f>
        <v>40708.66667</v>
      </c>
      <c r="B244" s="2">
        <f>IFERROR(__xludf.DUMMYFUNCTION("""COMPUTED_VALUE"""),1.9)</f>
        <v>1.9</v>
      </c>
      <c r="C244" s="2">
        <f>IFERROR(__xludf.DUMMYFUNCTION("""COMPUTED_VALUE"""),1.98)</f>
        <v>1.98</v>
      </c>
      <c r="D244" s="2">
        <f>IFERROR(__xludf.DUMMYFUNCTION("""COMPUTED_VALUE"""),1.9)</f>
        <v>1.9</v>
      </c>
      <c r="E244" s="2">
        <f>IFERROR(__xludf.DUMMYFUNCTION("""COMPUTED_VALUE"""),1.91)</f>
        <v>1.91</v>
      </c>
      <c r="F244" s="2">
        <f>IFERROR(__xludf.DUMMYFUNCTION("""COMPUTED_VALUE"""),1573310.0)</f>
        <v>1573310</v>
      </c>
    </row>
    <row r="245">
      <c r="A245" s="3">
        <f>IFERROR(__xludf.DUMMYFUNCTION("""COMPUTED_VALUE"""),40709.666666666664)</f>
        <v>40709.66667</v>
      </c>
      <c r="B245" s="2">
        <f>IFERROR(__xludf.DUMMYFUNCTION("""COMPUTED_VALUE"""),1.9)</f>
        <v>1.9</v>
      </c>
      <c r="C245" s="2">
        <f>IFERROR(__xludf.DUMMYFUNCTION("""COMPUTED_VALUE"""),1.9)</f>
        <v>1.9</v>
      </c>
      <c r="D245" s="2">
        <f>IFERROR(__xludf.DUMMYFUNCTION("""COMPUTED_VALUE"""),1.8)</f>
        <v>1.8</v>
      </c>
      <c r="E245" s="2">
        <f>IFERROR(__xludf.DUMMYFUNCTION("""COMPUTED_VALUE"""),1.82)</f>
        <v>1.82</v>
      </c>
      <c r="F245" s="2">
        <f>IFERROR(__xludf.DUMMYFUNCTION("""COMPUTED_VALUE"""),1346579.0)</f>
        <v>1346579</v>
      </c>
    </row>
    <row r="246">
      <c r="A246" s="3">
        <f>IFERROR(__xludf.DUMMYFUNCTION("""COMPUTED_VALUE"""),40710.666666666664)</f>
        <v>40710.66667</v>
      </c>
      <c r="B246" s="2">
        <f>IFERROR(__xludf.DUMMYFUNCTION("""COMPUTED_VALUE"""),1.84)</f>
        <v>1.84</v>
      </c>
      <c r="C246" s="2">
        <f>IFERROR(__xludf.DUMMYFUNCTION("""COMPUTED_VALUE"""),1.87)</f>
        <v>1.87</v>
      </c>
      <c r="D246" s="2">
        <f>IFERROR(__xludf.DUMMYFUNCTION("""COMPUTED_VALUE"""),1.72)</f>
        <v>1.72</v>
      </c>
      <c r="E246" s="2">
        <f>IFERROR(__xludf.DUMMYFUNCTION("""COMPUTED_VALUE"""),1.77)</f>
        <v>1.77</v>
      </c>
      <c r="F246" s="2">
        <f>IFERROR(__xludf.DUMMYFUNCTION("""COMPUTED_VALUE"""),1842124.0)</f>
        <v>1842124</v>
      </c>
    </row>
    <row r="247">
      <c r="A247" s="3">
        <f>IFERROR(__xludf.DUMMYFUNCTION("""COMPUTED_VALUE"""),40711.666666666664)</f>
        <v>40711.66667</v>
      </c>
      <c r="B247" s="2">
        <f>IFERROR(__xludf.DUMMYFUNCTION("""COMPUTED_VALUE"""),1.79)</f>
        <v>1.79</v>
      </c>
      <c r="C247" s="2">
        <f>IFERROR(__xludf.DUMMYFUNCTION("""COMPUTED_VALUE"""),1.85)</f>
        <v>1.85</v>
      </c>
      <c r="D247" s="2">
        <f>IFERROR(__xludf.DUMMYFUNCTION("""COMPUTED_VALUE"""),1.74)</f>
        <v>1.74</v>
      </c>
      <c r="E247" s="2">
        <f>IFERROR(__xludf.DUMMYFUNCTION("""COMPUTED_VALUE"""),1.77)</f>
        <v>1.77</v>
      </c>
      <c r="F247" s="2">
        <f>IFERROR(__xludf.DUMMYFUNCTION("""COMPUTED_VALUE"""),1713965.0)</f>
        <v>1713965</v>
      </c>
    </row>
    <row r="248">
      <c r="A248" s="3">
        <f>IFERROR(__xludf.DUMMYFUNCTION("""COMPUTED_VALUE"""),40714.666666666664)</f>
        <v>40714.66667</v>
      </c>
      <c r="B248" s="2">
        <f>IFERROR(__xludf.DUMMYFUNCTION("""COMPUTED_VALUE"""),1.75)</f>
        <v>1.75</v>
      </c>
      <c r="C248" s="2">
        <f>IFERROR(__xludf.DUMMYFUNCTION("""COMPUTED_VALUE"""),1.76)</f>
        <v>1.76</v>
      </c>
      <c r="D248" s="2">
        <f>IFERROR(__xludf.DUMMYFUNCTION("""COMPUTED_VALUE"""),1.7)</f>
        <v>1.7</v>
      </c>
      <c r="E248" s="2">
        <f>IFERROR(__xludf.DUMMYFUNCTION("""COMPUTED_VALUE"""),1.73)</f>
        <v>1.73</v>
      </c>
      <c r="F248" s="2">
        <f>IFERROR(__xludf.DUMMYFUNCTION("""COMPUTED_VALUE"""),1537709.0)</f>
        <v>1537709</v>
      </c>
    </row>
    <row r="249">
      <c r="A249" s="3">
        <f>IFERROR(__xludf.DUMMYFUNCTION("""COMPUTED_VALUE"""),40715.666666666664)</f>
        <v>40715.66667</v>
      </c>
      <c r="B249" s="2">
        <f>IFERROR(__xludf.DUMMYFUNCTION("""COMPUTED_VALUE"""),1.75)</f>
        <v>1.75</v>
      </c>
      <c r="C249" s="2">
        <f>IFERROR(__xludf.DUMMYFUNCTION("""COMPUTED_VALUE"""),1.85)</f>
        <v>1.85</v>
      </c>
      <c r="D249" s="2">
        <f>IFERROR(__xludf.DUMMYFUNCTION("""COMPUTED_VALUE"""),1.73)</f>
        <v>1.73</v>
      </c>
      <c r="E249" s="2">
        <f>IFERROR(__xludf.DUMMYFUNCTION("""COMPUTED_VALUE"""),1.84)</f>
        <v>1.84</v>
      </c>
      <c r="F249" s="2">
        <f>IFERROR(__xludf.DUMMYFUNCTION("""COMPUTED_VALUE"""),1496563.0)</f>
        <v>1496563</v>
      </c>
    </row>
    <row r="250">
      <c r="A250" s="3">
        <f>IFERROR(__xludf.DUMMYFUNCTION("""COMPUTED_VALUE"""),40716.666666666664)</f>
        <v>40716.66667</v>
      </c>
      <c r="B250" s="2">
        <f>IFERROR(__xludf.DUMMYFUNCTION("""COMPUTED_VALUE"""),1.84)</f>
        <v>1.84</v>
      </c>
      <c r="C250" s="2">
        <f>IFERROR(__xludf.DUMMYFUNCTION("""COMPUTED_VALUE"""),1.88)</f>
        <v>1.88</v>
      </c>
      <c r="D250" s="2">
        <f>IFERROR(__xludf.DUMMYFUNCTION("""COMPUTED_VALUE"""),1.81)</f>
        <v>1.81</v>
      </c>
      <c r="E250" s="2">
        <f>IFERROR(__xludf.DUMMYFUNCTION("""COMPUTED_VALUE"""),1.81)</f>
        <v>1.81</v>
      </c>
      <c r="F250" s="2">
        <f>IFERROR(__xludf.DUMMYFUNCTION("""COMPUTED_VALUE"""),1475533.0)</f>
        <v>1475533</v>
      </c>
    </row>
    <row r="251">
      <c r="A251" s="3">
        <f>IFERROR(__xludf.DUMMYFUNCTION("""COMPUTED_VALUE"""),40717.666666666664)</f>
        <v>40717.66667</v>
      </c>
      <c r="B251" s="2">
        <f>IFERROR(__xludf.DUMMYFUNCTION("""COMPUTED_VALUE"""),1.81)</f>
        <v>1.81</v>
      </c>
      <c r="C251" s="2">
        <f>IFERROR(__xludf.DUMMYFUNCTION("""COMPUTED_VALUE"""),1.85)</f>
        <v>1.85</v>
      </c>
      <c r="D251" s="2">
        <f>IFERROR(__xludf.DUMMYFUNCTION("""COMPUTED_VALUE"""),1.75)</f>
        <v>1.75</v>
      </c>
      <c r="E251" s="2">
        <f>IFERROR(__xludf.DUMMYFUNCTION("""COMPUTED_VALUE"""),1.85)</f>
        <v>1.85</v>
      </c>
      <c r="F251" s="2">
        <f>IFERROR(__xludf.DUMMYFUNCTION("""COMPUTED_VALUE"""),1169990.0)</f>
        <v>1169990</v>
      </c>
    </row>
    <row r="252">
      <c r="A252" s="3">
        <f>IFERROR(__xludf.DUMMYFUNCTION("""COMPUTED_VALUE"""),40718.666666666664)</f>
        <v>40718.66667</v>
      </c>
      <c r="B252" s="2">
        <f>IFERROR(__xludf.DUMMYFUNCTION("""COMPUTED_VALUE"""),1.84)</f>
        <v>1.84</v>
      </c>
      <c r="C252" s="2">
        <f>IFERROR(__xludf.DUMMYFUNCTION("""COMPUTED_VALUE"""),1.86)</f>
        <v>1.86</v>
      </c>
      <c r="D252" s="2">
        <f>IFERROR(__xludf.DUMMYFUNCTION("""COMPUTED_VALUE"""),1.82)</f>
        <v>1.82</v>
      </c>
      <c r="E252" s="2">
        <f>IFERROR(__xludf.DUMMYFUNCTION("""COMPUTED_VALUE"""),1.84)</f>
        <v>1.84</v>
      </c>
      <c r="F252" s="2">
        <f>IFERROR(__xludf.DUMMYFUNCTION("""COMPUTED_VALUE"""),3608858.0)</f>
        <v>3608858</v>
      </c>
    </row>
    <row r="253">
      <c r="A253" s="3">
        <f>IFERROR(__xludf.DUMMYFUNCTION("""COMPUTED_VALUE"""),40721.666666666664)</f>
        <v>40721.66667</v>
      </c>
      <c r="B253" s="2">
        <f>IFERROR(__xludf.DUMMYFUNCTION("""COMPUTED_VALUE"""),1.85)</f>
        <v>1.85</v>
      </c>
      <c r="C253" s="2">
        <f>IFERROR(__xludf.DUMMYFUNCTION("""COMPUTED_VALUE"""),1.89)</f>
        <v>1.89</v>
      </c>
      <c r="D253" s="2">
        <f>IFERROR(__xludf.DUMMYFUNCTION("""COMPUTED_VALUE"""),1.82)</f>
        <v>1.82</v>
      </c>
      <c r="E253" s="2">
        <f>IFERROR(__xludf.DUMMYFUNCTION("""COMPUTED_VALUE"""),1.83)</f>
        <v>1.83</v>
      </c>
      <c r="F253" s="2">
        <f>IFERROR(__xludf.DUMMYFUNCTION("""COMPUTED_VALUE"""),1809367.0)</f>
        <v>1809367</v>
      </c>
    </row>
    <row r="254">
      <c r="A254" s="3">
        <f>IFERROR(__xludf.DUMMYFUNCTION("""COMPUTED_VALUE"""),40722.666666666664)</f>
        <v>40722.66667</v>
      </c>
      <c r="B254" s="2">
        <f>IFERROR(__xludf.DUMMYFUNCTION("""COMPUTED_VALUE"""),1.85)</f>
        <v>1.85</v>
      </c>
      <c r="C254" s="2">
        <f>IFERROR(__xludf.DUMMYFUNCTION("""COMPUTED_VALUE"""),1.88)</f>
        <v>1.88</v>
      </c>
      <c r="D254" s="2">
        <f>IFERROR(__xludf.DUMMYFUNCTION("""COMPUTED_VALUE"""),1.84)</f>
        <v>1.84</v>
      </c>
      <c r="E254" s="2">
        <f>IFERROR(__xludf.DUMMYFUNCTION("""COMPUTED_VALUE"""),1.87)</f>
        <v>1.87</v>
      </c>
      <c r="F254" s="2">
        <f>IFERROR(__xludf.DUMMYFUNCTION("""COMPUTED_VALUE"""),889132.0)</f>
        <v>889132</v>
      </c>
    </row>
    <row r="255">
      <c r="A255" s="3">
        <f>IFERROR(__xludf.DUMMYFUNCTION("""COMPUTED_VALUE"""),40723.666666666664)</f>
        <v>40723.66667</v>
      </c>
      <c r="B255" s="2">
        <f>IFERROR(__xludf.DUMMYFUNCTION("""COMPUTED_VALUE"""),1.9)</f>
        <v>1.9</v>
      </c>
      <c r="C255" s="2">
        <f>IFERROR(__xludf.DUMMYFUNCTION("""COMPUTED_VALUE"""),1.94)</f>
        <v>1.94</v>
      </c>
      <c r="D255" s="2">
        <f>IFERROR(__xludf.DUMMYFUNCTION("""COMPUTED_VALUE"""),1.87)</f>
        <v>1.87</v>
      </c>
      <c r="E255" s="2">
        <f>IFERROR(__xludf.DUMMYFUNCTION("""COMPUTED_VALUE"""),1.89)</f>
        <v>1.89</v>
      </c>
      <c r="F255" s="2">
        <f>IFERROR(__xludf.DUMMYFUNCTION("""COMPUTED_VALUE"""),1461708.0)</f>
        <v>1461708</v>
      </c>
    </row>
    <row r="256">
      <c r="A256" s="3">
        <f>IFERROR(__xludf.DUMMYFUNCTION("""COMPUTED_VALUE"""),40724.666666666664)</f>
        <v>40724.66667</v>
      </c>
      <c r="B256" s="2">
        <f>IFERROR(__xludf.DUMMYFUNCTION("""COMPUTED_VALUE"""),1.9)</f>
        <v>1.9</v>
      </c>
      <c r="C256" s="2">
        <f>IFERROR(__xludf.DUMMYFUNCTION("""COMPUTED_VALUE"""),1.96)</f>
        <v>1.96</v>
      </c>
      <c r="D256" s="2">
        <f>IFERROR(__xludf.DUMMYFUNCTION("""COMPUTED_VALUE"""),1.89)</f>
        <v>1.89</v>
      </c>
      <c r="E256" s="2">
        <f>IFERROR(__xludf.DUMMYFUNCTION("""COMPUTED_VALUE"""),1.94)</f>
        <v>1.94</v>
      </c>
      <c r="F256" s="2">
        <f>IFERROR(__xludf.DUMMYFUNCTION("""COMPUTED_VALUE"""),946654.0)</f>
        <v>946654</v>
      </c>
    </row>
    <row r="257">
      <c r="A257" s="3">
        <f>IFERROR(__xludf.DUMMYFUNCTION("""COMPUTED_VALUE"""),40725.666666666664)</f>
        <v>40725.66667</v>
      </c>
      <c r="B257" s="2">
        <f>IFERROR(__xludf.DUMMYFUNCTION("""COMPUTED_VALUE"""),1.94)</f>
        <v>1.94</v>
      </c>
      <c r="C257" s="2">
        <f>IFERROR(__xludf.DUMMYFUNCTION("""COMPUTED_VALUE"""),1.97)</f>
        <v>1.97</v>
      </c>
      <c r="D257" s="2">
        <f>IFERROR(__xludf.DUMMYFUNCTION("""COMPUTED_VALUE"""),1.92)</f>
        <v>1.92</v>
      </c>
      <c r="E257" s="2">
        <f>IFERROR(__xludf.DUMMYFUNCTION("""COMPUTED_VALUE"""),1.93)</f>
        <v>1.93</v>
      </c>
      <c r="F257" s="2">
        <f>IFERROR(__xludf.DUMMYFUNCTION("""COMPUTED_VALUE"""),854839.0)</f>
        <v>854839</v>
      </c>
    </row>
    <row r="258">
      <c r="A258" s="3">
        <f>IFERROR(__xludf.DUMMYFUNCTION("""COMPUTED_VALUE"""),40729.666666666664)</f>
        <v>40729.66667</v>
      </c>
      <c r="B258" s="2">
        <f>IFERROR(__xludf.DUMMYFUNCTION("""COMPUTED_VALUE"""),1.93)</f>
        <v>1.93</v>
      </c>
      <c r="C258" s="2">
        <f>IFERROR(__xludf.DUMMYFUNCTION("""COMPUTED_VALUE"""),1.97)</f>
        <v>1.97</v>
      </c>
      <c r="D258" s="2">
        <f>IFERROR(__xludf.DUMMYFUNCTION("""COMPUTED_VALUE"""),1.91)</f>
        <v>1.91</v>
      </c>
      <c r="E258" s="2">
        <f>IFERROR(__xludf.DUMMYFUNCTION("""COMPUTED_VALUE"""),1.94)</f>
        <v>1.94</v>
      </c>
      <c r="F258" s="2">
        <f>IFERROR(__xludf.DUMMYFUNCTION("""COMPUTED_VALUE"""),995989.0)</f>
        <v>995989</v>
      </c>
    </row>
    <row r="259">
      <c r="A259" s="3">
        <f>IFERROR(__xludf.DUMMYFUNCTION("""COMPUTED_VALUE"""),40730.666666666664)</f>
        <v>40730.66667</v>
      </c>
      <c r="B259" s="2">
        <f>IFERROR(__xludf.DUMMYFUNCTION("""COMPUTED_VALUE"""),1.94)</f>
        <v>1.94</v>
      </c>
      <c r="C259" s="2">
        <f>IFERROR(__xludf.DUMMYFUNCTION("""COMPUTED_VALUE"""),1.94)</f>
        <v>1.94</v>
      </c>
      <c r="D259" s="2">
        <f>IFERROR(__xludf.DUMMYFUNCTION("""COMPUTED_VALUE"""),1.9)</f>
        <v>1.9</v>
      </c>
      <c r="E259" s="2">
        <f>IFERROR(__xludf.DUMMYFUNCTION("""COMPUTED_VALUE"""),1.93)</f>
        <v>1.93</v>
      </c>
      <c r="F259" s="2">
        <f>IFERROR(__xludf.DUMMYFUNCTION("""COMPUTED_VALUE"""),926889.0)</f>
        <v>926889</v>
      </c>
    </row>
    <row r="260">
      <c r="A260" s="3">
        <f>IFERROR(__xludf.DUMMYFUNCTION("""COMPUTED_VALUE"""),40731.666666666664)</f>
        <v>40731.66667</v>
      </c>
      <c r="B260" s="2">
        <f>IFERROR(__xludf.DUMMYFUNCTION("""COMPUTED_VALUE"""),1.94)</f>
        <v>1.94</v>
      </c>
      <c r="C260" s="2">
        <f>IFERROR(__xludf.DUMMYFUNCTION("""COMPUTED_VALUE"""),2.0)</f>
        <v>2</v>
      </c>
      <c r="D260" s="2">
        <f>IFERROR(__xludf.DUMMYFUNCTION("""COMPUTED_VALUE"""),1.93)</f>
        <v>1.93</v>
      </c>
      <c r="E260" s="2">
        <f>IFERROR(__xludf.DUMMYFUNCTION("""COMPUTED_VALUE"""),1.98)</f>
        <v>1.98</v>
      </c>
      <c r="F260" s="2">
        <f>IFERROR(__xludf.DUMMYFUNCTION("""COMPUTED_VALUE"""),1327821.0)</f>
        <v>1327821</v>
      </c>
    </row>
    <row r="261">
      <c r="A261" s="3">
        <f>IFERROR(__xludf.DUMMYFUNCTION("""COMPUTED_VALUE"""),40732.666666666664)</f>
        <v>40732.66667</v>
      </c>
      <c r="B261" s="2">
        <f>IFERROR(__xludf.DUMMYFUNCTION("""COMPUTED_VALUE"""),1.99)</f>
        <v>1.99</v>
      </c>
      <c r="C261" s="2">
        <f>IFERROR(__xludf.DUMMYFUNCTION("""COMPUTED_VALUE"""),1.99)</f>
        <v>1.99</v>
      </c>
      <c r="D261" s="2">
        <f>IFERROR(__xludf.DUMMYFUNCTION("""COMPUTED_VALUE"""),1.91)</f>
        <v>1.91</v>
      </c>
      <c r="E261" s="2">
        <f>IFERROR(__xludf.DUMMYFUNCTION("""COMPUTED_VALUE"""),1.92)</f>
        <v>1.92</v>
      </c>
      <c r="F261" s="2">
        <f>IFERROR(__xludf.DUMMYFUNCTION("""COMPUTED_VALUE"""),1240580.0)</f>
        <v>1240580</v>
      </c>
    </row>
    <row r="262">
      <c r="A262" s="3">
        <f>IFERROR(__xludf.DUMMYFUNCTION("""COMPUTED_VALUE"""),40735.666666666664)</f>
        <v>40735.66667</v>
      </c>
      <c r="B262" s="2">
        <f>IFERROR(__xludf.DUMMYFUNCTION("""COMPUTED_VALUE"""),1.89)</f>
        <v>1.89</v>
      </c>
      <c r="C262" s="2">
        <f>IFERROR(__xludf.DUMMYFUNCTION("""COMPUTED_VALUE"""),1.9)</f>
        <v>1.9</v>
      </c>
      <c r="D262" s="2">
        <f>IFERROR(__xludf.DUMMYFUNCTION("""COMPUTED_VALUE"""),1.87)</f>
        <v>1.87</v>
      </c>
      <c r="E262" s="2">
        <f>IFERROR(__xludf.DUMMYFUNCTION("""COMPUTED_VALUE"""),1.89)</f>
        <v>1.89</v>
      </c>
      <c r="F262" s="2">
        <f>IFERROR(__xludf.DUMMYFUNCTION("""COMPUTED_VALUE"""),975703.0)</f>
        <v>975703</v>
      </c>
    </row>
    <row r="263">
      <c r="A263" s="3">
        <f>IFERROR(__xludf.DUMMYFUNCTION("""COMPUTED_VALUE"""),40736.666666666664)</f>
        <v>40736.66667</v>
      </c>
      <c r="B263" s="2">
        <f>IFERROR(__xludf.DUMMYFUNCTION("""COMPUTED_VALUE"""),1.89)</f>
        <v>1.89</v>
      </c>
      <c r="C263" s="2">
        <f>IFERROR(__xludf.DUMMYFUNCTION("""COMPUTED_VALUE"""),1.94)</f>
        <v>1.94</v>
      </c>
      <c r="D263" s="2">
        <f>IFERROR(__xludf.DUMMYFUNCTION("""COMPUTED_VALUE"""),1.87)</f>
        <v>1.87</v>
      </c>
      <c r="E263" s="2">
        <f>IFERROR(__xludf.DUMMYFUNCTION("""COMPUTED_VALUE"""),1.88)</f>
        <v>1.88</v>
      </c>
      <c r="F263" s="2">
        <f>IFERROR(__xludf.DUMMYFUNCTION("""COMPUTED_VALUE"""),1045406.0)</f>
        <v>1045406</v>
      </c>
    </row>
    <row r="264">
      <c r="A264" s="3">
        <f>IFERROR(__xludf.DUMMYFUNCTION("""COMPUTED_VALUE"""),40737.666666666664)</f>
        <v>40737.66667</v>
      </c>
      <c r="B264" s="2">
        <f>IFERROR(__xludf.DUMMYFUNCTION("""COMPUTED_VALUE"""),1.9)</f>
        <v>1.9</v>
      </c>
      <c r="C264" s="2">
        <f>IFERROR(__xludf.DUMMYFUNCTION("""COMPUTED_VALUE"""),1.94)</f>
        <v>1.94</v>
      </c>
      <c r="D264" s="2">
        <f>IFERROR(__xludf.DUMMYFUNCTION("""COMPUTED_VALUE"""),1.86)</f>
        <v>1.86</v>
      </c>
      <c r="E264" s="2">
        <f>IFERROR(__xludf.DUMMYFUNCTION("""COMPUTED_VALUE"""),1.91)</f>
        <v>1.91</v>
      </c>
      <c r="F264" s="2">
        <f>IFERROR(__xludf.DUMMYFUNCTION("""COMPUTED_VALUE"""),1065942.0)</f>
        <v>1065942</v>
      </c>
    </row>
    <row r="265">
      <c r="A265" s="3">
        <f>IFERROR(__xludf.DUMMYFUNCTION("""COMPUTED_VALUE"""),40738.666666666664)</f>
        <v>40738.66667</v>
      </c>
      <c r="B265" s="2">
        <f>IFERROR(__xludf.DUMMYFUNCTION("""COMPUTED_VALUE"""),1.9)</f>
        <v>1.9</v>
      </c>
      <c r="C265" s="2">
        <f>IFERROR(__xludf.DUMMYFUNCTION("""COMPUTED_VALUE"""),1.93)</f>
        <v>1.93</v>
      </c>
      <c r="D265" s="2">
        <f>IFERROR(__xludf.DUMMYFUNCTION("""COMPUTED_VALUE"""),1.82)</f>
        <v>1.82</v>
      </c>
      <c r="E265" s="2">
        <f>IFERROR(__xludf.DUMMYFUNCTION("""COMPUTED_VALUE"""),1.84)</f>
        <v>1.84</v>
      </c>
      <c r="F265" s="2">
        <f>IFERROR(__xludf.DUMMYFUNCTION("""COMPUTED_VALUE"""),1159131.0)</f>
        <v>1159131</v>
      </c>
    </row>
    <row r="266">
      <c r="A266" s="3">
        <f>IFERROR(__xludf.DUMMYFUNCTION("""COMPUTED_VALUE"""),40739.666666666664)</f>
        <v>40739.66667</v>
      </c>
      <c r="B266" s="2">
        <f>IFERROR(__xludf.DUMMYFUNCTION("""COMPUTED_VALUE"""),1.85)</f>
        <v>1.85</v>
      </c>
      <c r="C266" s="2">
        <f>IFERROR(__xludf.DUMMYFUNCTION("""COMPUTED_VALUE"""),1.86)</f>
        <v>1.86</v>
      </c>
      <c r="D266" s="2">
        <f>IFERROR(__xludf.DUMMYFUNCTION("""COMPUTED_VALUE"""),1.83)</f>
        <v>1.83</v>
      </c>
      <c r="E266" s="2">
        <f>IFERROR(__xludf.DUMMYFUNCTION("""COMPUTED_VALUE"""),1.84)</f>
        <v>1.84</v>
      </c>
      <c r="F266" s="2">
        <f>IFERROR(__xludf.DUMMYFUNCTION("""COMPUTED_VALUE"""),708954.0)</f>
        <v>708954</v>
      </c>
    </row>
    <row r="267">
      <c r="A267" s="3">
        <f>IFERROR(__xludf.DUMMYFUNCTION("""COMPUTED_VALUE"""),40742.666666666664)</f>
        <v>40742.66667</v>
      </c>
      <c r="B267" s="2">
        <f>IFERROR(__xludf.DUMMYFUNCTION("""COMPUTED_VALUE"""),1.82)</f>
        <v>1.82</v>
      </c>
      <c r="C267" s="2">
        <f>IFERROR(__xludf.DUMMYFUNCTION("""COMPUTED_VALUE"""),1.83)</f>
        <v>1.83</v>
      </c>
      <c r="D267" s="2">
        <f>IFERROR(__xludf.DUMMYFUNCTION("""COMPUTED_VALUE"""),1.78)</f>
        <v>1.78</v>
      </c>
      <c r="E267" s="2">
        <f>IFERROR(__xludf.DUMMYFUNCTION("""COMPUTED_VALUE"""),1.82)</f>
        <v>1.82</v>
      </c>
      <c r="F267" s="2">
        <f>IFERROR(__xludf.DUMMYFUNCTION("""COMPUTED_VALUE"""),852317.0)</f>
        <v>852317</v>
      </c>
    </row>
    <row r="268">
      <c r="A268" s="3">
        <f>IFERROR(__xludf.DUMMYFUNCTION("""COMPUTED_VALUE"""),40743.666666666664)</f>
        <v>40743.66667</v>
      </c>
      <c r="B268" s="2">
        <f>IFERROR(__xludf.DUMMYFUNCTION("""COMPUTED_VALUE"""),1.84)</f>
        <v>1.84</v>
      </c>
      <c r="C268" s="2">
        <f>IFERROR(__xludf.DUMMYFUNCTION("""COMPUTED_VALUE"""),1.87)</f>
        <v>1.87</v>
      </c>
      <c r="D268" s="2">
        <f>IFERROR(__xludf.DUMMYFUNCTION("""COMPUTED_VALUE"""),1.84)</f>
        <v>1.84</v>
      </c>
      <c r="E268" s="2">
        <f>IFERROR(__xludf.DUMMYFUNCTION("""COMPUTED_VALUE"""),1.86)</f>
        <v>1.86</v>
      </c>
      <c r="F268" s="2">
        <f>IFERROR(__xludf.DUMMYFUNCTION("""COMPUTED_VALUE"""),1026048.0)</f>
        <v>1026048</v>
      </c>
    </row>
    <row r="269">
      <c r="A269" s="3">
        <f>IFERROR(__xludf.DUMMYFUNCTION("""COMPUTED_VALUE"""),40744.666666666664)</f>
        <v>40744.66667</v>
      </c>
      <c r="B269" s="2">
        <f>IFERROR(__xludf.DUMMYFUNCTION("""COMPUTED_VALUE"""),1.87)</f>
        <v>1.87</v>
      </c>
      <c r="C269" s="2">
        <f>IFERROR(__xludf.DUMMYFUNCTION("""COMPUTED_VALUE"""),2.03)</f>
        <v>2.03</v>
      </c>
      <c r="D269" s="2">
        <f>IFERROR(__xludf.DUMMYFUNCTION("""COMPUTED_VALUE"""),1.85)</f>
        <v>1.85</v>
      </c>
      <c r="E269" s="2">
        <f>IFERROR(__xludf.DUMMYFUNCTION("""COMPUTED_VALUE"""),1.91)</f>
        <v>1.91</v>
      </c>
      <c r="F269" s="2">
        <f>IFERROR(__xludf.DUMMYFUNCTION("""COMPUTED_VALUE"""),3048394.0)</f>
        <v>3048394</v>
      </c>
    </row>
    <row r="270">
      <c r="A270" s="3">
        <f>IFERROR(__xludf.DUMMYFUNCTION("""COMPUTED_VALUE"""),40745.666666666664)</f>
        <v>40745.66667</v>
      </c>
      <c r="B270" s="2">
        <f>IFERROR(__xludf.DUMMYFUNCTION("""COMPUTED_VALUE"""),1.93)</f>
        <v>1.93</v>
      </c>
      <c r="C270" s="2">
        <f>IFERROR(__xludf.DUMMYFUNCTION("""COMPUTED_VALUE"""),1.94)</f>
        <v>1.94</v>
      </c>
      <c r="D270" s="2">
        <f>IFERROR(__xludf.DUMMYFUNCTION("""COMPUTED_VALUE"""),1.87)</f>
        <v>1.87</v>
      </c>
      <c r="E270" s="2">
        <f>IFERROR(__xludf.DUMMYFUNCTION("""COMPUTED_VALUE"""),1.91)</f>
        <v>1.91</v>
      </c>
      <c r="F270" s="2">
        <f>IFERROR(__xludf.DUMMYFUNCTION("""COMPUTED_VALUE"""),1012006.0)</f>
        <v>1012006</v>
      </c>
    </row>
    <row r="271">
      <c r="A271" s="3">
        <f>IFERROR(__xludf.DUMMYFUNCTION("""COMPUTED_VALUE"""),40746.666666666664)</f>
        <v>40746.66667</v>
      </c>
      <c r="B271" s="2">
        <f>IFERROR(__xludf.DUMMYFUNCTION("""COMPUTED_VALUE"""),1.91)</f>
        <v>1.91</v>
      </c>
      <c r="C271" s="2">
        <f>IFERROR(__xludf.DUMMYFUNCTION("""COMPUTED_VALUE"""),1.97)</f>
        <v>1.97</v>
      </c>
      <c r="D271" s="2">
        <f>IFERROR(__xludf.DUMMYFUNCTION("""COMPUTED_VALUE"""),1.9)</f>
        <v>1.9</v>
      </c>
      <c r="E271" s="2">
        <f>IFERROR(__xludf.DUMMYFUNCTION("""COMPUTED_VALUE"""),1.95)</f>
        <v>1.95</v>
      </c>
      <c r="F271" s="2">
        <f>IFERROR(__xludf.DUMMYFUNCTION("""COMPUTED_VALUE"""),583868.0)</f>
        <v>583868</v>
      </c>
    </row>
    <row r="272">
      <c r="A272" s="3">
        <f>IFERROR(__xludf.DUMMYFUNCTION("""COMPUTED_VALUE"""),40749.666666666664)</f>
        <v>40749.66667</v>
      </c>
      <c r="B272" s="2">
        <f>IFERROR(__xludf.DUMMYFUNCTION("""COMPUTED_VALUE"""),1.93)</f>
        <v>1.93</v>
      </c>
      <c r="C272" s="2">
        <f>IFERROR(__xludf.DUMMYFUNCTION("""COMPUTED_VALUE"""),1.95)</f>
        <v>1.95</v>
      </c>
      <c r="D272" s="2">
        <f>IFERROR(__xludf.DUMMYFUNCTION("""COMPUTED_VALUE"""),1.9)</f>
        <v>1.9</v>
      </c>
      <c r="E272" s="2">
        <f>IFERROR(__xludf.DUMMYFUNCTION("""COMPUTED_VALUE"""),1.9)</f>
        <v>1.9</v>
      </c>
      <c r="F272" s="2">
        <f>IFERROR(__xludf.DUMMYFUNCTION("""COMPUTED_VALUE"""),673491.0)</f>
        <v>673491</v>
      </c>
    </row>
    <row r="273">
      <c r="A273" s="3">
        <f>IFERROR(__xludf.DUMMYFUNCTION("""COMPUTED_VALUE"""),40750.666666666664)</f>
        <v>40750.66667</v>
      </c>
      <c r="B273" s="2">
        <f>IFERROR(__xludf.DUMMYFUNCTION("""COMPUTED_VALUE"""),1.89)</f>
        <v>1.89</v>
      </c>
      <c r="C273" s="2">
        <f>IFERROR(__xludf.DUMMYFUNCTION("""COMPUTED_VALUE"""),1.92)</f>
        <v>1.92</v>
      </c>
      <c r="D273" s="2">
        <f>IFERROR(__xludf.DUMMYFUNCTION("""COMPUTED_VALUE"""),1.86)</f>
        <v>1.86</v>
      </c>
      <c r="E273" s="2">
        <f>IFERROR(__xludf.DUMMYFUNCTION("""COMPUTED_VALUE"""),1.87)</f>
        <v>1.87</v>
      </c>
      <c r="F273" s="2">
        <f>IFERROR(__xludf.DUMMYFUNCTION("""COMPUTED_VALUE"""),762932.0)</f>
        <v>762932</v>
      </c>
    </row>
    <row r="274">
      <c r="A274" s="3">
        <f>IFERROR(__xludf.DUMMYFUNCTION("""COMPUTED_VALUE"""),40751.666666666664)</f>
        <v>40751.66667</v>
      </c>
      <c r="B274" s="2">
        <f>IFERROR(__xludf.DUMMYFUNCTION("""COMPUTED_VALUE"""),1.9)</f>
        <v>1.9</v>
      </c>
      <c r="C274" s="2">
        <f>IFERROR(__xludf.DUMMYFUNCTION("""COMPUTED_VALUE"""),1.9)</f>
        <v>1.9</v>
      </c>
      <c r="D274" s="2">
        <f>IFERROR(__xludf.DUMMYFUNCTION("""COMPUTED_VALUE"""),1.83)</f>
        <v>1.83</v>
      </c>
      <c r="E274" s="2">
        <f>IFERROR(__xludf.DUMMYFUNCTION("""COMPUTED_VALUE"""),1.84)</f>
        <v>1.84</v>
      </c>
      <c r="F274" s="2">
        <f>IFERROR(__xludf.DUMMYFUNCTION("""COMPUTED_VALUE"""),958403.0)</f>
        <v>958403</v>
      </c>
    </row>
    <row r="275">
      <c r="A275" s="3">
        <f>IFERROR(__xludf.DUMMYFUNCTION("""COMPUTED_VALUE"""),40752.666666666664)</f>
        <v>40752.66667</v>
      </c>
      <c r="B275" s="2">
        <f>IFERROR(__xludf.DUMMYFUNCTION("""COMPUTED_VALUE"""),1.84)</f>
        <v>1.84</v>
      </c>
      <c r="C275" s="2">
        <f>IFERROR(__xludf.DUMMYFUNCTION("""COMPUTED_VALUE"""),1.9)</f>
        <v>1.9</v>
      </c>
      <c r="D275" s="2">
        <f>IFERROR(__xludf.DUMMYFUNCTION("""COMPUTED_VALUE"""),1.84)</f>
        <v>1.84</v>
      </c>
      <c r="E275" s="2">
        <f>IFERROR(__xludf.DUMMYFUNCTION("""COMPUTED_VALUE"""),1.88)</f>
        <v>1.88</v>
      </c>
      <c r="F275" s="2">
        <f>IFERROR(__xludf.DUMMYFUNCTION("""COMPUTED_VALUE"""),938729.0)</f>
        <v>938729</v>
      </c>
    </row>
    <row r="276">
      <c r="A276" s="3">
        <f>IFERROR(__xludf.DUMMYFUNCTION("""COMPUTED_VALUE"""),40753.666666666664)</f>
        <v>40753.66667</v>
      </c>
      <c r="B276" s="2">
        <f>IFERROR(__xludf.DUMMYFUNCTION("""COMPUTED_VALUE"""),1.85)</f>
        <v>1.85</v>
      </c>
      <c r="C276" s="2">
        <f>IFERROR(__xludf.DUMMYFUNCTION("""COMPUTED_VALUE"""),1.89)</f>
        <v>1.89</v>
      </c>
      <c r="D276" s="2">
        <f>IFERROR(__xludf.DUMMYFUNCTION("""COMPUTED_VALUE"""),1.83)</f>
        <v>1.83</v>
      </c>
      <c r="E276" s="2">
        <f>IFERROR(__xludf.DUMMYFUNCTION("""COMPUTED_VALUE"""),1.88)</f>
        <v>1.88</v>
      </c>
      <c r="F276" s="2">
        <f>IFERROR(__xludf.DUMMYFUNCTION("""COMPUTED_VALUE"""),948127.0)</f>
        <v>948127</v>
      </c>
    </row>
    <row r="277">
      <c r="A277" s="3">
        <f>IFERROR(__xludf.DUMMYFUNCTION("""COMPUTED_VALUE"""),40756.666666666664)</f>
        <v>40756.66667</v>
      </c>
      <c r="B277" s="2">
        <f>IFERROR(__xludf.DUMMYFUNCTION("""COMPUTED_VALUE"""),1.91)</f>
        <v>1.91</v>
      </c>
      <c r="C277" s="2">
        <f>IFERROR(__xludf.DUMMYFUNCTION("""COMPUTED_VALUE"""),1.93)</f>
        <v>1.93</v>
      </c>
      <c r="D277" s="2">
        <f>IFERROR(__xludf.DUMMYFUNCTION("""COMPUTED_VALUE"""),1.88)</f>
        <v>1.88</v>
      </c>
      <c r="E277" s="2">
        <f>IFERROR(__xludf.DUMMYFUNCTION("""COMPUTED_VALUE"""),1.92)</f>
        <v>1.92</v>
      </c>
      <c r="F277" s="2">
        <f>IFERROR(__xludf.DUMMYFUNCTION("""COMPUTED_VALUE"""),1164822.0)</f>
        <v>1164822</v>
      </c>
    </row>
    <row r="278">
      <c r="A278" s="3">
        <f>IFERROR(__xludf.DUMMYFUNCTION("""COMPUTED_VALUE"""),40757.666666666664)</f>
        <v>40757.66667</v>
      </c>
      <c r="B278" s="2">
        <f>IFERROR(__xludf.DUMMYFUNCTION("""COMPUTED_VALUE"""),1.91)</f>
        <v>1.91</v>
      </c>
      <c r="C278" s="2">
        <f>IFERROR(__xludf.DUMMYFUNCTION("""COMPUTED_VALUE"""),1.95)</f>
        <v>1.95</v>
      </c>
      <c r="D278" s="2">
        <f>IFERROR(__xludf.DUMMYFUNCTION("""COMPUTED_VALUE"""),1.82)</f>
        <v>1.82</v>
      </c>
      <c r="E278" s="2">
        <f>IFERROR(__xludf.DUMMYFUNCTION("""COMPUTED_VALUE"""),1.82)</f>
        <v>1.82</v>
      </c>
      <c r="F278" s="2">
        <f>IFERROR(__xludf.DUMMYFUNCTION("""COMPUTED_VALUE"""),1549320.0)</f>
        <v>1549320</v>
      </c>
    </row>
    <row r="279">
      <c r="A279" s="3">
        <f>IFERROR(__xludf.DUMMYFUNCTION("""COMPUTED_VALUE"""),40758.666666666664)</f>
        <v>40758.66667</v>
      </c>
      <c r="B279" s="2">
        <f>IFERROR(__xludf.DUMMYFUNCTION("""COMPUTED_VALUE"""),1.83)</f>
        <v>1.83</v>
      </c>
      <c r="C279" s="2">
        <f>IFERROR(__xludf.DUMMYFUNCTION("""COMPUTED_VALUE"""),1.86)</f>
        <v>1.86</v>
      </c>
      <c r="D279" s="2">
        <f>IFERROR(__xludf.DUMMYFUNCTION("""COMPUTED_VALUE"""),1.76)</f>
        <v>1.76</v>
      </c>
      <c r="E279" s="2">
        <f>IFERROR(__xludf.DUMMYFUNCTION("""COMPUTED_VALUE"""),1.81)</f>
        <v>1.81</v>
      </c>
      <c r="F279" s="2">
        <f>IFERROR(__xludf.DUMMYFUNCTION("""COMPUTED_VALUE"""),1801329.0)</f>
        <v>1801329</v>
      </c>
    </row>
    <row r="280">
      <c r="A280" s="3">
        <f>IFERROR(__xludf.DUMMYFUNCTION("""COMPUTED_VALUE"""),40759.666666666664)</f>
        <v>40759.66667</v>
      </c>
      <c r="B280" s="2">
        <f>IFERROR(__xludf.DUMMYFUNCTION("""COMPUTED_VALUE"""),1.77)</f>
        <v>1.77</v>
      </c>
      <c r="C280" s="2">
        <f>IFERROR(__xludf.DUMMYFUNCTION("""COMPUTED_VALUE"""),1.79)</f>
        <v>1.79</v>
      </c>
      <c r="D280" s="2">
        <f>IFERROR(__xludf.DUMMYFUNCTION("""COMPUTED_VALUE"""),1.64)</f>
        <v>1.64</v>
      </c>
      <c r="E280" s="2">
        <f>IFERROR(__xludf.DUMMYFUNCTION("""COMPUTED_VALUE"""),1.65)</f>
        <v>1.65</v>
      </c>
      <c r="F280" s="2">
        <f>IFERROR(__xludf.DUMMYFUNCTION("""COMPUTED_VALUE"""),3065596.0)</f>
        <v>3065596</v>
      </c>
    </row>
    <row r="281">
      <c r="A281" s="3">
        <f>IFERROR(__xludf.DUMMYFUNCTION("""COMPUTED_VALUE"""),40760.666666666664)</f>
        <v>40760.66667</v>
      </c>
      <c r="B281" s="2">
        <f>IFERROR(__xludf.DUMMYFUNCTION("""COMPUTED_VALUE"""),1.67)</f>
        <v>1.67</v>
      </c>
      <c r="C281" s="2">
        <f>IFERROR(__xludf.DUMMYFUNCTION("""COMPUTED_VALUE"""),1.69)</f>
        <v>1.69</v>
      </c>
      <c r="D281" s="2">
        <f>IFERROR(__xludf.DUMMYFUNCTION("""COMPUTED_VALUE"""),1.52)</f>
        <v>1.52</v>
      </c>
      <c r="E281" s="2">
        <f>IFERROR(__xludf.DUMMYFUNCTION("""COMPUTED_VALUE"""),1.62)</f>
        <v>1.62</v>
      </c>
      <c r="F281" s="2">
        <f>IFERROR(__xludf.DUMMYFUNCTION("""COMPUTED_VALUE"""),1964376.0)</f>
        <v>1964376</v>
      </c>
    </row>
    <row r="282">
      <c r="A282" s="3">
        <f>IFERROR(__xludf.DUMMYFUNCTION("""COMPUTED_VALUE"""),40763.666666666664)</f>
        <v>40763.66667</v>
      </c>
      <c r="B282" s="2">
        <f>IFERROR(__xludf.DUMMYFUNCTION("""COMPUTED_VALUE"""),1.54)</f>
        <v>1.54</v>
      </c>
      <c r="C282" s="2">
        <f>IFERROR(__xludf.DUMMYFUNCTION("""COMPUTED_VALUE"""),1.63)</f>
        <v>1.63</v>
      </c>
      <c r="D282" s="2">
        <f>IFERROR(__xludf.DUMMYFUNCTION("""COMPUTED_VALUE"""),1.54)</f>
        <v>1.54</v>
      </c>
      <c r="E282" s="2">
        <f>IFERROR(__xludf.DUMMYFUNCTION("""COMPUTED_VALUE"""),1.58)</f>
        <v>1.58</v>
      </c>
      <c r="F282" s="2">
        <f>IFERROR(__xludf.DUMMYFUNCTION("""COMPUTED_VALUE"""),2608572.0)</f>
        <v>2608572</v>
      </c>
    </row>
    <row r="283">
      <c r="A283" s="3">
        <f>IFERROR(__xludf.DUMMYFUNCTION("""COMPUTED_VALUE"""),40764.666666666664)</f>
        <v>40764.66667</v>
      </c>
      <c r="B283" s="2">
        <f>IFERROR(__xludf.DUMMYFUNCTION("""COMPUTED_VALUE"""),1.61)</f>
        <v>1.61</v>
      </c>
      <c r="C283" s="2">
        <f>IFERROR(__xludf.DUMMYFUNCTION("""COMPUTED_VALUE"""),1.7)</f>
        <v>1.7</v>
      </c>
      <c r="D283" s="2">
        <f>IFERROR(__xludf.DUMMYFUNCTION("""COMPUTED_VALUE"""),1.58)</f>
        <v>1.58</v>
      </c>
      <c r="E283" s="2">
        <f>IFERROR(__xludf.DUMMYFUNCTION("""COMPUTED_VALUE"""),1.67)</f>
        <v>1.67</v>
      </c>
      <c r="F283" s="2">
        <f>IFERROR(__xludf.DUMMYFUNCTION("""COMPUTED_VALUE"""),1333382.0)</f>
        <v>1333382</v>
      </c>
    </row>
    <row r="284">
      <c r="A284" s="3">
        <f>IFERROR(__xludf.DUMMYFUNCTION("""COMPUTED_VALUE"""),40765.666666666664)</f>
        <v>40765.66667</v>
      </c>
      <c r="B284" s="2">
        <f>IFERROR(__xludf.DUMMYFUNCTION("""COMPUTED_VALUE"""),1.7)</f>
        <v>1.7</v>
      </c>
      <c r="C284" s="2">
        <f>IFERROR(__xludf.DUMMYFUNCTION("""COMPUTED_VALUE"""),1.7)</f>
        <v>1.7</v>
      </c>
      <c r="D284" s="2">
        <f>IFERROR(__xludf.DUMMYFUNCTION("""COMPUTED_VALUE"""),1.58)</f>
        <v>1.58</v>
      </c>
      <c r="E284" s="2">
        <f>IFERROR(__xludf.DUMMYFUNCTION("""COMPUTED_VALUE"""),1.59)</f>
        <v>1.59</v>
      </c>
      <c r="F284" s="2">
        <f>IFERROR(__xludf.DUMMYFUNCTION("""COMPUTED_VALUE"""),1564147.0)</f>
        <v>1564147</v>
      </c>
    </row>
    <row r="285">
      <c r="A285" s="3">
        <f>IFERROR(__xludf.DUMMYFUNCTION("""COMPUTED_VALUE"""),40766.666666666664)</f>
        <v>40766.66667</v>
      </c>
      <c r="B285" s="2">
        <f>IFERROR(__xludf.DUMMYFUNCTION("""COMPUTED_VALUE"""),1.6)</f>
        <v>1.6</v>
      </c>
      <c r="C285" s="2">
        <f>IFERROR(__xludf.DUMMYFUNCTION("""COMPUTED_VALUE"""),1.72)</f>
        <v>1.72</v>
      </c>
      <c r="D285" s="2">
        <f>IFERROR(__xludf.DUMMYFUNCTION("""COMPUTED_VALUE"""),1.6)</f>
        <v>1.6</v>
      </c>
      <c r="E285" s="2">
        <f>IFERROR(__xludf.DUMMYFUNCTION("""COMPUTED_VALUE"""),1.69)</f>
        <v>1.69</v>
      </c>
      <c r="F285" s="2">
        <f>IFERROR(__xludf.DUMMYFUNCTION("""COMPUTED_VALUE"""),836484.0)</f>
        <v>836484</v>
      </c>
    </row>
    <row r="286">
      <c r="A286" s="3">
        <f>IFERROR(__xludf.DUMMYFUNCTION("""COMPUTED_VALUE"""),40767.666666666664)</f>
        <v>40767.66667</v>
      </c>
      <c r="B286" s="2">
        <f>IFERROR(__xludf.DUMMYFUNCTION("""COMPUTED_VALUE"""),1.71)</f>
        <v>1.71</v>
      </c>
      <c r="C286" s="2">
        <f>IFERROR(__xludf.DUMMYFUNCTION("""COMPUTED_VALUE"""),1.81)</f>
        <v>1.81</v>
      </c>
      <c r="D286" s="2">
        <f>IFERROR(__xludf.DUMMYFUNCTION("""COMPUTED_VALUE"""),1.69)</f>
        <v>1.69</v>
      </c>
      <c r="E286" s="2">
        <f>IFERROR(__xludf.DUMMYFUNCTION("""COMPUTED_VALUE"""),1.75)</f>
        <v>1.75</v>
      </c>
      <c r="F286" s="2">
        <f>IFERROR(__xludf.DUMMYFUNCTION("""COMPUTED_VALUE"""),1008084.0)</f>
        <v>1008084</v>
      </c>
    </row>
    <row r="287">
      <c r="A287" s="3">
        <f>IFERROR(__xludf.DUMMYFUNCTION("""COMPUTED_VALUE"""),40770.666666666664)</f>
        <v>40770.66667</v>
      </c>
      <c r="B287" s="2">
        <f>IFERROR(__xludf.DUMMYFUNCTION("""COMPUTED_VALUE"""),1.77)</f>
        <v>1.77</v>
      </c>
      <c r="C287" s="2">
        <f>IFERROR(__xludf.DUMMYFUNCTION("""COMPUTED_VALUE"""),1.78)</f>
        <v>1.78</v>
      </c>
      <c r="D287" s="2">
        <f>IFERROR(__xludf.DUMMYFUNCTION("""COMPUTED_VALUE"""),1.73)</f>
        <v>1.73</v>
      </c>
      <c r="E287" s="2">
        <f>IFERROR(__xludf.DUMMYFUNCTION("""COMPUTED_VALUE"""),1.75)</f>
        <v>1.75</v>
      </c>
      <c r="F287" s="2">
        <f>IFERROR(__xludf.DUMMYFUNCTION("""COMPUTED_VALUE"""),738572.0)</f>
        <v>738572</v>
      </c>
    </row>
    <row r="288">
      <c r="A288" s="3">
        <f>IFERROR(__xludf.DUMMYFUNCTION("""COMPUTED_VALUE"""),40771.666666666664)</f>
        <v>40771.66667</v>
      </c>
      <c r="B288" s="2">
        <f>IFERROR(__xludf.DUMMYFUNCTION("""COMPUTED_VALUE"""),1.74)</f>
        <v>1.74</v>
      </c>
      <c r="C288" s="2">
        <f>IFERROR(__xludf.DUMMYFUNCTION("""COMPUTED_VALUE"""),1.77)</f>
        <v>1.77</v>
      </c>
      <c r="D288" s="2">
        <f>IFERROR(__xludf.DUMMYFUNCTION("""COMPUTED_VALUE"""),1.72)</f>
        <v>1.72</v>
      </c>
      <c r="E288" s="2">
        <f>IFERROR(__xludf.DUMMYFUNCTION("""COMPUTED_VALUE"""),1.74)</f>
        <v>1.74</v>
      </c>
      <c r="F288" s="2">
        <f>IFERROR(__xludf.DUMMYFUNCTION("""COMPUTED_VALUE"""),537688.0)</f>
        <v>537688</v>
      </c>
    </row>
    <row r="289">
      <c r="A289" s="3">
        <f>IFERROR(__xludf.DUMMYFUNCTION("""COMPUTED_VALUE"""),40772.666666666664)</f>
        <v>40772.66667</v>
      </c>
      <c r="B289" s="2">
        <f>IFERROR(__xludf.DUMMYFUNCTION("""COMPUTED_VALUE"""),1.76)</f>
        <v>1.76</v>
      </c>
      <c r="C289" s="2">
        <f>IFERROR(__xludf.DUMMYFUNCTION("""COMPUTED_VALUE"""),1.78)</f>
        <v>1.78</v>
      </c>
      <c r="D289" s="2">
        <f>IFERROR(__xludf.DUMMYFUNCTION("""COMPUTED_VALUE"""),1.7)</f>
        <v>1.7</v>
      </c>
      <c r="E289" s="2">
        <f>IFERROR(__xludf.DUMMYFUNCTION("""COMPUTED_VALUE"""),1.72)</f>
        <v>1.72</v>
      </c>
      <c r="F289" s="2">
        <f>IFERROR(__xludf.DUMMYFUNCTION("""COMPUTED_VALUE"""),635822.0)</f>
        <v>635822</v>
      </c>
    </row>
    <row r="290">
      <c r="A290" s="3">
        <f>IFERROR(__xludf.DUMMYFUNCTION("""COMPUTED_VALUE"""),40773.666666666664)</f>
        <v>40773.66667</v>
      </c>
      <c r="B290" s="2">
        <f>IFERROR(__xludf.DUMMYFUNCTION("""COMPUTED_VALUE"""),1.67)</f>
        <v>1.67</v>
      </c>
      <c r="C290" s="2">
        <f>IFERROR(__xludf.DUMMYFUNCTION("""COMPUTED_VALUE"""),1.68)</f>
        <v>1.68</v>
      </c>
      <c r="D290" s="2">
        <f>IFERROR(__xludf.DUMMYFUNCTION("""COMPUTED_VALUE"""),1.56)</f>
        <v>1.56</v>
      </c>
      <c r="E290" s="2">
        <f>IFERROR(__xludf.DUMMYFUNCTION("""COMPUTED_VALUE"""),1.62)</f>
        <v>1.62</v>
      </c>
      <c r="F290" s="2">
        <f>IFERROR(__xludf.DUMMYFUNCTION("""COMPUTED_VALUE"""),1056569.0)</f>
        <v>1056569</v>
      </c>
    </row>
    <row r="291">
      <c r="A291" s="3">
        <f>IFERROR(__xludf.DUMMYFUNCTION("""COMPUTED_VALUE"""),40774.666666666664)</f>
        <v>40774.66667</v>
      </c>
      <c r="B291" s="2">
        <f>IFERROR(__xludf.DUMMYFUNCTION("""COMPUTED_VALUE"""),1.59)</f>
        <v>1.59</v>
      </c>
      <c r="C291" s="2">
        <f>IFERROR(__xludf.DUMMYFUNCTION("""COMPUTED_VALUE"""),1.61)</f>
        <v>1.61</v>
      </c>
      <c r="D291" s="2">
        <f>IFERROR(__xludf.DUMMYFUNCTION("""COMPUTED_VALUE"""),1.47)</f>
        <v>1.47</v>
      </c>
      <c r="E291" s="2">
        <f>IFERROR(__xludf.DUMMYFUNCTION("""COMPUTED_VALUE"""),1.49)</f>
        <v>1.49</v>
      </c>
      <c r="F291" s="2">
        <f>IFERROR(__xludf.DUMMYFUNCTION("""COMPUTED_VALUE"""),1375277.0)</f>
        <v>1375277</v>
      </c>
    </row>
    <row r="292">
      <c r="A292" s="3">
        <f>IFERROR(__xludf.DUMMYFUNCTION("""COMPUTED_VALUE"""),40777.666666666664)</f>
        <v>40777.66667</v>
      </c>
      <c r="B292" s="2">
        <f>IFERROR(__xludf.DUMMYFUNCTION("""COMPUTED_VALUE"""),1.54)</f>
        <v>1.54</v>
      </c>
      <c r="C292" s="2">
        <f>IFERROR(__xludf.DUMMYFUNCTION("""COMPUTED_VALUE"""),1.59)</f>
        <v>1.59</v>
      </c>
      <c r="D292" s="2">
        <f>IFERROR(__xludf.DUMMYFUNCTION("""COMPUTED_VALUE"""),1.45)</f>
        <v>1.45</v>
      </c>
      <c r="E292" s="2">
        <f>IFERROR(__xludf.DUMMYFUNCTION("""COMPUTED_VALUE"""),1.46)</f>
        <v>1.46</v>
      </c>
      <c r="F292" s="2">
        <f>IFERROR(__xludf.DUMMYFUNCTION("""COMPUTED_VALUE"""),986181.0)</f>
        <v>986181</v>
      </c>
    </row>
    <row r="293">
      <c r="A293" s="3">
        <f>IFERROR(__xludf.DUMMYFUNCTION("""COMPUTED_VALUE"""),40778.666666666664)</f>
        <v>40778.66667</v>
      </c>
      <c r="B293" s="2">
        <f>IFERROR(__xludf.DUMMYFUNCTION("""COMPUTED_VALUE"""),1.46)</f>
        <v>1.46</v>
      </c>
      <c r="C293" s="2">
        <f>IFERROR(__xludf.DUMMYFUNCTION("""COMPUTED_VALUE"""),1.54)</f>
        <v>1.54</v>
      </c>
      <c r="D293" s="2">
        <f>IFERROR(__xludf.DUMMYFUNCTION("""COMPUTED_VALUE"""),1.43)</f>
        <v>1.43</v>
      </c>
      <c r="E293" s="2">
        <f>IFERROR(__xludf.DUMMYFUNCTION("""COMPUTED_VALUE"""),1.53)</f>
        <v>1.53</v>
      </c>
      <c r="F293" s="2">
        <f>IFERROR(__xludf.DUMMYFUNCTION("""COMPUTED_VALUE"""),868968.0)</f>
        <v>868968</v>
      </c>
    </row>
    <row r="294">
      <c r="A294" s="3">
        <f>IFERROR(__xludf.DUMMYFUNCTION("""COMPUTED_VALUE"""),40779.666666666664)</f>
        <v>40779.66667</v>
      </c>
      <c r="B294" s="2">
        <f>IFERROR(__xludf.DUMMYFUNCTION("""COMPUTED_VALUE"""),1.54)</f>
        <v>1.54</v>
      </c>
      <c r="C294" s="2">
        <f>IFERROR(__xludf.DUMMYFUNCTION("""COMPUTED_VALUE"""),1.6)</f>
        <v>1.6</v>
      </c>
      <c r="D294" s="2">
        <f>IFERROR(__xludf.DUMMYFUNCTION("""COMPUTED_VALUE"""),1.52)</f>
        <v>1.52</v>
      </c>
      <c r="E294" s="2">
        <f>IFERROR(__xludf.DUMMYFUNCTION("""COMPUTED_VALUE"""),1.59)</f>
        <v>1.59</v>
      </c>
      <c r="F294" s="2">
        <f>IFERROR(__xludf.DUMMYFUNCTION("""COMPUTED_VALUE"""),684238.0)</f>
        <v>684238</v>
      </c>
    </row>
    <row r="295">
      <c r="A295" s="3">
        <f>IFERROR(__xludf.DUMMYFUNCTION("""COMPUTED_VALUE"""),40780.666666666664)</f>
        <v>40780.66667</v>
      </c>
      <c r="B295" s="2">
        <f>IFERROR(__xludf.DUMMYFUNCTION("""COMPUTED_VALUE"""),1.59)</f>
        <v>1.59</v>
      </c>
      <c r="C295" s="2">
        <f>IFERROR(__xludf.DUMMYFUNCTION("""COMPUTED_VALUE"""),1.59)</f>
        <v>1.59</v>
      </c>
      <c r="D295" s="2">
        <f>IFERROR(__xludf.DUMMYFUNCTION("""COMPUTED_VALUE"""),1.53)</f>
        <v>1.53</v>
      </c>
      <c r="E295" s="2">
        <f>IFERROR(__xludf.DUMMYFUNCTION("""COMPUTED_VALUE"""),1.54)</f>
        <v>1.54</v>
      </c>
      <c r="F295" s="2">
        <f>IFERROR(__xludf.DUMMYFUNCTION("""COMPUTED_VALUE"""),680210.0)</f>
        <v>680210</v>
      </c>
    </row>
    <row r="296">
      <c r="A296" s="3">
        <f>IFERROR(__xludf.DUMMYFUNCTION("""COMPUTED_VALUE"""),40781.666666666664)</f>
        <v>40781.66667</v>
      </c>
      <c r="B296" s="2">
        <f>IFERROR(__xludf.DUMMYFUNCTION("""COMPUTED_VALUE"""),1.51)</f>
        <v>1.51</v>
      </c>
      <c r="C296" s="2">
        <f>IFERROR(__xludf.DUMMYFUNCTION("""COMPUTED_VALUE"""),1.6)</f>
        <v>1.6</v>
      </c>
      <c r="D296" s="2">
        <f>IFERROR(__xludf.DUMMYFUNCTION("""COMPUTED_VALUE"""),1.47)</f>
        <v>1.47</v>
      </c>
      <c r="E296" s="2">
        <f>IFERROR(__xludf.DUMMYFUNCTION("""COMPUTED_VALUE"""),1.58)</f>
        <v>1.58</v>
      </c>
      <c r="F296" s="2">
        <f>IFERROR(__xludf.DUMMYFUNCTION("""COMPUTED_VALUE"""),761756.0)</f>
        <v>761756</v>
      </c>
    </row>
    <row r="297">
      <c r="A297" s="3">
        <f>IFERROR(__xludf.DUMMYFUNCTION("""COMPUTED_VALUE"""),40784.666666666664)</f>
        <v>40784.66667</v>
      </c>
      <c r="B297" s="2">
        <f>IFERROR(__xludf.DUMMYFUNCTION("""COMPUTED_VALUE"""),1.61)</f>
        <v>1.61</v>
      </c>
      <c r="C297" s="2">
        <f>IFERROR(__xludf.DUMMYFUNCTION("""COMPUTED_VALUE"""),1.66)</f>
        <v>1.66</v>
      </c>
      <c r="D297" s="2">
        <f>IFERROR(__xludf.DUMMYFUNCTION("""COMPUTED_VALUE"""),1.6)</f>
        <v>1.6</v>
      </c>
      <c r="E297" s="2">
        <f>IFERROR(__xludf.DUMMYFUNCTION("""COMPUTED_VALUE"""),1.65)</f>
        <v>1.65</v>
      </c>
      <c r="F297" s="2">
        <f>IFERROR(__xludf.DUMMYFUNCTION("""COMPUTED_VALUE"""),803302.0)</f>
        <v>803302</v>
      </c>
    </row>
    <row r="298">
      <c r="A298" s="3">
        <f>IFERROR(__xludf.DUMMYFUNCTION("""COMPUTED_VALUE"""),40785.666666666664)</f>
        <v>40785.66667</v>
      </c>
      <c r="B298" s="2">
        <f>IFERROR(__xludf.DUMMYFUNCTION("""COMPUTED_VALUE"""),1.63)</f>
        <v>1.63</v>
      </c>
      <c r="C298" s="2">
        <f>IFERROR(__xludf.DUMMYFUNCTION("""COMPUTED_VALUE"""),1.65)</f>
        <v>1.65</v>
      </c>
      <c r="D298" s="2">
        <f>IFERROR(__xludf.DUMMYFUNCTION("""COMPUTED_VALUE"""),1.61)</f>
        <v>1.61</v>
      </c>
      <c r="E298" s="2">
        <f>IFERROR(__xludf.DUMMYFUNCTION("""COMPUTED_VALUE"""),1.64)</f>
        <v>1.64</v>
      </c>
      <c r="F298" s="2">
        <f>IFERROR(__xludf.DUMMYFUNCTION("""COMPUTED_VALUE"""),366659.0)</f>
        <v>366659</v>
      </c>
    </row>
    <row r="299">
      <c r="A299" s="3">
        <f>IFERROR(__xludf.DUMMYFUNCTION("""COMPUTED_VALUE"""),40786.666666666664)</f>
        <v>40786.66667</v>
      </c>
      <c r="B299" s="2">
        <f>IFERROR(__xludf.DUMMYFUNCTION("""COMPUTED_VALUE"""),1.65)</f>
        <v>1.65</v>
      </c>
      <c r="C299" s="2">
        <f>IFERROR(__xludf.DUMMYFUNCTION("""COMPUTED_VALUE"""),1.7)</f>
        <v>1.7</v>
      </c>
      <c r="D299" s="2">
        <f>IFERROR(__xludf.DUMMYFUNCTION("""COMPUTED_VALUE"""),1.62)</f>
        <v>1.62</v>
      </c>
      <c r="E299" s="2">
        <f>IFERROR(__xludf.DUMMYFUNCTION("""COMPUTED_VALUE"""),1.65)</f>
        <v>1.65</v>
      </c>
      <c r="F299" s="2">
        <f>IFERROR(__xludf.DUMMYFUNCTION("""COMPUTED_VALUE"""),823735.0)</f>
        <v>823735</v>
      </c>
    </row>
    <row r="300">
      <c r="A300" s="3">
        <f>IFERROR(__xludf.DUMMYFUNCTION("""COMPUTED_VALUE"""),40787.666666666664)</f>
        <v>40787.66667</v>
      </c>
      <c r="B300" s="2">
        <f>IFERROR(__xludf.DUMMYFUNCTION("""COMPUTED_VALUE"""),1.64)</f>
        <v>1.64</v>
      </c>
      <c r="C300" s="2">
        <f>IFERROR(__xludf.DUMMYFUNCTION("""COMPUTED_VALUE"""),1.66)</f>
        <v>1.66</v>
      </c>
      <c r="D300" s="2">
        <f>IFERROR(__xludf.DUMMYFUNCTION("""COMPUTED_VALUE"""),1.59)</f>
        <v>1.59</v>
      </c>
      <c r="E300" s="2">
        <f>IFERROR(__xludf.DUMMYFUNCTION("""COMPUTED_VALUE"""),1.6)</f>
        <v>1.6</v>
      </c>
      <c r="F300" s="2">
        <f>IFERROR(__xludf.DUMMYFUNCTION("""COMPUTED_VALUE"""),848085.0)</f>
        <v>848085</v>
      </c>
    </row>
    <row r="301">
      <c r="A301" s="3">
        <f>IFERROR(__xludf.DUMMYFUNCTION("""COMPUTED_VALUE"""),40788.666666666664)</f>
        <v>40788.66667</v>
      </c>
      <c r="B301" s="2">
        <f>IFERROR(__xludf.DUMMYFUNCTION("""COMPUTED_VALUE"""),1.56)</f>
        <v>1.56</v>
      </c>
      <c r="C301" s="2">
        <f>IFERROR(__xludf.DUMMYFUNCTION("""COMPUTED_VALUE"""),1.6)</f>
        <v>1.6</v>
      </c>
      <c r="D301" s="2">
        <f>IFERROR(__xludf.DUMMYFUNCTION("""COMPUTED_VALUE"""),1.51)</f>
        <v>1.51</v>
      </c>
      <c r="E301" s="2">
        <f>IFERROR(__xludf.DUMMYFUNCTION("""COMPUTED_VALUE"""),1.54)</f>
        <v>1.54</v>
      </c>
      <c r="F301" s="2">
        <f>IFERROR(__xludf.DUMMYFUNCTION("""COMPUTED_VALUE"""),770331.0)</f>
        <v>770331</v>
      </c>
    </row>
    <row r="302">
      <c r="A302" s="3">
        <f>IFERROR(__xludf.DUMMYFUNCTION("""COMPUTED_VALUE"""),40792.666666666664)</f>
        <v>40792.66667</v>
      </c>
      <c r="B302" s="2">
        <f>IFERROR(__xludf.DUMMYFUNCTION("""COMPUTED_VALUE"""),1.5)</f>
        <v>1.5</v>
      </c>
      <c r="C302" s="2">
        <f>IFERROR(__xludf.DUMMYFUNCTION("""COMPUTED_VALUE"""),1.55)</f>
        <v>1.55</v>
      </c>
      <c r="D302" s="2">
        <f>IFERROR(__xludf.DUMMYFUNCTION("""COMPUTED_VALUE"""),1.49)</f>
        <v>1.49</v>
      </c>
      <c r="E302" s="2">
        <f>IFERROR(__xludf.DUMMYFUNCTION("""COMPUTED_VALUE"""),1.53)</f>
        <v>1.53</v>
      </c>
      <c r="F302" s="2">
        <f>IFERROR(__xludf.DUMMYFUNCTION("""COMPUTED_VALUE"""),809760.0)</f>
        <v>809760</v>
      </c>
    </row>
    <row r="303">
      <c r="A303" s="3">
        <f>IFERROR(__xludf.DUMMYFUNCTION("""COMPUTED_VALUE"""),40793.666666666664)</f>
        <v>40793.66667</v>
      </c>
      <c r="B303" s="2">
        <f>IFERROR(__xludf.DUMMYFUNCTION("""COMPUTED_VALUE"""),1.56)</f>
        <v>1.56</v>
      </c>
      <c r="C303" s="2">
        <f>IFERROR(__xludf.DUMMYFUNCTION("""COMPUTED_VALUE"""),1.6)</f>
        <v>1.6</v>
      </c>
      <c r="D303" s="2">
        <f>IFERROR(__xludf.DUMMYFUNCTION("""COMPUTED_VALUE"""),1.55)</f>
        <v>1.55</v>
      </c>
      <c r="E303" s="2">
        <f>IFERROR(__xludf.DUMMYFUNCTION("""COMPUTED_VALUE"""),1.59)</f>
        <v>1.59</v>
      </c>
      <c r="F303" s="2">
        <f>IFERROR(__xludf.DUMMYFUNCTION("""COMPUTED_VALUE"""),459186.0)</f>
        <v>459186</v>
      </c>
    </row>
    <row r="304">
      <c r="A304" s="3">
        <f>IFERROR(__xludf.DUMMYFUNCTION("""COMPUTED_VALUE"""),40794.666666666664)</f>
        <v>40794.66667</v>
      </c>
      <c r="B304" s="2">
        <f>IFERROR(__xludf.DUMMYFUNCTION("""COMPUTED_VALUE"""),1.57)</f>
        <v>1.57</v>
      </c>
      <c r="C304" s="2">
        <f>IFERROR(__xludf.DUMMYFUNCTION("""COMPUTED_VALUE"""),1.6)</f>
        <v>1.6</v>
      </c>
      <c r="D304" s="2">
        <f>IFERROR(__xludf.DUMMYFUNCTION("""COMPUTED_VALUE"""),1.55)</f>
        <v>1.55</v>
      </c>
      <c r="E304" s="2">
        <f>IFERROR(__xludf.DUMMYFUNCTION("""COMPUTED_VALUE"""),1.57)</f>
        <v>1.57</v>
      </c>
      <c r="F304" s="2">
        <f>IFERROR(__xludf.DUMMYFUNCTION("""COMPUTED_VALUE"""),505697.0)</f>
        <v>505697</v>
      </c>
    </row>
    <row r="305">
      <c r="A305" s="3">
        <f>IFERROR(__xludf.DUMMYFUNCTION("""COMPUTED_VALUE"""),40795.666666666664)</f>
        <v>40795.66667</v>
      </c>
      <c r="B305" s="2">
        <f>IFERROR(__xludf.DUMMYFUNCTION("""COMPUTED_VALUE"""),1.56)</f>
        <v>1.56</v>
      </c>
      <c r="C305" s="2">
        <f>IFERROR(__xludf.DUMMYFUNCTION("""COMPUTED_VALUE"""),1.57)</f>
        <v>1.57</v>
      </c>
      <c r="D305" s="2">
        <f>IFERROR(__xludf.DUMMYFUNCTION("""COMPUTED_VALUE"""),1.5)</f>
        <v>1.5</v>
      </c>
      <c r="E305" s="2">
        <f>IFERROR(__xludf.DUMMYFUNCTION("""COMPUTED_VALUE"""),1.53)</f>
        <v>1.53</v>
      </c>
      <c r="F305" s="2">
        <f>IFERROR(__xludf.DUMMYFUNCTION("""COMPUTED_VALUE"""),669263.0)</f>
        <v>669263</v>
      </c>
    </row>
    <row r="306">
      <c r="A306" s="3">
        <f>IFERROR(__xludf.DUMMYFUNCTION("""COMPUTED_VALUE"""),40798.666666666664)</f>
        <v>40798.66667</v>
      </c>
      <c r="B306" s="2">
        <f>IFERROR(__xludf.DUMMYFUNCTION("""COMPUTED_VALUE"""),1.5)</f>
        <v>1.5</v>
      </c>
      <c r="C306" s="2">
        <f>IFERROR(__xludf.DUMMYFUNCTION("""COMPUTED_VALUE"""),1.55)</f>
        <v>1.55</v>
      </c>
      <c r="D306" s="2">
        <f>IFERROR(__xludf.DUMMYFUNCTION("""COMPUTED_VALUE"""),1.5)</f>
        <v>1.5</v>
      </c>
      <c r="E306" s="2">
        <f>IFERROR(__xludf.DUMMYFUNCTION("""COMPUTED_VALUE"""),1.53)</f>
        <v>1.53</v>
      </c>
      <c r="F306" s="2">
        <f>IFERROR(__xludf.DUMMYFUNCTION("""COMPUTED_VALUE"""),566571.0)</f>
        <v>566571</v>
      </c>
    </row>
    <row r="307">
      <c r="A307" s="3">
        <f>IFERROR(__xludf.DUMMYFUNCTION("""COMPUTED_VALUE"""),40799.666666666664)</f>
        <v>40799.66667</v>
      </c>
      <c r="B307" s="2">
        <f>IFERROR(__xludf.DUMMYFUNCTION("""COMPUTED_VALUE"""),1.53)</f>
        <v>1.53</v>
      </c>
      <c r="C307" s="2">
        <f>IFERROR(__xludf.DUMMYFUNCTION("""COMPUTED_VALUE"""),1.61)</f>
        <v>1.61</v>
      </c>
      <c r="D307" s="2">
        <f>IFERROR(__xludf.DUMMYFUNCTION("""COMPUTED_VALUE"""),1.52)</f>
        <v>1.52</v>
      </c>
      <c r="E307" s="2">
        <f>IFERROR(__xludf.DUMMYFUNCTION("""COMPUTED_VALUE"""),1.61)</f>
        <v>1.61</v>
      </c>
      <c r="F307" s="2">
        <f>IFERROR(__xludf.DUMMYFUNCTION("""COMPUTED_VALUE"""),726461.0)</f>
        <v>726461</v>
      </c>
    </row>
    <row r="308">
      <c r="A308" s="3">
        <f>IFERROR(__xludf.DUMMYFUNCTION("""COMPUTED_VALUE"""),40800.666666666664)</f>
        <v>40800.66667</v>
      </c>
      <c r="B308" s="2">
        <f>IFERROR(__xludf.DUMMYFUNCTION("""COMPUTED_VALUE"""),1.62)</f>
        <v>1.62</v>
      </c>
      <c r="C308" s="2">
        <f>IFERROR(__xludf.DUMMYFUNCTION("""COMPUTED_VALUE"""),1.66)</f>
        <v>1.66</v>
      </c>
      <c r="D308" s="2">
        <f>IFERROR(__xludf.DUMMYFUNCTION("""COMPUTED_VALUE"""),1.59)</f>
        <v>1.59</v>
      </c>
      <c r="E308" s="2">
        <f>IFERROR(__xludf.DUMMYFUNCTION("""COMPUTED_VALUE"""),1.62)</f>
        <v>1.62</v>
      </c>
      <c r="F308" s="2">
        <f>IFERROR(__xludf.DUMMYFUNCTION("""COMPUTED_VALUE"""),830777.0)</f>
        <v>830777</v>
      </c>
    </row>
    <row r="309">
      <c r="A309" s="3">
        <f>IFERROR(__xludf.DUMMYFUNCTION("""COMPUTED_VALUE"""),40801.666666666664)</f>
        <v>40801.66667</v>
      </c>
      <c r="B309" s="2">
        <f>IFERROR(__xludf.DUMMYFUNCTION("""COMPUTED_VALUE"""),1.64)</f>
        <v>1.64</v>
      </c>
      <c r="C309" s="2">
        <f>IFERROR(__xludf.DUMMYFUNCTION("""COMPUTED_VALUE"""),1.66)</f>
        <v>1.66</v>
      </c>
      <c r="D309" s="2">
        <f>IFERROR(__xludf.DUMMYFUNCTION("""COMPUTED_VALUE"""),1.62)</f>
        <v>1.62</v>
      </c>
      <c r="E309" s="2">
        <f>IFERROR(__xludf.DUMMYFUNCTION("""COMPUTED_VALUE"""),1.65)</f>
        <v>1.65</v>
      </c>
      <c r="F309" s="2">
        <f>IFERROR(__xludf.DUMMYFUNCTION("""COMPUTED_VALUE"""),562512.0)</f>
        <v>562512</v>
      </c>
    </row>
    <row r="310">
      <c r="A310" s="3">
        <f>IFERROR(__xludf.DUMMYFUNCTION("""COMPUTED_VALUE"""),40802.666666666664)</f>
        <v>40802.66667</v>
      </c>
      <c r="B310" s="2">
        <f>IFERROR(__xludf.DUMMYFUNCTION("""COMPUTED_VALUE"""),1.65)</f>
        <v>1.65</v>
      </c>
      <c r="C310" s="2">
        <f>IFERROR(__xludf.DUMMYFUNCTION("""COMPUTED_VALUE"""),1.72)</f>
        <v>1.72</v>
      </c>
      <c r="D310" s="2">
        <f>IFERROR(__xludf.DUMMYFUNCTION("""COMPUTED_VALUE"""),1.63)</f>
        <v>1.63</v>
      </c>
      <c r="E310" s="2">
        <f>IFERROR(__xludf.DUMMYFUNCTION("""COMPUTED_VALUE"""),1.72)</f>
        <v>1.72</v>
      </c>
      <c r="F310" s="2">
        <f>IFERROR(__xludf.DUMMYFUNCTION("""COMPUTED_VALUE"""),1417574.0)</f>
        <v>1417574</v>
      </c>
    </row>
    <row r="311">
      <c r="A311" s="3">
        <f>IFERROR(__xludf.DUMMYFUNCTION("""COMPUTED_VALUE"""),40805.666666666664)</f>
        <v>40805.66667</v>
      </c>
      <c r="B311" s="2">
        <f>IFERROR(__xludf.DUMMYFUNCTION("""COMPUTED_VALUE"""),1.66)</f>
        <v>1.66</v>
      </c>
      <c r="C311" s="2">
        <f>IFERROR(__xludf.DUMMYFUNCTION("""COMPUTED_VALUE"""),1.72)</f>
        <v>1.72</v>
      </c>
      <c r="D311" s="2">
        <f>IFERROR(__xludf.DUMMYFUNCTION("""COMPUTED_VALUE"""),1.59)</f>
        <v>1.59</v>
      </c>
      <c r="E311" s="2">
        <f>IFERROR(__xludf.DUMMYFUNCTION("""COMPUTED_VALUE"""),1.72)</f>
        <v>1.72</v>
      </c>
      <c r="F311" s="2">
        <f>IFERROR(__xludf.DUMMYFUNCTION("""COMPUTED_VALUE"""),1157349.0)</f>
        <v>1157349</v>
      </c>
    </row>
    <row r="312">
      <c r="A312" s="3">
        <f>IFERROR(__xludf.DUMMYFUNCTION("""COMPUTED_VALUE"""),40806.666666666664)</f>
        <v>40806.66667</v>
      </c>
      <c r="B312" s="2">
        <f>IFERROR(__xludf.DUMMYFUNCTION("""COMPUTED_VALUE"""),1.73)</f>
        <v>1.73</v>
      </c>
      <c r="C312" s="2">
        <f>IFERROR(__xludf.DUMMYFUNCTION("""COMPUTED_VALUE"""),1.77)</f>
        <v>1.77</v>
      </c>
      <c r="D312" s="2">
        <f>IFERROR(__xludf.DUMMYFUNCTION("""COMPUTED_VALUE"""),1.71)</f>
        <v>1.71</v>
      </c>
      <c r="E312" s="2">
        <f>IFERROR(__xludf.DUMMYFUNCTION("""COMPUTED_VALUE"""),1.73)</f>
        <v>1.73</v>
      </c>
      <c r="F312" s="2">
        <f>IFERROR(__xludf.DUMMYFUNCTION("""COMPUTED_VALUE"""),1180351.0)</f>
        <v>1180351</v>
      </c>
    </row>
    <row r="313">
      <c r="A313" s="3">
        <f>IFERROR(__xludf.DUMMYFUNCTION("""COMPUTED_VALUE"""),40807.666666666664)</f>
        <v>40807.66667</v>
      </c>
      <c r="B313" s="2">
        <f>IFERROR(__xludf.DUMMYFUNCTION("""COMPUTED_VALUE"""),1.73)</f>
        <v>1.73</v>
      </c>
      <c r="C313" s="2">
        <f>IFERROR(__xludf.DUMMYFUNCTION("""COMPUTED_VALUE"""),1.8)</f>
        <v>1.8</v>
      </c>
      <c r="D313" s="2">
        <f>IFERROR(__xludf.DUMMYFUNCTION("""COMPUTED_VALUE"""),1.71)</f>
        <v>1.71</v>
      </c>
      <c r="E313" s="2">
        <f>IFERROR(__xludf.DUMMYFUNCTION("""COMPUTED_VALUE"""),1.72)</f>
        <v>1.72</v>
      </c>
      <c r="F313" s="2">
        <f>IFERROR(__xludf.DUMMYFUNCTION("""COMPUTED_VALUE"""),987577.0)</f>
        <v>987577</v>
      </c>
    </row>
    <row r="314">
      <c r="A314" s="3">
        <f>IFERROR(__xludf.DUMMYFUNCTION("""COMPUTED_VALUE"""),40808.666666666664)</f>
        <v>40808.66667</v>
      </c>
      <c r="B314" s="2">
        <f>IFERROR(__xludf.DUMMYFUNCTION("""COMPUTED_VALUE"""),1.68)</f>
        <v>1.68</v>
      </c>
      <c r="C314" s="2">
        <f>IFERROR(__xludf.DUMMYFUNCTION("""COMPUTED_VALUE"""),1.74)</f>
        <v>1.74</v>
      </c>
      <c r="D314" s="2">
        <f>IFERROR(__xludf.DUMMYFUNCTION("""COMPUTED_VALUE"""),1.66)</f>
        <v>1.66</v>
      </c>
      <c r="E314" s="2">
        <f>IFERROR(__xludf.DUMMYFUNCTION("""COMPUTED_VALUE"""),1.71)</f>
        <v>1.71</v>
      </c>
      <c r="F314" s="2">
        <f>IFERROR(__xludf.DUMMYFUNCTION("""COMPUTED_VALUE"""),776002.0)</f>
        <v>776002</v>
      </c>
    </row>
    <row r="315">
      <c r="A315" s="3">
        <f>IFERROR(__xludf.DUMMYFUNCTION("""COMPUTED_VALUE"""),40809.666666666664)</f>
        <v>40809.66667</v>
      </c>
      <c r="B315" s="2">
        <f>IFERROR(__xludf.DUMMYFUNCTION("""COMPUTED_VALUE"""),1.7)</f>
        <v>1.7</v>
      </c>
      <c r="C315" s="2">
        <f>IFERROR(__xludf.DUMMYFUNCTION("""COMPUTED_VALUE"""),1.77)</f>
        <v>1.77</v>
      </c>
      <c r="D315" s="2">
        <f>IFERROR(__xludf.DUMMYFUNCTION("""COMPUTED_VALUE"""),1.69)</f>
        <v>1.69</v>
      </c>
      <c r="E315" s="2">
        <f>IFERROR(__xludf.DUMMYFUNCTION("""COMPUTED_VALUE"""),1.76)</f>
        <v>1.76</v>
      </c>
      <c r="F315" s="2">
        <f>IFERROR(__xludf.DUMMYFUNCTION("""COMPUTED_VALUE"""),1156328.0)</f>
        <v>1156328</v>
      </c>
    </row>
    <row r="316">
      <c r="A316" s="3">
        <f>IFERROR(__xludf.DUMMYFUNCTION("""COMPUTED_VALUE"""),40812.666666666664)</f>
        <v>40812.66667</v>
      </c>
      <c r="B316" s="2">
        <f>IFERROR(__xludf.DUMMYFUNCTION("""COMPUTED_VALUE"""),1.77)</f>
        <v>1.77</v>
      </c>
      <c r="C316" s="2">
        <f>IFERROR(__xludf.DUMMYFUNCTION("""COMPUTED_VALUE"""),1.77)</f>
        <v>1.77</v>
      </c>
      <c r="D316" s="2">
        <f>IFERROR(__xludf.DUMMYFUNCTION("""COMPUTED_VALUE"""),1.66)</f>
        <v>1.66</v>
      </c>
      <c r="E316" s="2">
        <f>IFERROR(__xludf.DUMMYFUNCTION("""COMPUTED_VALUE"""),1.7)</f>
        <v>1.7</v>
      </c>
      <c r="F316" s="2">
        <f>IFERROR(__xludf.DUMMYFUNCTION("""COMPUTED_VALUE"""),934715.0)</f>
        <v>934715</v>
      </c>
    </row>
    <row r="317">
      <c r="A317" s="3">
        <f>IFERROR(__xludf.DUMMYFUNCTION("""COMPUTED_VALUE"""),40813.666666666664)</f>
        <v>40813.66667</v>
      </c>
      <c r="B317" s="2">
        <f>IFERROR(__xludf.DUMMYFUNCTION("""COMPUTED_VALUE"""),1.73)</f>
        <v>1.73</v>
      </c>
      <c r="C317" s="2">
        <f>IFERROR(__xludf.DUMMYFUNCTION("""COMPUTED_VALUE"""),1.8)</f>
        <v>1.8</v>
      </c>
      <c r="D317" s="2">
        <f>IFERROR(__xludf.DUMMYFUNCTION("""COMPUTED_VALUE"""),1.7)</f>
        <v>1.7</v>
      </c>
      <c r="E317" s="2">
        <f>IFERROR(__xludf.DUMMYFUNCTION("""COMPUTED_VALUE"""),1.75)</f>
        <v>1.75</v>
      </c>
      <c r="F317" s="2">
        <f>IFERROR(__xludf.DUMMYFUNCTION("""COMPUTED_VALUE"""),674429.0)</f>
        <v>674429</v>
      </c>
    </row>
    <row r="318">
      <c r="A318" s="3">
        <f>IFERROR(__xludf.DUMMYFUNCTION("""COMPUTED_VALUE"""),40814.666666666664)</f>
        <v>40814.66667</v>
      </c>
      <c r="B318" s="2">
        <f>IFERROR(__xludf.DUMMYFUNCTION("""COMPUTED_VALUE"""),1.73)</f>
        <v>1.73</v>
      </c>
      <c r="C318" s="2">
        <f>IFERROR(__xludf.DUMMYFUNCTION("""COMPUTED_VALUE"""),1.77)</f>
        <v>1.77</v>
      </c>
      <c r="D318" s="2">
        <f>IFERROR(__xludf.DUMMYFUNCTION("""COMPUTED_VALUE"""),1.63)</f>
        <v>1.63</v>
      </c>
      <c r="E318" s="2">
        <f>IFERROR(__xludf.DUMMYFUNCTION("""COMPUTED_VALUE"""),1.64)</f>
        <v>1.64</v>
      </c>
      <c r="F318" s="2">
        <f>IFERROR(__xludf.DUMMYFUNCTION("""COMPUTED_VALUE"""),723206.0)</f>
        <v>723206</v>
      </c>
    </row>
    <row r="319">
      <c r="A319" s="3">
        <f>IFERROR(__xludf.DUMMYFUNCTION("""COMPUTED_VALUE"""),40815.666666666664)</f>
        <v>40815.66667</v>
      </c>
      <c r="B319" s="2">
        <f>IFERROR(__xludf.DUMMYFUNCTION("""COMPUTED_VALUE"""),1.71)</f>
        <v>1.71</v>
      </c>
      <c r="C319" s="2">
        <f>IFERROR(__xludf.DUMMYFUNCTION("""COMPUTED_VALUE"""),1.72)</f>
        <v>1.72</v>
      </c>
      <c r="D319" s="2">
        <f>IFERROR(__xludf.DUMMYFUNCTION("""COMPUTED_VALUE"""),1.57)</f>
        <v>1.57</v>
      </c>
      <c r="E319" s="2">
        <f>IFERROR(__xludf.DUMMYFUNCTION("""COMPUTED_VALUE"""),1.61)</f>
        <v>1.61</v>
      </c>
      <c r="F319" s="2">
        <f>IFERROR(__xludf.DUMMYFUNCTION("""COMPUTED_VALUE"""),929545.0)</f>
        <v>929545</v>
      </c>
    </row>
    <row r="320">
      <c r="A320" s="3">
        <f>IFERROR(__xludf.DUMMYFUNCTION("""COMPUTED_VALUE"""),40816.666666666664)</f>
        <v>40816.66667</v>
      </c>
      <c r="B320" s="2">
        <f>IFERROR(__xludf.DUMMYFUNCTION("""COMPUTED_VALUE"""),1.65)</f>
        <v>1.65</v>
      </c>
      <c r="C320" s="2">
        <f>IFERROR(__xludf.DUMMYFUNCTION("""COMPUTED_VALUE"""),1.66)</f>
        <v>1.66</v>
      </c>
      <c r="D320" s="2">
        <f>IFERROR(__xludf.DUMMYFUNCTION("""COMPUTED_VALUE"""),1.57)</f>
        <v>1.57</v>
      </c>
      <c r="E320" s="2">
        <f>IFERROR(__xludf.DUMMYFUNCTION("""COMPUTED_VALUE"""),1.63)</f>
        <v>1.63</v>
      </c>
      <c r="F320" s="2">
        <f>IFERROR(__xludf.DUMMYFUNCTION("""COMPUTED_VALUE"""),1336054.0)</f>
        <v>1336054</v>
      </c>
    </row>
    <row r="321">
      <c r="A321" s="3">
        <f>IFERROR(__xludf.DUMMYFUNCTION("""COMPUTED_VALUE"""),40819.666666666664)</f>
        <v>40819.66667</v>
      </c>
      <c r="B321" s="2">
        <f>IFERROR(__xludf.DUMMYFUNCTION("""COMPUTED_VALUE"""),1.66)</f>
        <v>1.66</v>
      </c>
      <c r="C321" s="2">
        <f>IFERROR(__xludf.DUMMYFUNCTION("""COMPUTED_VALUE"""),1.67)</f>
        <v>1.67</v>
      </c>
      <c r="D321" s="2">
        <f>IFERROR(__xludf.DUMMYFUNCTION("""COMPUTED_VALUE"""),1.55)</f>
        <v>1.55</v>
      </c>
      <c r="E321" s="2">
        <f>IFERROR(__xludf.DUMMYFUNCTION("""COMPUTED_VALUE"""),1.58)</f>
        <v>1.58</v>
      </c>
      <c r="F321" s="2">
        <f>IFERROR(__xludf.DUMMYFUNCTION("""COMPUTED_VALUE"""),1023130.0)</f>
        <v>1023130</v>
      </c>
    </row>
    <row r="322">
      <c r="A322" s="3">
        <f>IFERROR(__xludf.DUMMYFUNCTION("""COMPUTED_VALUE"""),40820.666666666664)</f>
        <v>40820.66667</v>
      </c>
      <c r="B322" s="2">
        <f>IFERROR(__xludf.DUMMYFUNCTION("""COMPUTED_VALUE"""),1.55)</f>
        <v>1.55</v>
      </c>
      <c r="C322" s="2">
        <f>IFERROR(__xludf.DUMMYFUNCTION("""COMPUTED_VALUE"""),1.62)</f>
        <v>1.62</v>
      </c>
      <c r="D322" s="2">
        <f>IFERROR(__xludf.DUMMYFUNCTION("""COMPUTED_VALUE"""),1.53)</f>
        <v>1.53</v>
      </c>
      <c r="E322" s="2">
        <f>IFERROR(__xludf.DUMMYFUNCTION("""COMPUTED_VALUE"""),1.58)</f>
        <v>1.58</v>
      </c>
      <c r="F322" s="2">
        <f>IFERROR(__xludf.DUMMYFUNCTION("""COMPUTED_VALUE"""),1200214.0)</f>
        <v>1200214</v>
      </c>
    </row>
    <row r="323">
      <c r="A323" s="3">
        <f>IFERROR(__xludf.DUMMYFUNCTION("""COMPUTED_VALUE"""),40821.666666666664)</f>
        <v>40821.66667</v>
      </c>
      <c r="B323" s="2">
        <f>IFERROR(__xludf.DUMMYFUNCTION("""COMPUTED_VALUE"""),1.6)</f>
        <v>1.6</v>
      </c>
      <c r="C323" s="2">
        <f>IFERROR(__xludf.DUMMYFUNCTION("""COMPUTED_VALUE"""),1.72)</f>
        <v>1.72</v>
      </c>
      <c r="D323" s="2">
        <f>IFERROR(__xludf.DUMMYFUNCTION("""COMPUTED_VALUE"""),1.56)</f>
        <v>1.56</v>
      </c>
      <c r="E323" s="2">
        <f>IFERROR(__xludf.DUMMYFUNCTION("""COMPUTED_VALUE"""),1.69)</f>
        <v>1.69</v>
      </c>
      <c r="F323" s="2">
        <f>IFERROR(__xludf.DUMMYFUNCTION("""COMPUTED_VALUE"""),1229414.0)</f>
        <v>1229414</v>
      </c>
    </row>
    <row r="324">
      <c r="A324" s="3">
        <f>IFERROR(__xludf.DUMMYFUNCTION("""COMPUTED_VALUE"""),40822.666666666664)</f>
        <v>40822.66667</v>
      </c>
      <c r="B324" s="2">
        <f>IFERROR(__xludf.DUMMYFUNCTION("""COMPUTED_VALUE"""),1.69)</f>
        <v>1.69</v>
      </c>
      <c r="C324" s="2">
        <f>IFERROR(__xludf.DUMMYFUNCTION("""COMPUTED_VALUE"""),1.84)</f>
        <v>1.84</v>
      </c>
      <c r="D324" s="2">
        <f>IFERROR(__xludf.DUMMYFUNCTION("""COMPUTED_VALUE"""),1.67)</f>
        <v>1.67</v>
      </c>
      <c r="E324" s="2">
        <f>IFERROR(__xludf.DUMMYFUNCTION("""COMPUTED_VALUE"""),1.8)</f>
        <v>1.8</v>
      </c>
      <c r="F324" s="2">
        <f>IFERROR(__xludf.DUMMYFUNCTION("""COMPUTED_VALUE"""),1769026.0)</f>
        <v>1769026</v>
      </c>
    </row>
    <row r="325">
      <c r="A325" s="3">
        <f>IFERROR(__xludf.DUMMYFUNCTION("""COMPUTED_VALUE"""),40823.666666666664)</f>
        <v>40823.66667</v>
      </c>
      <c r="B325" s="2">
        <f>IFERROR(__xludf.DUMMYFUNCTION("""COMPUTED_VALUE"""),1.8)</f>
        <v>1.8</v>
      </c>
      <c r="C325" s="2">
        <f>IFERROR(__xludf.DUMMYFUNCTION("""COMPUTED_VALUE"""),1.84)</f>
        <v>1.84</v>
      </c>
      <c r="D325" s="2">
        <f>IFERROR(__xludf.DUMMYFUNCTION("""COMPUTED_VALUE"""),1.74)</f>
        <v>1.74</v>
      </c>
      <c r="E325" s="2">
        <f>IFERROR(__xludf.DUMMYFUNCTION("""COMPUTED_VALUE"""),1.8)</f>
        <v>1.8</v>
      </c>
      <c r="F325" s="2">
        <f>IFERROR(__xludf.DUMMYFUNCTION("""COMPUTED_VALUE"""),1311548.0)</f>
        <v>1311548</v>
      </c>
    </row>
    <row r="326">
      <c r="A326" s="3">
        <f>IFERROR(__xludf.DUMMYFUNCTION("""COMPUTED_VALUE"""),40826.666666666664)</f>
        <v>40826.66667</v>
      </c>
      <c r="B326" s="2">
        <f>IFERROR(__xludf.DUMMYFUNCTION("""COMPUTED_VALUE"""),1.82)</f>
        <v>1.82</v>
      </c>
      <c r="C326" s="2">
        <f>IFERROR(__xludf.DUMMYFUNCTION("""COMPUTED_VALUE"""),1.88)</f>
        <v>1.88</v>
      </c>
      <c r="D326" s="2">
        <f>IFERROR(__xludf.DUMMYFUNCTION("""COMPUTED_VALUE"""),1.8)</f>
        <v>1.8</v>
      </c>
      <c r="E326" s="2">
        <f>IFERROR(__xludf.DUMMYFUNCTION("""COMPUTED_VALUE"""),1.86)</f>
        <v>1.86</v>
      </c>
      <c r="F326" s="2">
        <f>IFERROR(__xludf.DUMMYFUNCTION("""COMPUTED_VALUE"""),923416.0)</f>
        <v>923416</v>
      </c>
    </row>
    <row r="327">
      <c r="A327" s="3">
        <f>IFERROR(__xludf.DUMMYFUNCTION("""COMPUTED_VALUE"""),40827.666666666664)</f>
        <v>40827.66667</v>
      </c>
      <c r="B327" s="2">
        <f>IFERROR(__xludf.DUMMYFUNCTION("""COMPUTED_VALUE"""),1.83)</f>
        <v>1.83</v>
      </c>
      <c r="C327" s="2">
        <f>IFERROR(__xludf.DUMMYFUNCTION("""COMPUTED_VALUE"""),1.85)</f>
        <v>1.85</v>
      </c>
      <c r="D327" s="2">
        <f>IFERROR(__xludf.DUMMYFUNCTION("""COMPUTED_VALUE"""),1.81)</f>
        <v>1.81</v>
      </c>
      <c r="E327" s="2">
        <f>IFERROR(__xludf.DUMMYFUNCTION("""COMPUTED_VALUE"""),1.84)</f>
        <v>1.84</v>
      </c>
      <c r="F327" s="2">
        <f>IFERROR(__xludf.DUMMYFUNCTION("""COMPUTED_VALUE"""),576003.0)</f>
        <v>576003</v>
      </c>
    </row>
    <row r="328">
      <c r="A328" s="3">
        <f>IFERROR(__xludf.DUMMYFUNCTION("""COMPUTED_VALUE"""),40828.666666666664)</f>
        <v>40828.66667</v>
      </c>
      <c r="B328" s="2">
        <f>IFERROR(__xludf.DUMMYFUNCTION("""COMPUTED_VALUE"""),1.82)</f>
        <v>1.82</v>
      </c>
      <c r="C328" s="2">
        <f>IFERROR(__xludf.DUMMYFUNCTION("""COMPUTED_VALUE"""),1.87)</f>
        <v>1.87</v>
      </c>
      <c r="D328" s="2">
        <f>IFERROR(__xludf.DUMMYFUNCTION("""COMPUTED_VALUE"""),1.81)</f>
        <v>1.81</v>
      </c>
      <c r="E328" s="2">
        <f>IFERROR(__xludf.DUMMYFUNCTION("""COMPUTED_VALUE"""),1.85)</f>
        <v>1.85</v>
      </c>
      <c r="F328" s="2">
        <f>IFERROR(__xludf.DUMMYFUNCTION("""COMPUTED_VALUE"""),1123364.0)</f>
        <v>1123364</v>
      </c>
    </row>
    <row r="329">
      <c r="A329" s="3">
        <f>IFERROR(__xludf.DUMMYFUNCTION("""COMPUTED_VALUE"""),40829.666666666664)</f>
        <v>40829.66667</v>
      </c>
      <c r="B329" s="2">
        <f>IFERROR(__xludf.DUMMYFUNCTION("""COMPUTED_VALUE"""),1.84)</f>
        <v>1.84</v>
      </c>
      <c r="C329" s="2">
        <f>IFERROR(__xludf.DUMMYFUNCTION("""COMPUTED_VALUE"""),1.9)</f>
        <v>1.9</v>
      </c>
      <c r="D329" s="2">
        <f>IFERROR(__xludf.DUMMYFUNCTION("""COMPUTED_VALUE"""),1.83)</f>
        <v>1.83</v>
      </c>
      <c r="E329" s="2">
        <f>IFERROR(__xludf.DUMMYFUNCTION("""COMPUTED_VALUE"""),1.86)</f>
        <v>1.86</v>
      </c>
      <c r="F329" s="2">
        <f>IFERROR(__xludf.DUMMYFUNCTION("""COMPUTED_VALUE"""),1043813.0)</f>
        <v>1043813</v>
      </c>
    </row>
    <row r="330">
      <c r="A330" s="3">
        <f>IFERROR(__xludf.DUMMYFUNCTION("""COMPUTED_VALUE"""),40830.666666666664)</f>
        <v>40830.66667</v>
      </c>
      <c r="B330" s="2">
        <f>IFERROR(__xludf.DUMMYFUNCTION("""COMPUTED_VALUE"""),1.87)</f>
        <v>1.87</v>
      </c>
      <c r="C330" s="2">
        <f>IFERROR(__xludf.DUMMYFUNCTION("""COMPUTED_VALUE"""),1.9)</f>
        <v>1.9</v>
      </c>
      <c r="D330" s="2">
        <f>IFERROR(__xludf.DUMMYFUNCTION("""COMPUTED_VALUE"""),1.82)</f>
        <v>1.82</v>
      </c>
      <c r="E330" s="2">
        <f>IFERROR(__xludf.DUMMYFUNCTION("""COMPUTED_VALUE"""),1.87)</f>
        <v>1.87</v>
      </c>
      <c r="F330" s="2">
        <f>IFERROR(__xludf.DUMMYFUNCTION("""COMPUTED_VALUE"""),1400469.0)</f>
        <v>1400469</v>
      </c>
    </row>
    <row r="331">
      <c r="A331" s="3">
        <f>IFERROR(__xludf.DUMMYFUNCTION("""COMPUTED_VALUE"""),40833.666666666664)</f>
        <v>40833.66667</v>
      </c>
      <c r="B331" s="2">
        <f>IFERROR(__xludf.DUMMYFUNCTION("""COMPUTED_VALUE"""),1.86)</f>
        <v>1.86</v>
      </c>
      <c r="C331" s="2">
        <f>IFERROR(__xludf.DUMMYFUNCTION("""COMPUTED_VALUE"""),1.87)</f>
        <v>1.87</v>
      </c>
      <c r="D331" s="2">
        <f>IFERROR(__xludf.DUMMYFUNCTION("""COMPUTED_VALUE"""),1.82)</f>
        <v>1.82</v>
      </c>
      <c r="E331" s="2">
        <f>IFERROR(__xludf.DUMMYFUNCTION("""COMPUTED_VALUE"""),1.83)</f>
        <v>1.83</v>
      </c>
      <c r="F331" s="2">
        <f>IFERROR(__xludf.DUMMYFUNCTION("""COMPUTED_VALUE"""),754439.0)</f>
        <v>754439</v>
      </c>
    </row>
    <row r="332">
      <c r="A332" s="3">
        <f>IFERROR(__xludf.DUMMYFUNCTION("""COMPUTED_VALUE"""),40834.666666666664)</f>
        <v>40834.66667</v>
      </c>
      <c r="B332" s="2">
        <f>IFERROR(__xludf.DUMMYFUNCTION("""COMPUTED_VALUE"""),1.82)</f>
        <v>1.82</v>
      </c>
      <c r="C332" s="2">
        <f>IFERROR(__xludf.DUMMYFUNCTION("""COMPUTED_VALUE"""),1.9)</f>
        <v>1.9</v>
      </c>
      <c r="D332" s="2">
        <f>IFERROR(__xludf.DUMMYFUNCTION("""COMPUTED_VALUE"""),1.78)</f>
        <v>1.78</v>
      </c>
      <c r="E332" s="2">
        <f>IFERROR(__xludf.DUMMYFUNCTION("""COMPUTED_VALUE"""),1.89)</f>
        <v>1.89</v>
      </c>
      <c r="F332" s="2">
        <f>IFERROR(__xludf.DUMMYFUNCTION("""COMPUTED_VALUE"""),999690.0)</f>
        <v>999690</v>
      </c>
    </row>
    <row r="333">
      <c r="A333" s="3">
        <f>IFERROR(__xludf.DUMMYFUNCTION("""COMPUTED_VALUE"""),40835.666666666664)</f>
        <v>40835.66667</v>
      </c>
      <c r="B333" s="2">
        <f>IFERROR(__xludf.DUMMYFUNCTION("""COMPUTED_VALUE"""),1.87)</f>
        <v>1.87</v>
      </c>
      <c r="C333" s="2">
        <f>IFERROR(__xludf.DUMMYFUNCTION("""COMPUTED_VALUE"""),1.87)</f>
        <v>1.87</v>
      </c>
      <c r="D333" s="2">
        <f>IFERROR(__xludf.DUMMYFUNCTION("""COMPUTED_VALUE"""),1.82)</f>
        <v>1.82</v>
      </c>
      <c r="E333" s="2">
        <f>IFERROR(__xludf.DUMMYFUNCTION("""COMPUTED_VALUE"""),1.84)</f>
        <v>1.84</v>
      </c>
      <c r="F333" s="2">
        <f>IFERROR(__xludf.DUMMYFUNCTION("""COMPUTED_VALUE"""),792850.0)</f>
        <v>792850</v>
      </c>
    </row>
    <row r="334">
      <c r="A334" s="3">
        <f>IFERROR(__xludf.DUMMYFUNCTION("""COMPUTED_VALUE"""),40836.666666666664)</f>
        <v>40836.66667</v>
      </c>
      <c r="B334" s="2">
        <f>IFERROR(__xludf.DUMMYFUNCTION("""COMPUTED_VALUE"""),1.83)</f>
        <v>1.83</v>
      </c>
      <c r="C334" s="2">
        <f>IFERROR(__xludf.DUMMYFUNCTION("""COMPUTED_VALUE"""),1.83)</f>
        <v>1.83</v>
      </c>
      <c r="D334" s="2">
        <f>IFERROR(__xludf.DUMMYFUNCTION("""COMPUTED_VALUE"""),1.8)</f>
        <v>1.8</v>
      </c>
      <c r="E334" s="2">
        <f>IFERROR(__xludf.DUMMYFUNCTION("""COMPUTED_VALUE"""),1.82)</f>
        <v>1.82</v>
      </c>
      <c r="F334" s="2">
        <f>IFERROR(__xludf.DUMMYFUNCTION("""COMPUTED_VALUE"""),999647.0)</f>
        <v>999647</v>
      </c>
    </row>
    <row r="335">
      <c r="A335" s="3">
        <f>IFERROR(__xludf.DUMMYFUNCTION("""COMPUTED_VALUE"""),40837.666666666664)</f>
        <v>40837.66667</v>
      </c>
      <c r="B335" s="2">
        <f>IFERROR(__xludf.DUMMYFUNCTION("""COMPUTED_VALUE"""),1.83)</f>
        <v>1.83</v>
      </c>
      <c r="C335" s="2">
        <f>IFERROR(__xludf.DUMMYFUNCTION("""COMPUTED_VALUE"""),1.89)</f>
        <v>1.89</v>
      </c>
      <c r="D335" s="2">
        <f>IFERROR(__xludf.DUMMYFUNCTION("""COMPUTED_VALUE"""),1.8)</f>
        <v>1.8</v>
      </c>
      <c r="E335" s="2">
        <f>IFERROR(__xludf.DUMMYFUNCTION("""COMPUTED_VALUE"""),1.87)</f>
        <v>1.87</v>
      </c>
      <c r="F335" s="2">
        <f>IFERROR(__xludf.DUMMYFUNCTION("""COMPUTED_VALUE"""),1142550.0)</f>
        <v>1142550</v>
      </c>
    </row>
    <row r="336">
      <c r="A336" s="3">
        <f>IFERROR(__xludf.DUMMYFUNCTION("""COMPUTED_VALUE"""),40840.666666666664)</f>
        <v>40840.66667</v>
      </c>
      <c r="B336" s="2">
        <f>IFERROR(__xludf.DUMMYFUNCTION("""COMPUTED_VALUE"""),1.86)</f>
        <v>1.86</v>
      </c>
      <c r="C336" s="2">
        <f>IFERROR(__xludf.DUMMYFUNCTION("""COMPUTED_VALUE"""),1.93)</f>
        <v>1.93</v>
      </c>
      <c r="D336" s="2">
        <f>IFERROR(__xludf.DUMMYFUNCTION("""COMPUTED_VALUE"""),1.85)</f>
        <v>1.85</v>
      </c>
      <c r="E336" s="2">
        <f>IFERROR(__xludf.DUMMYFUNCTION("""COMPUTED_VALUE"""),1.9)</f>
        <v>1.9</v>
      </c>
      <c r="F336" s="2">
        <f>IFERROR(__xludf.DUMMYFUNCTION("""COMPUTED_VALUE"""),940550.0)</f>
        <v>940550</v>
      </c>
    </row>
    <row r="337">
      <c r="A337" s="3">
        <f>IFERROR(__xludf.DUMMYFUNCTION("""COMPUTED_VALUE"""),40841.666666666664)</f>
        <v>40841.66667</v>
      </c>
      <c r="B337" s="2">
        <f>IFERROR(__xludf.DUMMYFUNCTION("""COMPUTED_VALUE"""),1.88)</f>
        <v>1.88</v>
      </c>
      <c r="C337" s="2">
        <f>IFERROR(__xludf.DUMMYFUNCTION("""COMPUTED_VALUE"""),1.92)</f>
        <v>1.92</v>
      </c>
      <c r="D337" s="2">
        <f>IFERROR(__xludf.DUMMYFUNCTION("""COMPUTED_VALUE"""),1.85)</f>
        <v>1.85</v>
      </c>
      <c r="E337" s="2">
        <f>IFERROR(__xludf.DUMMYFUNCTION("""COMPUTED_VALUE"""),1.88)</f>
        <v>1.88</v>
      </c>
      <c r="F337" s="2">
        <f>IFERROR(__xludf.DUMMYFUNCTION("""COMPUTED_VALUE"""),654371.0)</f>
        <v>654371</v>
      </c>
    </row>
    <row r="338">
      <c r="A338" s="3">
        <f>IFERROR(__xludf.DUMMYFUNCTION("""COMPUTED_VALUE"""),40842.666666666664)</f>
        <v>40842.66667</v>
      </c>
      <c r="B338" s="2">
        <f>IFERROR(__xludf.DUMMYFUNCTION("""COMPUTED_VALUE"""),1.88)</f>
        <v>1.88</v>
      </c>
      <c r="C338" s="2">
        <f>IFERROR(__xludf.DUMMYFUNCTION("""COMPUTED_VALUE"""),1.89)</f>
        <v>1.89</v>
      </c>
      <c r="D338" s="2">
        <f>IFERROR(__xludf.DUMMYFUNCTION("""COMPUTED_VALUE"""),1.83)</f>
        <v>1.83</v>
      </c>
      <c r="E338" s="2">
        <f>IFERROR(__xludf.DUMMYFUNCTION("""COMPUTED_VALUE"""),1.87)</f>
        <v>1.87</v>
      </c>
      <c r="F338" s="2">
        <f>IFERROR(__xludf.DUMMYFUNCTION("""COMPUTED_VALUE"""),510479.0)</f>
        <v>510479</v>
      </c>
    </row>
    <row r="339">
      <c r="A339" s="3">
        <f>IFERROR(__xludf.DUMMYFUNCTION("""COMPUTED_VALUE"""),40843.666666666664)</f>
        <v>40843.66667</v>
      </c>
      <c r="B339" s="2">
        <f>IFERROR(__xludf.DUMMYFUNCTION("""COMPUTED_VALUE"""),1.89)</f>
        <v>1.89</v>
      </c>
      <c r="C339" s="2">
        <f>IFERROR(__xludf.DUMMYFUNCTION("""COMPUTED_VALUE"""),1.93)</f>
        <v>1.93</v>
      </c>
      <c r="D339" s="2">
        <f>IFERROR(__xludf.DUMMYFUNCTION("""COMPUTED_VALUE"""),1.87)</f>
        <v>1.87</v>
      </c>
      <c r="E339" s="2">
        <f>IFERROR(__xludf.DUMMYFUNCTION("""COMPUTED_VALUE"""),1.92)</f>
        <v>1.92</v>
      </c>
      <c r="F339" s="2">
        <f>IFERROR(__xludf.DUMMYFUNCTION("""COMPUTED_VALUE"""),869335.0)</f>
        <v>869335</v>
      </c>
    </row>
    <row r="340">
      <c r="A340" s="3">
        <f>IFERROR(__xludf.DUMMYFUNCTION("""COMPUTED_VALUE"""),40844.666666666664)</f>
        <v>40844.66667</v>
      </c>
      <c r="B340" s="2">
        <f>IFERROR(__xludf.DUMMYFUNCTION("""COMPUTED_VALUE"""),1.9)</f>
        <v>1.9</v>
      </c>
      <c r="C340" s="2">
        <f>IFERROR(__xludf.DUMMYFUNCTION("""COMPUTED_VALUE"""),2.0)</f>
        <v>2</v>
      </c>
      <c r="D340" s="2">
        <f>IFERROR(__xludf.DUMMYFUNCTION("""COMPUTED_VALUE"""),1.87)</f>
        <v>1.87</v>
      </c>
      <c r="E340" s="2">
        <f>IFERROR(__xludf.DUMMYFUNCTION("""COMPUTED_VALUE"""),1.99)</f>
        <v>1.99</v>
      </c>
      <c r="F340" s="2">
        <f>IFERROR(__xludf.DUMMYFUNCTION("""COMPUTED_VALUE"""),1264993.0)</f>
        <v>1264993</v>
      </c>
    </row>
    <row r="341">
      <c r="A341" s="3">
        <f>IFERROR(__xludf.DUMMYFUNCTION("""COMPUTED_VALUE"""),40847.666666666664)</f>
        <v>40847.66667</v>
      </c>
      <c r="B341" s="2">
        <f>IFERROR(__xludf.DUMMYFUNCTION("""COMPUTED_VALUE"""),1.97)</f>
        <v>1.97</v>
      </c>
      <c r="C341" s="2">
        <f>IFERROR(__xludf.DUMMYFUNCTION("""COMPUTED_VALUE"""),1.97)</f>
        <v>1.97</v>
      </c>
      <c r="D341" s="2">
        <f>IFERROR(__xludf.DUMMYFUNCTION("""COMPUTED_VALUE"""),1.92)</f>
        <v>1.92</v>
      </c>
      <c r="E341" s="2">
        <f>IFERROR(__xludf.DUMMYFUNCTION("""COMPUTED_VALUE"""),1.96)</f>
        <v>1.96</v>
      </c>
      <c r="F341" s="2">
        <f>IFERROR(__xludf.DUMMYFUNCTION("""COMPUTED_VALUE"""),1133969.0)</f>
        <v>1133969</v>
      </c>
    </row>
    <row r="342">
      <c r="A342" s="3">
        <f>IFERROR(__xludf.DUMMYFUNCTION("""COMPUTED_VALUE"""),40848.666666666664)</f>
        <v>40848.66667</v>
      </c>
      <c r="B342" s="2">
        <f>IFERROR(__xludf.DUMMYFUNCTION("""COMPUTED_VALUE"""),1.89)</f>
        <v>1.89</v>
      </c>
      <c r="C342" s="2">
        <f>IFERROR(__xludf.DUMMYFUNCTION("""COMPUTED_VALUE"""),1.93)</f>
        <v>1.93</v>
      </c>
      <c r="D342" s="2">
        <f>IFERROR(__xludf.DUMMYFUNCTION("""COMPUTED_VALUE"""),1.87)</f>
        <v>1.87</v>
      </c>
      <c r="E342" s="2">
        <f>IFERROR(__xludf.DUMMYFUNCTION("""COMPUTED_VALUE"""),1.93)</f>
        <v>1.93</v>
      </c>
      <c r="F342" s="2">
        <f>IFERROR(__xludf.DUMMYFUNCTION("""COMPUTED_VALUE"""),635775.0)</f>
        <v>635775</v>
      </c>
    </row>
    <row r="343">
      <c r="A343" s="3">
        <f>IFERROR(__xludf.DUMMYFUNCTION("""COMPUTED_VALUE"""),40849.666666666664)</f>
        <v>40849.66667</v>
      </c>
      <c r="B343" s="2">
        <f>IFERROR(__xludf.DUMMYFUNCTION("""COMPUTED_VALUE"""),1.93)</f>
        <v>1.93</v>
      </c>
      <c r="C343" s="2">
        <f>IFERROR(__xludf.DUMMYFUNCTION("""COMPUTED_VALUE"""),1.95)</f>
        <v>1.95</v>
      </c>
      <c r="D343" s="2">
        <f>IFERROR(__xludf.DUMMYFUNCTION("""COMPUTED_VALUE"""),1.88)</f>
        <v>1.88</v>
      </c>
      <c r="E343" s="2">
        <f>IFERROR(__xludf.DUMMYFUNCTION("""COMPUTED_VALUE"""),1.91)</f>
        <v>1.91</v>
      </c>
      <c r="F343" s="2">
        <f>IFERROR(__xludf.DUMMYFUNCTION("""COMPUTED_VALUE"""),875521.0)</f>
        <v>875521</v>
      </c>
    </row>
    <row r="344">
      <c r="A344" s="3">
        <f>IFERROR(__xludf.DUMMYFUNCTION("""COMPUTED_VALUE"""),40850.666666666664)</f>
        <v>40850.66667</v>
      </c>
      <c r="B344" s="2">
        <f>IFERROR(__xludf.DUMMYFUNCTION("""COMPUTED_VALUE"""),2.0)</f>
        <v>2</v>
      </c>
      <c r="C344" s="2">
        <f>IFERROR(__xludf.DUMMYFUNCTION("""COMPUTED_VALUE"""),2.17)</f>
        <v>2.17</v>
      </c>
      <c r="D344" s="2">
        <f>IFERROR(__xludf.DUMMYFUNCTION("""COMPUTED_VALUE"""),1.97)</f>
        <v>1.97</v>
      </c>
      <c r="E344" s="2">
        <f>IFERROR(__xludf.DUMMYFUNCTION("""COMPUTED_VALUE"""),2.16)</f>
        <v>2.16</v>
      </c>
      <c r="F344" s="2">
        <f>IFERROR(__xludf.DUMMYFUNCTION("""COMPUTED_VALUE"""),2510603.0)</f>
        <v>2510603</v>
      </c>
    </row>
    <row r="345">
      <c r="A345" s="3">
        <f>IFERROR(__xludf.DUMMYFUNCTION("""COMPUTED_VALUE"""),40851.666666666664)</f>
        <v>40851.66667</v>
      </c>
      <c r="B345" s="2">
        <f>IFERROR(__xludf.DUMMYFUNCTION("""COMPUTED_VALUE"""),2.1)</f>
        <v>2.1</v>
      </c>
      <c r="C345" s="2">
        <f>IFERROR(__xludf.DUMMYFUNCTION("""COMPUTED_VALUE"""),2.16)</f>
        <v>2.16</v>
      </c>
      <c r="D345" s="2">
        <f>IFERROR(__xludf.DUMMYFUNCTION("""COMPUTED_VALUE"""),2.03)</f>
        <v>2.03</v>
      </c>
      <c r="E345" s="2">
        <f>IFERROR(__xludf.DUMMYFUNCTION("""COMPUTED_VALUE"""),2.15)</f>
        <v>2.15</v>
      </c>
      <c r="F345" s="2">
        <f>IFERROR(__xludf.DUMMYFUNCTION("""COMPUTED_VALUE"""),3033107.0)</f>
        <v>3033107</v>
      </c>
    </row>
    <row r="346">
      <c r="A346" s="3">
        <f>IFERROR(__xludf.DUMMYFUNCTION("""COMPUTED_VALUE"""),40854.666666666664)</f>
        <v>40854.66667</v>
      </c>
      <c r="B346" s="2">
        <f>IFERROR(__xludf.DUMMYFUNCTION("""COMPUTED_VALUE"""),2.11)</f>
        <v>2.11</v>
      </c>
      <c r="C346" s="2">
        <f>IFERROR(__xludf.DUMMYFUNCTION("""COMPUTED_VALUE"""),2.13)</f>
        <v>2.13</v>
      </c>
      <c r="D346" s="2">
        <f>IFERROR(__xludf.DUMMYFUNCTION("""COMPUTED_VALUE"""),2.05)</f>
        <v>2.05</v>
      </c>
      <c r="E346" s="2">
        <f>IFERROR(__xludf.DUMMYFUNCTION("""COMPUTED_VALUE"""),2.08)</f>
        <v>2.08</v>
      </c>
      <c r="F346" s="2">
        <f>IFERROR(__xludf.DUMMYFUNCTION("""COMPUTED_VALUE"""),1266269.0)</f>
        <v>1266269</v>
      </c>
    </row>
    <row r="347">
      <c r="A347" s="3">
        <f>IFERROR(__xludf.DUMMYFUNCTION("""COMPUTED_VALUE"""),40855.666666666664)</f>
        <v>40855.66667</v>
      </c>
      <c r="B347" s="2">
        <f>IFERROR(__xludf.DUMMYFUNCTION("""COMPUTED_VALUE"""),2.09)</f>
        <v>2.09</v>
      </c>
      <c r="C347" s="2">
        <f>IFERROR(__xludf.DUMMYFUNCTION("""COMPUTED_VALUE"""),2.13)</f>
        <v>2.13</v>
      </c>
      <c r="D347" s="2">
        <f>IFERROR(__xludf.DUMMYFUNCTION("""COMPUTED_VALUE"""),2.05)</f>
        <v>2.05</v>
      </c>
      <c r="E347" s="2">
        <f>IFERROR(__xludf.DUMMYFUNCTION("""COMPUTED_VALUE"""),2.12)</f>
        <v>2.12</v>
      </c>
      <c r="F347" s="2">
        <f>IFERROR(__xludf.DUMMYFUNCTION("""COMPUTED_VALUE"""),1167830.0)</f>
        <v>1167830</v>
      </c>
    </row>
    <row r="348">
      <c r="A348" s="3">
        <f>IFERROR(__xludf.DUMMYFUNCTION("""COMPUTED_VALUE"""),40856.666666666664)</f>
        <v>40856.66667</v>
      </c>
      <c r="B348" s="2">
        <f>IFERROR(__xludf.DUMMYFUNCTION("""COMPUTED_VALUE"""),2.06)</f>
        <v>2.06</v>
      </c>
      <c r="C348" s="2">
        <f>IFERROR(__xludf.DUMMYFUNCTION("""COMPUTED_VALUE"""),2.1)</f>
        <v>2.1</v>
      </c>
      <c r="D348" s="2">
        <f>IFERROR(__xludf.DUMMYFUNCTION("""COMPUTED_VALUE"""),2.02)</f>
        <v>2.02</v>
      </c>
      <c r="E348" s="2">
        <f>IFERROR(__xludf.DUMMYFUNCTION("""COMPUTED_VALUE"""),2.06)</f>
        <v>2.06</v>
      </c>
      <c r="F348" s="2">
        <f>IFERROR(__xludf.DUMMYFUNCTION("""COMPUTED_VALUE"""),953656.0)</f>
        <v>953656</v>
      </c>
    </row>
    <row r="349">
      <c r="A349" s="3">
        <f>IFERROR(__xludf.DUMMYFUNCTION("""COMPUTED_VALUE"""),40857.666666666664)</f>
        <v>40857.66667</v>
      </c>
      <c r="B349" s="2">
        <f>IFERROR(__xludf.DUMMYFUNCTION("""COMPUTED_VALUE"""),2.06)</f>
        <v>2.06</v>
      </c>
      <c r="C349" s="2">
        <f>IFERROR(__xludf.DUMMYFUNCTION("""COMPUTED_VALUE"""),2.1)</f>
        <v>2.1</v>
      </c>
      <c r="D349" s="2">
        <f>IFERROR(__xludf.DUMMYFUNCTION("""COMPUTED_VALUE"""),2.04)</f>
        <v>2.04</v>
      </c>
      <c r="E349" s="2">
        <f>IFERROR(__xludf.DUMMYFUNCTION("""COMPUTED_VALUE"""),2.09)</f>
        <v>2.09</v>
      </c>
      <c r="F349" s="2">
        <f>IFERROR(__xludf.DUMMYFUNCTION("""COMPUTED_VALUE"""),747273.0)</f>
        <v>747273</v>
      </c>
    </row>
    <row r="350">
      <c r="A350" s="3">
        <f>IFERROR(__xludf.DUMMYFUNCTION("""COMPUTED_VALUE"""),40858.666666666664)</f>
        <v>40858.66667</v>
      </c>
      <c r="B350" s="2">
        <f>IFERROR(__xludf.DUMMYFUNCTION("""COMPUTED_VALUE"""),2.13)</f>
        <v>2.13</v>
      </c>
      <c r="C350" s="2">
        <f>IFERROR(__xludf.DUMMYFUNCTION("""COMPUTED_VALUE"""),2.3)</f>
        <v>2.3</v>
      </c>
      <c r="D350" s="2">
        <f>IFERROR(__xludf.DUMMYFUNCTION("""COMPUTED_VALUE"""),2.04)</f>
        <v>2.04</v>
      </c>
      <c r="E350" s="2">
        <f>IFERROR(__xludf.DUMMYFUNCTION("""COMPUTED_VALUE"""),2.24)</f>
        <v>2.24</v>
      </c>
      <c r="F350" s="2">
        <f>IFERROR(__xludf.DUMMYFUNCTION("""COMPUTED_VALUE"""),3875123.0)</f>
        <v>3875123</v>
      </c>
    </row>
    <row r="351">
      <c r="A351" s="3">
        <f>IFERROR(__xludf.DUMMYFUNCTION("""COMPUTED_VALUE"""),40861.666666666664)</f>
        <v>40861.66667</v>
      </c>
      <c r="B351" s="2">
        <f>IFERROR(__xludf.DUMMYFUNCTION("""COMPUTED_VALUE"""),2.2)</f>
        <v>2.2</v>
      </c>
      <c r="C351" s="2">
        <f>IFERROR(__xludf.DUMMYFUNCTION("""COMPUTED_VALUE"""),2.24)</f>
        <v>2.24</v>
      </c>
      <c r="D351" s="2">
        <f>IFERROR(__xludf.DUMMYFUNCTION("""COMPUTED_VALUE"""),2.17)</f>
        <v>2.17</v>
      </c>
      <c r="E351" s="2">
        <f>IFERROR(__xludf.DUMMYFUNCTION("""COMPUTED_VALUE"""),2.21)</f>
        <v>2.21</v>
      </c>
      <c r="F351" s="2">
        <f>IFERROR(__xludf.DUMMYFUNCTION("""COMPUTED_VALUE"""),1325656.0)</f>
        <v>1325656</v>
      </c>
    </row>
    <row r="352">
      <c r="A352" s="3">
        <f>IFERROR(__xludf.DUMMYFUNCTION("""COMPUTED_VALUE"""),40862.666666666664)</f>
        <v>40862.66667</v>
      </c>
      <c r="B352" s="2">
        <f>IFERROR(__xludf.DUMMYFUNCTION("""COMPUTED_VALUE"""),2.19)</f>
        <v>2.19</v>
      </c>
      <c r="C352" s="2">
        <f>IFERROR(__xludf.DUMMYFUNCTION("""COMPUTED_VALUE"""),2.29)</f>
        <v>2.29</v>
      </c>
      <c r="D352" s="2">
        <f>IFERROR(__xludf.DUMMYFUNCTION("""COMPUTED_VALUE"""),2.18)</f>
        <v>2.18</v>
      </c>
      <c r="E352" s="2">
        <f>IFERROR(__xludf.DUMMYFUNCTION("""COMPUTED_VALUE"""),2.26)</f>
        <v>2.26</v>
      </c>
      <c r="F352" s="2">
        <f>IFERROR(__xludf.DUMMYFUNCTION("""COMPUTED_VALUE"""),890905.0)</f>
        <v>890905</v>
      </c>
    </row>
    <row r="353">
      <c r="A353" s="3">
        <f>IFERROR(__xludf.DUMMYFUNCTION("""COMPUTED_VALUE"""),40863.666666666664)</f>
        <v>40863.66667</v>
      </c>
      <c r="B353" s="2">
        <f>IFERROR(__xludf.DUMMYFUNCTION("""COMPUTED_VALUE"""),2.23)</f>
        <v>2.23</v>
      </c>
      <c r="C353" s="2">
        <f>IFERROR(__xludf.DUMMYFUNCTION("""COMPUTED_VALUE"""),2.33)</f>
        <v>2.33</v>
      </c>
      <c r="D353" s="2">
        <f>IFERROR(__xludf.DUMMYFUNCTION("""COMPUTED_VALUE"""),2.23)</f>
        <v>2.23</v>
      </c>
      <c r="E353" s="2">
        <f>IFERROR(__xludf.DUMMYFUNCTION("""COMPUTED_VALUE"""),2.33)</f>
        <v>2.33</v>
      </c>
      <c r="F353" s="2">
        <f>IFERROR(__xludf.DUMMYFUNCTION("""COMPUTED_VALUE"""),1833136.0)</f>
        <v>1833136</v>
      </c>
    </row>
    <row r="354">
      <c r="A354" s="3">
        <f>IFERROR(__xludf.DUMMYFUNCTION("""COMPUTED_VALUE"""),40864.666666666664)</f>
        <v>40864.66667</v>
      </c>
      <c r="B354" s="2">
        <f>IFERROR(__xludf.DUMMYFUNCTION("""COMPUTED_VALUE"""),2.3)</f>
        <v>2.3</v>
      </c>
      <c r="C354" s="2">
        <f>IFERROR(__xludf.DUMMYFUNCTION("""COMPUTED_VALUE"""),2.33)</f>
        <v>2.33</v>
      </c>
      <c r="D354" s="2">
        <f>IFERROR(__xludf.DUMMYFUNCTION("""COMPUTED_VALUE"""),2.21)</f>
        <v>2.21</v>
      </c>
      <c r="E354" s="2">
        <f>IFERROR(__xludf.DUMMYFUNCTION("""COMPUTED_VALUE"""),2.25)</f>
        <v>2.25</v>
      </c>
      <c r="F354" s="2">
        <f>IFERROR(__xludf.DUMMYFUNCTION("""COMPUTED_VALUE"""),1349265.0)</f>
        <v>1349265</v>
      </c>
    </row>
    <row r="355">
      <c r="A355" s="3">
        <f>IFERROR(__xludf.DUMMYFUNCTION("""COMPUTED_VALUE"""),40865.666666666664)</f>
        <v>40865.66667</v>
      </c>
      <c r="B355" s="2">
        <f>IFERROR(__xludf.DUMMYFUNCTION("""COMPUTED_VALUE"""),2.24)</f>
        <v>2.24</v>
      </c>
      <c r="C355" s="2">
        <f>IFERROR(__xludf.DUMMYFUNCTION("""COMPUTED_VALUE"""),2.27)</f>
        <v>2.27</v>
      </c>
      <c r="D355" s="2">
        <f>IFERROR(__xludf.DUMMYFUNCTION("""COMPUTED_VALUE"""),2.17)</f>
        <v>2.17</v>
      </c>
      <c r="E355" s="2">
        <f>IFERROR(__xludf.DUMMYFUNCTION("""COMPUTED_VALUE"""),2.17)</f>
        <v>2.17</v>
      </c>
      <c r="F355" s="2">
        <f>IFERROR(__xludf.DUMMYFUNCTION("""COMPUTED_VALUE"""),902729.0)</f>
        <v>902729</v>
      </c>
    </row>
    <row r="356">
      <c r="A356" s="3">
        <f>IFERROR(__xludf.DUMMYFUNCTION("""COMPUTED_VALUE"""),40868.666666666664)</f>
        <v>40868.66667</v>
      </c>
      <c r="B356" s="2">
        <f>IFERROR(__xludf.DUMMYFUNCTION("""COMPUTED_VALUE"""),2.16)</f>
        <v>2.16</v>
      </c>
      <c r="C356" s="2">
        <f>IFERROR(__xludf.DUMMYFUNCTION("""COMPUTED_VALUE"""),2.16)</f>
        <v>2.16</v>
      </c>
      <c r="D356" s="2">
        <f>IFERROR(__xludf.DUMMYFUNCTION("""COMPUTED_VALUE"""),2.07)</f>
        <v>2.07</v>
      </c>
      <c r="E356" s="2">
        <f>IFERROR(__xludf.DUMMYFUNCTION("""COMPUTED_VALUE"""),2.12)</f>
        <v>2.12</v>
      </c>
      <c r="F356" s="2">
        <f>IFERROR(__xludf.DUMMYFUNCTION("""COMPUTED_VALUE"""),1031524.0)</f>
        <v>1031524</v>
      </c>
    </row>
    <row r="357">
      <c r="A357" s="3">
        <f>IFERROR(__xludf.DUMMYFUNCTION("""COMPUTED_VALUE"""),40869.666666666664)</f>
        <v>40869.66667</v>
      </c>
      <c r="B357" s="2">
        <f>IFERROR(__xludf.DUMMYFUNCTION("""COMPUTED_VALUE"""),2.12)</f>
        <v>2.12</v>
      </c>
      <c r="C357" s="2">
        <f>IFERROR(__xludf.DUMMYFUNCTION("""COMPUTED_VALUE"""),2.19)</f>
        <v>2.19</v>
      </c>
      <c r="D357" s="2">
        <f>IFERROR(__xludf.DUMMYFUNCTION("""COMPUTED_VALUE"""),2.07)</f>
        <v>2.07</v>
      </c>
      <c r="E357" s="2">
        <f>IFERROR(__xludf.DUMMYFUNCTION("""COMPUTED_VALUE"""),2.14)</f>
        <v>2.14</v>
      </c>
      <c r="F357" s="2">
        <f>IFERROR(__xludf.DUMMYFUNCTION("""COMPUTED_VALUE"""),732518.0)</f>
        <v>732518</v>
      </c>
    </row>
    <row r="358">
      <c r="A358" s="3">
        <f>IFERROR(__xludf.DUMMYFUNCTION("""COMPUTED_VALUE"""),40870.666666666664)</f>
        <v>40870.66667</v>
      </c>
      <c r="B358" s="2">
        <f>IFERROR(__xludf.DUMMYFUNCTION("""COMPUTED_VALUE"""),2.12)</f>
        <v>2.12</v>
      </c>
      <c r="C358" s="2">
        <f>IFERROR(__xludf.DUMMYFUNCTION("""COMPUTED_VALUE"""),2.14)</f>
        <v>2.14</v>
      </c>
      <c r="D358" s="2">
        <f>IFERROR(__xludf.DUMMYFUNCTION("""COMPUTED_VALUE"""),2.08)</f>
        <v>2.08</v>
      </c>
      <c r="E358" s="2">
        <f>IFERROR(__xludf.DUMMYFUNCTION("""COMPUTED_VALUE"""),2.1)</f>
        <v>2.1</v>
      </c>
      <c r="F358" s="2">
        <f>IFERROR(__xludf.DUMMYFUNCTION("""COMPUTED_VALUE"""),451813.0)</f>
        <v>451813</v>
      </c>
    </row>
    <row r="359">
      <c r="A359" s="3">
        <f>IFERROR(__xludf.DUMMYFUNCTION("""COMPUTED_VALUE"""),40872.666666666664)</f>
        <v>40872.66667</v>
      </c>
      <c r="B359" s="2">
        <f>IFERROR(__xludf.DUMMYFUNCTION("""COMPUTED_VALUE"""),2.1)</f>
        <v>2.1</v>
      </c>
      <c r="C359" s="2">
        <f>IFERROR(__xludf.DUMMYFUNCTION("""COMPUTED_VALUE"""),2.16)</f>
        <v>2.16</v>
      </c>
      <c r="D359" s="2">
        <f>IFERROR(__xludf.DUMMYFUNCTION("""COMPUTED_VALUE"""),2.07)</f>
        <v>2.07</v>
      </c>
      <c r="E359" s="2">
        <f>IFERROR(__xludf.DUMMYFUNCTION("""COMPUTED_VALUE"""),2.11)</f>
        <v>2.11</v>
      </c>
      <c r="F359" s="2">
        <f>IFERROR(__xludf.DUMMYFUNCTION("""COMPUTED_VALUE"""),239595.0)</f>
        <v>239595</v>
      </c>
    </row>
    <row r="360">
      <c r="A360" s="3">
        <f>IFERROR(__xludf.DUMMYFUNCTION("""COMPUTED_VALUE"""),40875.666666666664)</f>
        <v>40875.66667</v>
      </c>
      <c r="B360" s="2">
        <f>IFERROR(__xludf.DUMMYFUNCTION("""COMPUTED_VALUE"""),2.13)</f>
        <v>2.13</v>
      </c>
      <c r="C360" s="2">
        <f>IFERROR(__xludf.DUMMYFUNCTION("""COMPUTED_VALUE"""),2.22)</f>
        <v>2.22</v>
      </c>
      <c r="D360" s="2">
        <f>IFERROR(__xludf.DUMMYFUNCTION("""COMPUTED_VALUE"""),2.12)</f>
        <v>2.12</v>
      </c>
      <c r="E360" s="2">
        <f>IFERROR(__xludf.DUMMYFUNCTION("""COMPUTED_VALUE"""),2.17)</f>
        <v>2.17</v>
      </c>
      <c r="F360" s="2">
        <f>IFERROR(__xludf.DUMMYFUNCTION("""COMPUTED_VALUE"""),681124.0)</f>
        <v>681124</v>
      </c>
    </row>
    <row r="361">
      <c r="A361" s="3">
        <f>IFERROR(__xludf.DUMMYFUNCTION("""COMPUTED_VALUE"""),40876.666666666664)</f>
        <v>40876.66667</v>
      </c>
      <c r="B361" s="2">
        <f>IFERROR(__xludf.DUMMYFUNCTION("""COMPUTED_VALUE"""),2.17)</f>
        <v>2.17</v>
      </c>
      <c r="C361" s="2">
        <f>IFERROR(__xludf.DUMMYFUNCTION("""COMPUTED_VALUE"""),2.2)</f>
        <v>2.2</v>
      </c>
      <c r="D361" s="2">
        <f>IFERROR(__xludf.DUMMYFUNCTION("""COMPUTED_VALUE"""),2.11)</f>
        <v>2.11</v>
      </c>
      <c r="E361" s="2">
        <f>IFERROR(__xludf.DUMMYFUNCTION("""COMPUTED_VALUE"""),2.12)</f>
        <v>2.12</v>
      </c>
      <c r="F361" s="2">
        <f>IFERROR(__xludf.DUMMYFUNCTION("""COMPUTED_VALUE"""),591054.0)</f>
        <v>591054</v>
      </c>
    </row>
    <row r="362">
      <c r="A362" s="3">
        <f>IFERROR(__xludf.DUMMYFUNCTION("""COMPUTED_VALUE"""),40877.666666666664)</f>
        <v>40877.66667</v>
      </c>
      <c r="B362" s="2">
        <f>IFERROR(__xludf.DUMMYFUNCTION("""COMPUTED_VALUE"""),2.17)</f>
        <v>2.17</v>
      </c>
      <c r="C362" s="2">
        <f>IFERROR(__xludf.DUMMYFUNCTION("""COMPUTED_VALUE"""),2.2)</f>
        <v>2.2</v>
      </c>
      <c r="D362" s="2">
        <f>IFERROR(__xludf.DUMMYFUNCTION("""COMPUTED_VALUE"""),2.15)</f>
        <v>2.15</v>
      </c>
      <c r="E362" s="2">
        <f>IFERROR(__xludf.DUMMYFUNCTION("""COMPUTED_VALUE"""),2.18)</f>
        <v>2.18</v>
      </c>
      <c r="F362" s="2">
        <f>IFERROR(__xludf.DUMMYFUNCTION("""COMPUTED_VALUE"""),760965.0)</f>
        <v>760965</v>
      </c>
    </row>
    <row r="363">
      <c r="A363" s="3">
        <f>IFERROR(__xludf.DUMMYFUNCTION("""COMPUTED_VALUE"""),40878.666666666664)</f>
        <v>40878.66667</v>
      </c>
      <c r="B363" s="2">
        <f>IFERROR(__xludf.DUMMYFUNCTION("""COMPUTED_VALUE"""),2.17)</f>
        <v>2.17</v>
      </c>
      <c r="C363" s="2">
        <f>IFERROR(__xludf.DUMMYFUNCTION("""COMPUTED_VALUE"""),2.27)</f>
        <v>2.27</v>
      </c>
      <c r="D363" s="2">
        <f>IFERROR(__xludf.DUMMYFUNCTION("""COMPUTED_VALUE"""),2.13)</f>
        <v>2.13</v>
      </c>
      <c r="E363" s="2">
        <f>IFERROR(__xludf.DUMMYFUNCTION("""COMPUTED_VALUE"""),2.17)</f>
        <v>2.17</v>
      </c>
      <c r="F363" s="2">
        <f>IFERROR(__xludf.DUMMYFUNCTION("""COMPUTED_VALUE"""),1030108.0)</f>
        <v>1030108</v>
      </c>
    </row>
    <row r="364">
      <c r="A364" s="3">
        <f>IFERROR(__xludf.DUMMYFUNCTION("""COMPUTED_VALUE"""),40879.666666666664)</f>
        <v>40879.66667</v>
      </c>
      <c r="B364" s="2">
        <f>IFERROR(__xludf.DUMMYFUNCTION("""COMPUTED_VALUE"""),2.19)</f>
        <v>2.19</v>
      </c>
      <c r="C364" s="2">
        <f>IFERROR(__xludf.DUMMYFUNCTION("""COMPUTED_VALUE"""),2.25)</f>
        <v>2.25</v>
      </c>
      <c r="D364" s="2">
        <f>IFERROR(__xludf.DUMMYFUNCTION("""COMPUTED_VALUE"""),2.16)</f>
        <v>2.16</v>
      </c>
      <c r="E364" s="2">
        <f>IFERROR(__xludf.DUMMYFUNCTION("""COMPUTED_VALUE"""),2.22)</f>
        <v>2.22</v>
      </c>
      <c r="F364" s="2">
        <f>IFERROR(__xludf.DUMMYFUNCTION("""COMPUTED_VALUE"""),802718.0)</f>
        <v>802718</v>
      </c>
    </row>
    <row r="365">
      <c r="A365" s="3">
        <f>IFERROR(__xludf.DUMMYFUNCTION("""COMPUTED_VALUE"""),40882.666666666664)</f>
        <v>40882.66667</v>
      </c>
      <c r="B365" s="2">
        <f>IFERROR(__xludf.DUMMYFUNCTION("""COMPUTED_VALUE"""),2.24)</f>
        <v>2.24</v>
      </c>
      <c r="C365" s="2">
        <f>IFERROR(__xludf.DUMMYFUNCTION("""COMPUTED_VALUE"""),2.33)</f>
        <v>2.33</v>
      </c>
      <c r="D365" s="2">
        <f>IFERROR(__xludf.DUMMYFUNCTION("""COMPUTED_VALUE"""),2.23)</f>
        <v>2.23</v>
      </c>
      <c r="E365" s="2">
        <f>IFERROR(__xludf.DUMMYFUNCTION("""COMPUTED_VALUE"""),2.29)</f>
        <v>2.29</v>
      </c>
      <c r="F365" s="2">
        <f>IFERROR(__xludf.DUMMYFUNCTION("""COMPUTED_VALUE"""),1160050.0)</f>
        <v>1160050</v>
      </c>
    </row>
    <row r="366">
      <c r="A366" s="3">
        <f>IFERROR(__xludf.DUMMYFUNCTION("""COMPUTED_VALUE"""),40883.666666666664)</f>
        <v>40883.66667</v>
      </c>
      <c r="B366" s="2">
        <f>IFERROR(__xludf.DUMMYFUNCTION("""COMPUTED_VALUE"""),2.28)</f>
        <v>2.28</v>
      </c>
      <c r="C366" s="2">
        <f>IFERROR(__xludf.DUMMYFUNCTION("""COMPUTED_VALUE"""),2.33)</f>
        <v>2.33</v>
      </c>
      <c r="D366" s="2">
        <f>IFERROR(__xludf.DUMMYFUNCTION("""COMPUTED_VALUE"""),2.27)</f>
        <v>2.27</v>
      </c>
      <c r="E366" s="2">
        <f>IFERROR(__xludf.DUMMYFUNCTION("""COMPUTED_VALUE"""),2.32)</f>
        <v>2.32</v>
      </c>
      <c r="F366" s="2">
        <f>IFERROR(__xludf.DUMMYFUNCTION("""COMPUTED_VALUE"""),951810.0)</f>
        <v>951810</v>
      </c>
    </row>
    <row r="367">
      <c r="A367" s="3">
        <f>IFERROR(__xludf.DUMMYFUNCTION("""COMPUTED_VALUE"""),40884.666666666664)</f>
        <v>40884.66667</v>
      </c>
      <c r="B367" s="2">
        <f>IFERROR(__xludf.DUMMYFUNCTION("""COMPUTED_VALUE"""),2.31)</f>
        <v>2.31</v>
      </c>
      <c r="C367" s="2">
        <f>IFERROR(__xludf.DUMMYFUNCTION("""COMPUTED_VALUE"""),2.33)</f>
        <v>2.33</v>
      </c>
      <c r="D367" s="2">
        <f>IFERROR(__xludf.DUMMYFUNCTION("""COMPUTED_VALUE"""),2.25)</f>
        <v>2.25</v>
      </c>
      <c r="E367" s="2">
        <f>IFERROR(__xludf.DUMMYFUNCTION("""COMPUTED_VALUE"""),2.28)</f>
        <v>2.28</v>
      </c>
      <c r="F367" s="2">
        <f>IFERROR(__xludf.DUMMYFUNCTION("""COMPUTED_VALUE"""),674244.0)</f>
        <v>674244</v>
      </c>
    </row>
    <row r="368">
      <c r="A368" s="3">
        <f>IFERROR(__xludf.DUMMYFUNCTION("""COMPUTED_VALUE"""),40885.666666666664)</f>
        <v>40885.66667</v>
      </c>
      <c r="B368" s="2">
        <f>IFERROR(__xludf.DUMMYFUNCTION("""COMPUTED_VALUE"""),2.06)</f>
        <v>2.06</v>
      </c>
      <c r="C368" s="2">
        <f>IFERROR(__xludf.DUMMYFUNCTION("""COMPUTED_VALUE"""),2.11)</f>
        <v>2.11</v>
      </c>
      <c r="D368" s="2">
        <f>IFERROR(__xludf.DUMMYFUNCTION("""COMPUTED_VALUE"""),1.97)</f>
        <v>1.97</v>
      </c>
      <c r="E368" s="2">
        <f>IFERROR(__xludf.DUMMYFUNCTION("""COMPUTED_VALUE"""),2.06)</f>
        <v>2.06</v>
      </c>
      <c r="F368" s="2">
        <f>IFERROR(__xludf.DUMMYFUNCTION("""COMPUTED_VALUE"""),3305945.0)</f>
        <v>3305945</v>
      </c>
    </row>
    <row r="369">
      <c r="A369" s="3">
        <f>IFERROR(__xludf.DUMMYFUNCTION("""COMPUTED_VALUE"""),40886.666666666664)</f>
        <v>40886.66667</v>
      </c>
      <c r="B369" s="2">
        <f>IFERROR(__xludf.DUMMYFUNCTION("""COMPUTED_VALUE"""),2.04)</f>
        <v>2.04</v>
      </c>
      <c r="C369" s="2">
        <f>IFERROR(__xludf.DUMMYFUNCTION("""COMPUTED_VALUE"""),2.07)</f>
        <v>2.07</v>
      </c>
      <c r="D369" s="2">
        <f>IFERROR(__xludf.DUMMYFUNCTION("""COMPUTED_VALUE"""),2.02)</f>
        <v>2.02</v>
      </c>
      <c r="E369" s="2">
        <f>IFERROR(__xludf.DUMMYFUNCTION("""COMPUTED_VALUE"""),2.07)</f>
        <v>2.07</v>
      </c>
      <c r="F369" s="2">
        <f>IFERROR(__xludf.DUMMYFUNCTION("""COMPUTED_VALUE"""),1239444.0)</f>
        <v>1239444</v>
      </c>
    </row>
    <row r="370">
      <c r="A370" s="3">
        <f>IFERROR(__xludf.DUMMYFUNCTION("""COMPUTED_VALUE"""),40889.666666666664)</f>
        <v>40889.66667</v>
      </c>
      <c r="B370" s="2">
        <f>IFERROR(__xludf.DUMMYFUNCTION("""COMPUTED_VALUE"""),2.03)</f>
        <v>2.03</v>
      </c>
      <c r="C370" s="2">
        <f>IFERROR(__xludf.DUMMYFUNCTION("""COMPUTED_VALUE"""),2.04)</f>
        <v>2.04</v>
      </c>
      <c r="D370" s="2">
        <f>IFERROR(__xludf.DUMMYFUNCTION("""COMPUTED_VALUE"""),2.0)</f>
        <v>2</v>
      </c>
      <c r="E370" s="2">
        <f>IFERROR(__xludf.DUMMYFUNCTION("""COMPUTED_VALUE"""),2.03)</f>
        <v>2.03</v>
      </c>
      <c r="F370" s="2">
        <f>IFERROR(__xludf.DUMMYFUNCTION("""COMPUTED_VALUE"""),758657.0)</f>
        <v>758657</v>
      </c>
    </row>
    <row r="371">
      <c r="A371" s="3">
        <f>IFERROR(__xludf.DUMMYFUNCTION("""COMPUTED_VALUE"""),40890.666666666664)</f>
        <v>40890.66667</v>
      </c>
      <c r="B371" s="2">
        <f>IFERROR(__xludf.DUMMYFUNCTION("""COMPUTED_VALUE"""),2.04)</f>
        <v>2.04</v>
      </c>
      <c r="C371" s="2">
        <f>IFERROR(__xludf.DUMMYFUNCTION("""COMPUTED_VALUE"""),2.06)</f>
        <v>2.06</v>
      </c>
      <c r="D371" s="2">
        <f>IFERROR(__xludf.DUMMYFUNCTION("""COMPUTED_VALUE"""),1.93)</f>
        <v>1.93</v>
      </c>
      <c r="E371" s="2">
        <f>IFERROR(__xludf.DUMMYFUNCTION("""COMPUTED_VALUE"""),1.96)</f>
        <v>1.96</v>
      </c>
      <c r="F371" s="2">
        <f>IFERROR(__xludf.DUMMYFUNCTION("""COMPUTED_VALUE"""),994015.0)</f>
        <v>994015</v>
      </c>
    </row>
    <row r="372">
      <c r="A372" s="3">
        <f>IFERROR(__xludf.DUMMYFUNCTION("""COMPUTED_VALUE"""),40891.666666666664)</f>
        <v>40891.66667</v>
      </c>
      <c r="B372" s="2">
        <f>IFERROR(__xludf.DUMMYFUNCTION("""COMPUTED_VALUE"""),1.97)</f>
        <v>1.97</v>
      </c>
      <c r="C372" s="2">
        <f>IFERROR(__xludf.DUMMYFUNCTION("""COMPUTED_VALUE"""),1.98)</f>
        <v>1.98</v>
      </c>
      <c r="D372" s="2">
        <f>IFERROR(__xludf.DUMMYFUNCTION("""COMPUTED_VALUE"""),1.87)</f>
        <v>1.87</v>
      </c>
      <c r="E372" s="2">
        <f>IFERROR(__xludf.DUMMYFUNCTION("""COMPUTED_VALUE"""),1.9)</f>
        <v>1.9</v>
      </c>
      <c r="F372" s="2">
        <f>IFERROR(__xludf.DUMMYFUNCTION("""COMPUTED_VALUE"""),1163840.0)</f>
        <v>1163840</v>
      </c>
    </row>
    <row r="373">
      <c r="A373" s="3">
        <f>IFERROR(__xludf.DUMMYFUNCTION("""COMPUTED_VALUE"""),40892.666666666664)</f>
        <v>40892.66667</v>
      </c>
      <c r="B373" s="2">
        <f>IFERROR(__xludf.DUMMYFUNCTION("""COMPUTED_VALUE"""),1.92)</f>
        <v>1.92</v>
      </c>
      <c r="C373" s="2">
        <f>IFERROR(__xludf.DUMMYFUNCTION("""COMPUTED_VALUE"""),1.94)</f>
        <v>1.94</v>
      </c>
      <c r="D373" s="2">
        <f>IFERROR(__xludf.DUMMYFUNCTION("""COMPUTED_VALUE"""),1.87)</f>
        <v>1.87</v>
      </c>
      <c r="E373" s="2">
        <f>IFERROR(__xludf.DUMMYFUNCTION("""COMPUTED_VALUE"""),1.91)</f>
        <v>1.91</v>
      </c>
      <c r="F373" s="2">
        <f>IFERROR(__xludf.DUMMYFUNCTION("""COMPUTED_VALUE"""),700261.0)</f>
        <v>700261</v>
      </c>
    </row>
    <row r="374">
      <c r="A374" s="3">
        <f>IFERROR(__xludf.DUMMYFUNCTION("""COMPUTED_VALUE"""),40893.666666666664)</f>
        <v>40893.66667</v>
      </c>
      <c r="B374" s="2">
        <f>IFERROR(__xludf.DUMMYFUNCTION("""COMPUTED_VALUE"""),1.92)</f>
        <v>1.92</v>
      </c>
      <c r="C374" s="2">
        <f>IFERROR(__xludf.DUMMYFUNCTION("""COMPUTED_VALUE"""),1.93)</f>
        <v>1.93</v>
      </c>
      <c r="D374" s="2">
        <f>IFERROR(__xludf.DUMMYFUNCTION("""COMPUTED_VALUE"""),1.87)</f>
        <v>1.87</v>
      </c>
      <c r="E374" s="2">
        <f>IFERROR(__xludf.DUMMYFUNCTION("""COMPUTED_VALUE"""),1.87)</f>
        <v>1.87</v>
      </c>
      <c r="F374" s="2">
        <f>IFERROR(__xludf.DUMMYFUNCTION("""COMPUTED_VALUE"""),1029605.0)</f>
        <v>1029605</v>
      </c>
    </row>
    <row r="375">
      <c r="A375" s="3">
        <f>IFERROR(__xludf.DUMMYFUNCTION("""COMPUTED_VALUE"""),40896.666666666664)</f>
        <v>40896.66667</v>
      </c>
      <c r="B375" s="2">
        <f>IFERROR(__xludf.DUMMYFUNCTION("""COMPUTED_VALUE"""),1.87)</f>
        <v>1.87</v>
      </c>
      <c r="C375" s="2">
        <f>IFERROR(__xludf.DUMMYFUNCTION("""COMPUTED_VALUE"""),1.9)</f>
        <v>1.9</v>
      </c>
      <c r="D375" s="2">
        <f>IFERROR(__xludf.DUMMYFUNCTION("""COMPUTED_VALUE"""),1.82)</f>
        <v>1.82</v>
      </c>
      <c r="E375" s="2">
        <f>IFERROR(__xludf.DUMMYFUNCTION("""COMPUTED_VALUE"""),1.85)</f>
        <v>1.85</v>
      </c>
      <c r="F375" s="2">
        <f>IFERROR(__xludf.DUMMYFUNCTION("""COMPUTED_VALUE"""),986952.0)</f>
        <v>986952</v>
      </c>
    </row>
    <row r="376">
      <c r="A376" s="3">
        <f>IFERROR(__xludf.DUMMYFUNCTION("""COMPUTED_VALUE"""),40897.666666666664)</f>
        <v>40897.66667</v>
      </c>
      <c r="B376" s="2">
        <f>IFERROR(__xludf.DUMMYFUNCTION("""COMPUTED_VALUE"""),1.87)</f>
        <v>1.87</v>
      </c>
      <c r="C376" s="2">
        <f>IFERROR(__xludf.DUMMYFUNCTION("""COMPUTED_VALUE"""),1.9)</f>
        <v>1.9</v>
      </c>
      <c r="D376" s="2">
        <f>IFERROR(__xludf.DUMMYFUNCTION("""COMPUTED_VALUE"""),1.85)</f>
        <v>1.85</v>
      </c>
      <c r="E376" s="2">
        <f>IFERROR(__xludf.DUMMYFUNCTION("""COMPUTED_VALUE"""),1.86)</f>
        <v>1.86</v>
      </c>
      <c r="F376" s="2">
        <f>IFERROR(__xludf.DUMMYFUNCTION("""COMPUTED_VALUE"""),844381.0)</f>
        <v>844381</v>
      </c>
    </row>
    <row r="377">
      <c r="A377" s="3">
        <f>IFERROR(__xludf.DUMMYFUNCTION("""COMPUTED_VALUE"""),40898.666666666664)</f>
        <v>40898.66667</v>
      </c>
      <c r="B377" s="2">
        <f>IFERROR(__xludf.DUMMYFUNCTION("""COMPUTED_VALUE"""),1.86)</f>
        <v>1.86</v>
      </c>
      <c r="C377" s="2">
        <f>IFERROR(__xludf.DUMMYFUNCTION("""COMPUTED_VALUE"""),1.87)</f>
        <v>1.87</v>
      </c>
      <c r="D377" s="2">
        <f>IFERROR(__xludf.DUMMYFUNCTION("""COMPUTED_VALUE"""),1.74)</f>
        <v>1.74</v>
      </c>
      <c r="E377" s="2">
        <f>IFERROR(__xludf.DUMMYFUNCTION("""COMPUTED_VALUE"""),1.84)</f>
        <v>1.84</v>
      </c>
      <c r="F377" s="2">
        <f>IFERROR(__xludf.DUMMYFUNCTION("""COMPUTED_VALUE"""),1705807.0)</f>
        <v>1705807</v>
      </c>
    </row>
    <row r="378">
      <c r="A378" s="3">
        <f>IFERROR(__xludf.DUMMYFUNCTION("""COMPUTED_VALUE"""),40899.666666666664)</f>
        <v>40899.66667</v>
      </c>
      <c r="B378" s="2">
        <f>IFERROR(__xludf.DUMMYFUNCTION("""COMPUTED_VALUE"""),1.84)</f>
        <v>1.84</v>
      </c>
      <c r="C378" s="2">
        <f>IFERROR(__xludf.DUMMYFUNCTION("""COMPUTED_VALUE"""),1.87)</f>
        <v>1.87</v>
      </c>
      <c r="D378" s="2">
        <f>IFERROR(__xludf.DUMMYFUNCTION("""COMPUTED_VALUE"""),1.82)</f>
        <v>1.82</v>
      </c>
      <c r="E378" s="2">
        <f>IFERROR(__xludf.DUMMYFUNCTION("""COMPUTED_VALUE"""),1.85)</f>
        <v>1.85</v>
      </c>
      <c r="F378" s="2">
        <f>IFERROR(__xludf.DUMMYFUNCTION("""COMPUTED_VALUE"""),1009802.0)</f>
        <v>1009802</v>
      </c>
    </row>
    <row r="379">
      <c r="A379" s="3">
        <f>IFERROR(__xludf.DUMMYFUNCTION("""COMPUTED_VALUE"""),40900.666666666664)</f>
        <v>40900.66667</v>
      </c>
      <c r="B379" s="2">
        <f>IFERROR(__xludf.DUMMYFUNCTION("""COMPUTED_VALUE"""),1.87)</f>
        <v>1.87</v>
      </c>
      <c r="C379" s="2">
        <f>IFERROR(__xludf.DUMMYFUNCTION("""COMPUTED_VALUE"""),1.87)</f>
        <v>1.87</v>
      </c>
      <c r="D379" s="2">
        <f>IFERROR(__xludf.DUMMYFUNCTION("""COMPUTED_VALUE"""),1.83)</f>
        <v>1.83</v>
      </c>
      <c r="E379" s="2">
        <f>IFERROR(__xludf.DUMMYFUNCTION("""COMPUTED_VALUE"""),1.86)</f>
        <v>1.86</v>
      </c>
      <c r="F379" s="2">
        <f>IFERROR(__xludf.DUMMYFUNCTION("""COMPUTED_VALUE"""),591390.0)</f>
        <v>591390</v>
      </c>
    </row>
    <row r="380">
      <c r="A380" s="3">
        <f>IFERROR(__xludf.DUMMYFUNCTION("""COMPUTED_VALUE"""),40904.666666666664)</f>
        <v>40904.66667</v>
      </c>
      <c r="B380" s="2">
        <f>IFERROR(__xludf.DUMMYFUNCTION("""COMPUTED_VALUE"""),1.84)</f>
        <v>1.84</v>
      </c>
      <c r="C380" s="2">
        <f>IFERROR(__xludf.DUMMYFUNCTION("""COMPUTED_VALUE"""),1.92)</f>
        <v>1.92</v>
      </c>
      <c r="D380" s="2">
        <f>IFERROR(__xludf.DUMMYFUNCTION("""COMPUTED_VALUE"""),1.84)</f>
        <v>1.84</v>
      </c>
      <c r="E380" s="2">
        <f>IFERROR(__xludf.DUMMYFUNCTION("""COMPUTED_VALUE"""),1.9)</f>
        <v>1.9</v>
      </c>
      <c r="F380" s="2">
        <f>IFERROR(__xludf.DUMMYFUNCTION("""COMPUTED_VALUE"""),777403.0)</f>
        <v>777403</v>
      </c>
    </row>
    <row r="381">
      <c r="A381" s="3">
        <f>IFERROR(__xludf.DUMMYFUNCTION("""COMPUTED_VALUE"""),40905.666666666664)</f>
        <v>40905.66667</v>
      </c>
      <c r="B381" s="2">
        <f>IFERROR(__xludf.DUMMYFUNCTION("""COMPUTED_VALUE"""),1.93)</f>
        <v>1.93</v>
      </c>
      <c r="C381" s="2">
        <f>IFERROR(__xludf.DUMMYFUNCTION("""COMPUTED_VALUE"""),1.95)</f>
        <v>1.95</v>
      </c>
      <c r="D381" s="2">
        <f>IFERROR(__xludf.DUMMYFUNCTION("""COMPUTED_VALUE"""),1.87)</f>
        <v>1.87</v>
      </c>
      <c r="E381" s="2">
        <f>IFERROR(__xludf.DUMMYFUNCTION("""COMPUTED_VALUE"""),1.9)</f>
        <v>1.9</v>
      </c>
      <c r="F381" s="2">
        <f>IFERROR(__xludf.DUMMYFUNCTION("""COMPUTED_VALUE"""),575138.0)</f>
        <v>575138</v>
      </c>
    </row>
    <row r="382">
      <c r="A382" s="3">
        <f>IFERROR(__xludf.DUMMYFUNCTION("""COMPUTED_VALUE"""),40906.666666666664)</f>
        <v>40906.66667</v>
      </c>
      <c r="B382" s="2">
        <f>IFERROR(__xludf.DUMMYFUNCTION("""COMPUTED_VALUE"""),1.91)</f>
        <v>1.91</v>
      </c>
      <c r="C382" s="2">
        <f>IFERROR(__xludf.DUMMYFUNCTION("""COMPUTED_VALUE"""),1.96)</f>
        <v>1.96</v>
      </c>
      <c r="D382" s="2">
        <f>IFERROR(__xludf.DUMMYFUNCTION("""COMPUTED_VALUE"""),1.9)</f>
        <v>1.9</v>
      </c>
      <c r="E382" s="2">
        <f>IFERROR(__xludf.DUMMYFUNCTION("""COMPUTED_VALUE"""),1.92)</f>
        <v>1.92</v>
      </c>
      <c r="F382" s="2">
        <f>IFERROR(__xludf.DUMMYFUNCTION("""COMPUTED_VALUE"""),488150.0)</f>
        <v>488150</v>
      </c>
    </row>
    <row r="383">
      <c r="A383" s="3">
        <f>IFERROR(__xludf.DUMMYFUNCTION("""COMPUTED_VALUE"""),40907.666666666664)</f>
        <v>40907.66667</v>
      </c>
      <c r="B383" s="2">
        <f>IFERROR(__xludf.DUMMYFUNCTION("""COMPUTED_VALUE"""),1.9)</f>
        <v>1.9</v>
      </c>
      <c r="C383" s="2">
        <f>IFERROR(__xludf.DUMMYFUNCTION("""COMPUTED_VALUE"""),1.93)</f>
        <v>1.93</v>
      </c>
      <c r="D383" s="2">
        <f>IFERROR(__xludf.DUMMYFUNCTION("""COMPUTED_VALUE"""),1.88)</f>
        <v>1.88</v>
      </c>
      <c r="E383" s="2">
        <f>IFERROR(__xludf.DUMMYFUNCTION("""COMPUTED_VALUE"""),1.9)</f>
        <v>1.9</v>
      </c>
      <c r="F383" s="2">
        <f>IFERROR(__xludf.DUMMYFUNCTION("""COMPUTED_VALUE"""),339860.0)</f>
        <v>339860</v>
      </c>
    </row>
    <row r="384">
      <c r="A384" s="3">
        <f>IFERROR(__xludf.DUMMYFUNCTION("""COMPUTED_VALUE"""),40911.666666666664)</f>
        <v>40911.66667</v>
      </c>
      <c r="B384" s="2">
        <f>IFERROR(__xludf.DUMMYFUNCTION("""COMPUTED_VALUE"""),1.93)</f>
        <v>1.93</v>
      </c>
      <c r="C384" s="2">
        <f>IFERROR(__xludf.DUMMYFUNCTION("""COMPUTED_VALUE"""),1.97)</f>
        <v>1.97</v>
      </c>
      <c r="D384" s="2">
        <f>IFERROR(__xludf.DUMMYFUNCTION("""COMPUTED_VALUE"""),1.84)</f>
        <v>1.84</v>
      </c>
      <c r="E384" s="2">
        <f>IFERROR(__xludf.DUMMYFUNCTION("""COMPUTED_VALUE"""),1.87)</f>
        <v>1.87</v>
      </c>
      <c r="F384" s="2">
        <f>IFERROR(__xludf.DUMMYFUNCTION("""COMPUTED_VALUE"""),928052.0)</f>
        <v>928052</v>
      </c>
    </row>
    <row r="385">
      <c r="A385" s="3">
        <f>IFERROR(__xludf.DUMMYFUNCTION("""COMPUTED_VALUE"""),40912.666666666664)</f>
        <v>40912.66667</v>
      </c>
      <c r="B385" s="2">
        <f>IFERROR(__xludf.DUMMYFUNCTION("""COMPUTED_VALUE"""),1.88)</f>
        <v>1.88</v>
      </c>
      <c r="C385" s="2">
        <f>IFERROR(__xludf.DUMMYFUNCTION("""COMPUTED_VALUE"""),1.91)</f>
        <v>1.91</v>
      </c>
      <c r="D385" s="2">
        <f>IFERROR(__xludf.DUMMYFUNCTION("""COMPUTED_VALUE"""),1.83)</f>
        <v>1.83</v>
      </c>
      <c r="E385" s="2">
        <f>IFERROR(__xludf.DUMMYFUNCTION("""COMPUTED_VALUE"""),1.85)</f>
        <v>1.85</v>
      </c>
      <c r="F385" s="2">
        <f>IFERROR(__xludf.DUMMYFUNCTION("""COMPUTED_VALUE"""),630036.0)</f>
        <v>630036</v>
      </c>
    </row>
    <row r="386">
      <c r="A386" s="3">
        <f>IFERROR(__xludf.DUMMYFUNCTION("""COMPUTED_VALUE"""),40913.666666666664)</f>
        <v>40913.66667</v>
      </c>
      <c r="B386" s="2">
        <f>IFERROR(__xludf.DUMMYFUNCTION("""COMPUTED_VALUE"""),1.85)</f>
        <v>1.85</v>
      </c>
      <c r="C386" s="2">
        <f>IFERROR(__xludf.DUMMYFUNCTION("""COMPUTED_VALUE"""),1.86)</f>
        <v>1.86</v>
      </c>
      <c r="D386" s="2">
        <f>IFERROR(__xludf.DUMMYFUNCTION("""COMPUTED_VALUE"""),1.79)</f>
        <v>1.79</v>
      </c>
      <c r="E386" s="2">
        <f>IFERROR(__xludf.DUMMYFUNCTION("""COMPUTED_VALUE"""),1.81)</f>
        <v>1.81</v>
      </c>
      <c r="F386" s="2">
        <f>IFERROR(__xludf.DUMMYFUNCTION("""COMPUTED_VALUE"""),1005432.0)</f>
        <v>1005432</v>
      </c>
    </row>
    <row r="387">
      <c r="A387" s="3">
        <f>IFERROR(__xludf.DUMMYFUNCTION("""COMPUTED_VALUE"""),40914.666666666664)</f>
        <v>40914.66667</v>
      </c>
      <c r="B387" s="2">
        <f>IFERROR(__xludf.DUMMYFUNCTION("""COMPUTED_VALUE"""),1.81)</f>
        <v>1.81</v>
      </c>
      <c r="C387" s="2">
        <f>IFERROR(__xludf.DUMMYFUNCTION("""COMPUTED_VALUE"""),1.85)</f>
        <v>1.85</v>
      </c>
      <c r="D387" s="2">
        <f>IFERROR(__xludf.DUMMYFUNCTION("""COMPUTED_VALUE"""),1.76)</f>
        <v>1.76</v>
      </c>
      <c r="E387" s="2">
        <f>IFERROR(__xludf.DUMMYFUNCTION("""COMPUTED_VALUE"""),1.79)</f>
        <v>1.79</v>
      </c>
      <c r="F387" s="2">
        <f>IFERROR(__xludf.DUMMYFUNCTION("""COMPUTED_VALUE"""),986287.0)</f>
        <v>986287</v>
      </c>
    </row>
    <row r="388">
      <c r="A388" s="3">
        <f>IFERROR(__xludf.DUMMYFUNCTION("""COMPUTED_VALUE"""),40917.666666666664)</f>
        <v>40917.66667</v>
      </c>
      <c r="B388" s="2">
        <f>IFERROR(__xludf.DUMMYFUNCTION("""COMPUTED_VALUE"""),1.8)</f>
        <v>1.8</v>
      </c>
      <c r="C388" s="2">
        <f>IFERROR(__xludf.DUMMYFUNCTION("""COMPUTED_VALUE"""),1.83)</f>
        <v>1.83</v>
      </c>
      <c r="D388" s="2">
        <f>IFERROR(__xludf.DUMMYFUNCTION("""COMPUTED_VALUE"""),1.74)</f>
        <v>1.74</v>
      </c>
      <c r="E388" s="2">
        <f>IFERROR(__xludf.DUMMYFUNCTION("""COMPUTED_VALUE"""),1.82)</f>
        <v>1.82</v>
      </c>
      <c r="F388" s="2">
        <f>IFERROR(__xludf.DUMMYFUNCTION("""COMPUTED_VALUE"""),896951.0)</f>
        <v>896951</v>
      </c>
    </row>
    <row r="389">
      <c r="A389" s="3">
        <f>IFERROR(__xludf.DUMMYFUNCTION("""COMPUTED_VALUE"""),40918.666666666664)</f>
        <v>40918.66667</v>
      </c>
      <c r="B389" s="2">
        <f>IFERROR(__xludf.DUMMYFUNCTION("""COMPUTED_VALUE"""),1.83)</f>
        <v>1.83</v>
      </c>
      <c r="C389" s="2">
        <f>IFERROR(__xludf.DUMMYFUNCTION("""COMPUTED_VALUE"""),1.85)</f>
        <v>1.85</v>
      </c>
      <c r="D389" s="2">
        <f>IFERROR(__xludf.DUMMYFUNCTION("""COMPUTED_VALUE"""),1.82)</f>
        <v>1.82</v>
      </c>
      <c r="E389" s="2">
        <f>IFERROR(__xludf.DUMMYFUNCTION("""COMPUTED_VALUE"""),1.84)</f>
        <v>1.84</v>
      </c>
      <c r="F389" s="2">
        <f>IFERROR(__xludf.DUMMYFUNCTION("""COMPUTED_VALUE"""),671732.0)</f>
        <v>671732</v>
      </c>
    </row>
    <row r="390">
      <c r="A390" s="3">
        <f>IFERROR(__xludf.DUMMYFUNCTION("""COMPUTED_VALUE"""),40919.666666666664)</f>
        <v>40919.66667</v>
      </c>
      <c r="B390" s="2">
        <f>IFERROR(__xludf.DUMMYFUNCTION("""COMPUTED_VALUE"""),1.84)</f>
        <v>1.84</v>
      </c>
      <c r="C390" s="2">
        <f>IFERROR(__xludf.DUMMYFUNCTION("""COMPUTED_VALUE"""),1.89)</f>
        <v>1.89</v>
      </c>
      <c r="D390" s="2">
        <f>IFERROR(__xludf.DUMMYFUNCTION("""COMPUTED_VALUE"""),1.82)</f>
        <v>1.82</v>
      </c>
      <c r="E390" s="2">
        <f>IFERROR(__xludf.DUMMYFUNCTION("""COMPUTED_VALUE"""),1.88)</f>
        <v>1.88</v>
      </c>
      <c r="F390" s="2">
        <f>IFERROR(__xludf.DUMMYFUNCTION("""COMPUTED_VALUE"""),672239.0)</f>
        <v>672239</v>
      </c>
    </row>
    <row r="391">
      <c r="A391" s="3">
        <f>IFERROR(__xludf.DUMMYFUNCTION("""COMPUTED_VALUE"""),40920.666666666664)</f>
        <v>40920.66667</v>
      </c>
      <c r="B391" s="2">
        <f>IFERROR(__xludf.DUMMYFUNCTION("""COMPUTED_VALUE"""),1.9)</f>
        <v>1.9</v>
      </c>
      <c r="C391" s="2">
        <f>IFERROR(__xludf.DUMMYFUNCTION("""COMPUTED_VALUE"""),1.91)</f>
        <v>1.91</v>
      </c>
      <c r="D391" s="2">
        <f>IFERROR(__xludf.DUMMYFUNCTION("""COMPUTED_VALUE"""),1.85)</f>
        <v>1.85</v>
      </c>
      <c r="E391" s="2">
        <f>IFERROR(__xludf.DUMMYFUNCTION("""COMPUTED_VALUE"""),1.88)</f>
        <v>1.88</v>
      </c>
      <c r="F391" s="2">
        <f>IFERROR(__xludf.DUMMYFUNCTION("""COMPUTED_VALUE"""),729300.0)</f>
        <v>729300</v>
      </c>
    </row>
    <row r="392">
      <c r="A392" s="3">
        <f>IFERROR(__xludf.DUMMYFUNCTION("""COMPUTED_VALUE"""),40921.666666666664)</f>
        <v>40921.66667</v>
      </c>
      <c r="B392" s="2">
        <f>IFERROR(__xludf.DUMMYFUNCTION("""COMPUTED_VALUE"""),1.89)</f>
        <v>1.89</v>
      </c>
      <c r="C392" s="2">
        <f>IFERROR(__xludf.DUMMYFUNCTION("""COMPUTED_VALUE"""),1.9)</f>
        <v>1.9</v>
      </c>
      <c r="D392" s="2">
        <f>IFERROR(__xludf.DUMMYFUNCTION("""COMPUTED_VALUE"""),1.51)</f>
        <v>1.51</v>
      </c>
      <c r="E392" s="2">
        <f>IFERROR(__xludf.DUMMYFUNCTION("""COMPUTED_VALUE"""),1.52)</f>
        <v>1.52</v>
      </c>
      <c r="F392" s="2">
        <f>IFERROR(__xludf.DUMMYFUNCTION("""COMPUTED_VALUE"""),5506439.0)</f>
        <v>5506439</v>
      </c>
    </row>
    <row r="393">
      <c r="A393" s="3">
        <f>IFERROR(__xludf.DUMMYFUNCTION("""COMPUTED_VALUE"""),40925.666666666664)</f>
        <v>40925.66667</v>
      </c>
      <c r="B393" s="2">
        <f>IFERROR(__xludf.DUMMYFUNCTION("""COMPUTED_VALUE"""),1.78)</f>
        <v>1.78</v>
      </c>
      <c r="C393" s="2">
        <f>IFERROR(__xludf.DUMMYFUNCTION("""COMPUTED_VALUE"""),1.82)</f>
        <v>1.82</v>
      </c>
      <c r="D393" s="2">
        <f>IFERROR(__xludf.DUMMYFUNCTION("""COMPUTED_VALUE"""),1.76)</f>
        <v>1.76</v>
      </c>
      <c r="E393" s="2">
        <f>IFERROR(__xludf.DUMMYFUNCTION("""COMPUTED_VALUE"""),1.77)</f>
        <v>1.77</v>
      </c>
      <c r="F393" s="2">
        <f>IFERROR(__xludf.DUMMYFUNCTION("""COMPUTED_VALUE"""),4652386.0)</f>
        <v>4652386</v>
      </c>
    </row>
    <row r="394">
      <c r="A394" s="3">
        <f>IFERROR(__xludf.DUMMYFUNCTION("""COMPUTED_VALUE"""),40926.666666666664)</f>
        <v>40926.66667</v>
      </c>
      <c r="B394" s="2">
        <f>IFERROR(__xludf.DUMMYFUNCTION("""COMPUTED_VALUE"""),1.78)</f>
        <v>1.78</v>
      </c>
      <c r="C394" s="2">
        <f>IFERROR(__xludf.DUMMYFUNCTION("""COMPUTED_VALUE"""),1.79)</f>
        <v>1.79</v>
      </c>
      <c r="D394" s="2">
        <f>IFERROR(__xludf.DUMMYFUNCTION("""COMPUTED_VALUE"""),1.75)</f>
        <v>1.75</v>
      </c>
      <c r="E394" s="2">
        <f>IFERROR(__xludf.DUMMYFUNCTION("""COMPUTED_VALUE"""),1.79)</f>
        <v>1.79</v>
      </c>
      <c r="F394" s="2">
        <f>IFERROR(__xludf.DUMMYFUNCTION("""COMPUTED_VALUE"""),1260183.0)</f>
        <v>1260183</v>
      </c>
    </row>
    <row r="395">
      <c r="A395" s="3">
        <f>IFERROR(__xludf.DUMMYFUNCTION("""COMPUTED_VALUE"""),40927.666666666664)</f>
        <v>40927.66667</v>
      </c>
      <c r="B395" s="2">
        <f>IFERROR(__xludf.DUMMYFUNCTION("""COMPUTED_VALUE"""),1.81)</f>
        <v>1.81</v>
      </c>
      <c r="C395" s="2">
        <f>IFERROR(__xludf.DUMMYFUNCTION("""COMPUTED_VALUE"""),1.85)</f>
        <v>1.85</v>
      </c>
      <c r="D395" s="2">
        <f>IFERROR(__xludf.DUMMYFUNCTION("""COMPUTED_VALUE"""),1.77)</f>
        <v>1.77</v>
      </c>
      <c r="E395" s="2">
        <f>IFERROR(__xludf.DUMMYFUNCTION("""COMPUTED_VALUE"""),1.78)</f>
        <v>1.78</v>
      </c>
      <c r="F395" s="2">
        <f>IFERROR(__xludf.DUMMYFUNCTION("""COMPUTED_VALUE"""),1246222.0)</f>
        <v>1246222</v>
      </c>
    </row>
    <row r="396">
      <c r="A396" s="3">
        <f>IFERROR(__xludf.DUMMYFUNCTION("""COMPUTED_VALUE"""),40928.666666666664)</f>
        <v>40928.66667</v>
      </c>
      <c r="B396" s="2">
        <f>IFERROR(__xludf.DUMMYFUNCTION("""COMPUTED_VALUE"""),1.79)</f>
        <v>1.79</v>
      </c>
      <c r="C396" s="2">
        <f>IFERROR(__xludf.DUMMYFUNCTION("""COMPUTED_VALUE"""),1.8)</f>
        <v>1.8</v>
      </c>
      <c r="D396" s="2">
        <f>IFERROR(__xludf.DUMMYFUNCTION("""COMPUTED_VALUE"""),1.76)</f>
        <v>1.76</v>
      </c>
      <c r="E396" s="2">
        <f>IFERROR(__xludf.DUMMYFUNCTION("""COMPUTED_VALUE"""),1.77)</f>
        <v>1.77</v>
      </c>
      <c r="F396" s="2">
        <f>IFERROR(__xludf.DUMMYFUNCTION("""COMPUTED_VALUE"""),662289.0)</f>
        <v>662289</v>
      </c>
    </row>
    <row r="397">
      <c r="A397" s="3">
        <f>IFERROR(__xludf.DUMMYFUNCTION("""COMPUTED_VALUE"""),40931.666666666664)</f>
        <v>40931.66667</v>
      </c>
      <c r="B397" s="2">
        <f>IFERROR(__xludf.DUMMYFUNCTION("""COMPUTED_VALUE"""),1.79)</f>
        <v>1.79</v>
      </c>
      <c r="C397" s="2">
        <f>IFERROR(__xludf.DUMMYFUNCTION("""COMPUTED_VALUE"""),1.81)</f>
        <v>1.81</v>
      </c>
      <c r="D397" s="2">
        <f>IFERROR(__xludf.DUMMYFUNCTION("""COMPUTED_VALUE"""),1.77)</f>
        <v>1.77</v>
      </c>
      <c r="E397" s="2">
        <f>IFERROR(__xludf.DUMMYFUNCTION("""COMPUTED_VALUE"""),1.78)</f>
        <v>1.78</v>
      </c>
      <c r="F397" s="2">
        <f>IFERROR(__xludf.DUMMYFUNCTION("""COMPUTED_VALUE"""),594533.0)</f>
        <v>594533</v>
      </c>
    </row>
    <row r="398">
      <c r="A398" s="3">
        <f>IFERROR(__xludf.DUMMYFUNCTION("""COMPUTED_VALUE"""),40932.666666666664)</f>
        <v>40932.66667</v>
      </c>
      <c r="B398" s="2">
        <f>IFERROR(__xludf.DUMMYFUNCTION("""COMPUTED_VALUE"""),1.78)</f>
        <v>1.78</v>
      </c>
      <c r="C398" s="2">
        <f>IFERROR(__xludf.DUMMYFUNCTION("""COMPUTED_VALUE"""),1.85)</f>
        <v>1.85</v>
      </c>
      <c r="D398" s="2">
        <f>IFERROR(__xludf.DUMMYFUNCTION("""COMPUTED_VALUE"""),1.76)</f>
        <v>1.76</v>
      </c>
      <c r="E398" s="2">
        <f>IFERROR(__xludf.DUMMYFUNCTION("""COMPUTED_VALUE"""),1.83)</f>
        <v>1.83</v>
      </c>
      <c r="F398" s="2">
        <f>IFERROR(__xludf.DUMMYFUNCTION("""COMPUTED_VALUE"""),857914.0)</f>
        <v>857914</v>
      </c>
    </row>
    <row r="399">
      <c r="A399" s="3">
        <f>IFERROR(__xludf.DUMMYFUNCTION("""COMPUTED_VALUE"""),40933.666666666664)</f>
        <v>40933.66667</v>
      </c>
      <c r="B399" s="2">
        <f>IFERROR(__xludf.DUMMYFUNCTION("""COMPUTED_VALUE"""),1.82)</f>
        <v>1.82</v>
      </c>
      <c r="C399" s="2">
        <f>IFERROR(__xludf.DUMMYFUNCTION("""COMPUTED_VALUE"""),1.87)</f>
        <v>1.87</v>
      </c>
      <c r="D399" s="2">
        <f>IFERROR(__xludf.DUMMYFUNCTION("""COMPUTED_VALUE"""),1.8)</f>
        <v>1.8</v>
      </c>
      <c r="E399" s="2">
        <f>IFERROR(__xludf.DUMMYFUNCTION("""COMPUTED_VALUE"""),1.86)</f>
        <v>1.86</v>
      </c>
      <c r="F399" s="2">
        <f>IFERROR(__xludf.DUMMYFUNCTION("""COMPUTED_VALUE"""),611112.0)</f>
        <v>611112</v>
      </c>
    </row>
    <row r="400">
      <c r="A400" s="3">
        <f>IFERROR(__xludf.DUMMYFUNCTION("""COMPUTED_VALUE"""),40934.666666666664)</f>
        <v>40934.66667</v>
      </c>
      <c r="B400" s="2">
        <f>IFERROR(__xludf.DUMMYFUNCTION("""COMPUTED_VALUE"""),1.87)</f>
        <v>1.87</v>
      </c>
      <c r="C400" s="2">
        <f>IFERROR(__xludf.DUMMYFUNCTION("""COMPUTED_VALUE"""),1.97)</f>
        <v>1.97</v>
      </c>
      <c r="D400" s="2">
        <f>IFERROR(__xludf.DUMMYFUNCTION("""COMPUTED_VALUE"""),1.87)</f>
        <v>1.87</v>
      </c>
      <c r="E400" s="2">
        <f>IFERROR(__xludf.DUMMYFUNCTION("""COMPUTED_VALUE"""),1.93)</f>
        <v>1.93</v>
      </c>
      <c r="F400" s="2">
        <f>IFERROR(__xludf.DUMMYFUNCTION("""COMPUTED_VALUE"""),1271028.0)</f>
        <v>1271028</v>
      </c>
    </row>
    <row r="401">
      <c r="A401" s="3">
        <f>IFERROR(__xludf.DUMMYFUNCTION("""COMPUTED_VALUE"""),40935.666666666664)</f>
        <v>40935.66667</v>
      </c>
      <c r="B401" s="2">
        <f>IFERROR(__xludf.DUMMYFUNCTION("""COMPUTED_VALUE"""),1.9)</f>
        <v>1.9</v>
      </c>
      <c r="C401" s="2">
        <f>IFERROR(__xludf.DUMMYFUNCTION("""COMPUTED_VALUE"""),1.98)</f>
        <v>1.98</v>
      </c>
      <c r="D401" s="2">
        <f>IFERROR(__xludf.DUMMYFUNCTION("""COMPUTED_VALUE"""),1.9)</f>
        <v>1.9</v>
      </c>
      <c r="E401" s="2">
        <f>IFERROR(__xludf.DUMMYFUNCTION("""COMPUTED_VALUE"""),1.96)</f>
        <v>1.96</v>
      </c>
      <c r="F401" s="2">
        <f>IFERROR(__xludf.DUMMYFUNCTION("""COMPUTED_VALUE"""),748361.0)</f>
        <v>748361</v>
      </c>
    </row>
    <row r="402">
      <c r="A402" s="3">
        <f>IFERROR(__xludf.DUMMYFUNCTION("""COMPUTED_VALUE"""),40938.666666666664)</f>
        <v>40938.66667</v>
      </c>
      <c r="B402" s="2">
        <f>IFERROR(__xludf.DUMMYFUNCTION("""COMPUTED_VALUE"""),1.97)</f>
        <v>1.97</v>
      </c>
      <c r="C402" s="2">
        <f>IFERROR(__xludf.DUMMYFUNCTION("""COMPUTED_VALUE"""),1.97)</f>
        <v>1.97</v>
      </c>
      <c r="D402" s="2">
        <f>IFERROR(__xludf.DUMMYFUNCTION("""COMPUTED_VALUE"""),1.9)</f>
        <v>1.9</v>
      </c>
      <c r="E402" s="2">
        <f>IFERROR(__xludf.DUMMYFUNCTION("""COMPUTED_VALUE"""),1.97)</f>
        <v>1.97</v>
      </c>
      <c r="F402" s="2">
        <f>IFERROR(__xludf.DUMMYFUNCTION("""COMPUTED_VALUE"""),728979.0)</f>
        <v>728979</v>
      </c>
    </row>
    <row r="403">
      <c r="A403" s="3">
        <f>IFERROR(__xludf.DUMMYFUNCTION("""COMPUTED_VALUE"""),40939.666666666664)</f>
        <v>40939.66667</v>
      </c>
      <c r="B403" s="2">
        <f>IFERROR(__xludf.DUMMYFUNCTION("""COMPUTED_VALUE"""),1.99)</f>
        <v>1.99</v>
      </c>
      <c r="C403" s="2">
        <f>IFERROR(__xludf.DUMMYFUNCTION("""COMPUTED_VALUE"""),2.0)</f>
        <v>2</v>
      </c>
      <c r="D403" s="2">
        <f>IFERROR(__xludf.DUMMYFUNCTION("""COMPUTED_VALUE"""),1.92)</f>
        <v>1.92</v>
      </c>
      <c r="E403" s="2">
        <f>IFERROR(__xludf.DUMMYFUNCTION("""COMPUTED_VALUE"""),1.94)</f>
        <v>1.94</v>
      </c>
      <c r="F403" s="2">
        <f>IFERROR(__xludf.DUMMYFUNCTION("""COMPUTED_VALUE"""),956713.0)</f>
        <v>956713</v>
      </c>
    </row>
    <row r="404">
      <c r="A404" s="3">
        <f>IFERROR(__xludf.DUMMYFUNCTION("""COMPUTED_VALUE"""),40940.666666666664)</f>
        <v>40940.66667</v>
      </c>
      <c r="B404" s="2">
        <f>IFERROR(__xludf.DUMMYFUNCTION("""COMPUTED_VALUE"""),1.94)</f>
        <v>1.94</v>
      </c>
      <c r="C404" s="2">
        <f>IFERROR(__xludf.DUMMYFUNCTION("""COMPUTED_VALUE"""),1.98)</f>
        <v>1.98</v>
      </c>
      <c r="D404" s="2">
        <f>IFERROR(__xludf.DUMMYFUNCTION("""COMPUTED_VALUE"""),1.93)</f>
        <v>1.93</v>
      </c>
      <c r="E404" s="2">
        <f>IFERROR(__xludf.DUMMYFUNCTION("""COMPUTED_VALUE"""),1.97)</f>
        <v>1.97</v>
      </c>
      <c r="F404" s="2">
        <f>IFERROR(__xludf.DUMMYFUNCTION("""COMPUTED_VALUE"""),523169.0)</f>
        <v>523169</v>
      </c>
    </row>
    <row r="405">
      <c r="A405" s="3">
        <f>IFERROR(__xludf.DUMMYFUNCTION("""COMPUTED_VALUE"""),40941.666666666664)</f>
        <v>40941.66667</v>
      </c>
      <c r="B405" s="2">
        <f>IFERROR(__xludf.DUMMYFUNCTION("""COMPUTED_VALUE"""),1.98)</f>
        <v>1.98</v>
      </c>
      <c r="C405" s="2">
        <f>IFERROR(__xludf.DUMMYFUNCTION("""COMPUTED_VALUE"""),2.06)</f>
        <v>2.06</v>
      </c>
      <c r="D405" s="2">
        <f>IFERROR(__xludf.DUMMYFUNCTION("""COMPUTED_VALUE"""),1.97)</f>
        <v>1.97</v>
      </c>
      <c r="E405" s="2">
        <f>IFERROR(__xludf.DUMMYFUNCTION("""COMPUTED_VALUE"""),2.02)</f>
        <v>2.02</v>
      </c>
      <c r="F405" s="2">
        <f>IFERROR(__xludf.DUMMYFUNCTION("""COMPUTED_VALUE"""),805610.0)</f>
        <v>805610</v>
      </c>
    </row>
    <row r="406">
      <c r="A406" s="3">
        <f>IFERROR(__xludf.DUMMYFUNCTION("""COMPUTED_VALUE"""),40942.666666666664)</f>
        <v>40942.66667</v>
      </c>
      <c r="B406" s="2">
        <f>IFERROR(__xludf.DUMMYFUNCTION("""COMPUTED_VALUE"""),2.03)</f>
        <v>2.03</v>
      </c>
      <c r="C406" s="2">
        <f>IFERROR(__xludf.DUMMYFUNCTION("""COMPUTED_VALUE"""),2.09)</f>
        <v>2.09</v>
      </c>
      <c r="D406" s="2">
        <f>IFERROR(__xludf.DUMMYFUNCTION("""COMPUTED_VALUE"""),2.02)</f>
        <v>2.02</v>
      </c>
      <c r="E406" s="2">
        <f>IFERROR(__xludf.DUMMYFUNCTION("""COMPUTED_VALUE"""),2.08)</f>
        <v>2.08</v>
      </c>
      <c r="F406" s="2">
        <f>IFERROR(__xludf.DUMMYFUNCTION("""COMPUTED_VALUE"""),764418.0)</f>
        <v>764418</v>
      </c>
    </row>
    <row r="407">
      <c r="A407" s="3">
        <f>IFERROR(__xludf.DUMMYFUNCTION("""COMPUTED_VALUE"""),40945.666666666664)</f>
        <v>40945.66667</v>
      </c>
      <c r="B407" s="2">
        <f>IFERROR(__xludf.DUMMYFUNCTION("""COMPUTED_VALUE"""),2.07)</f>
        <v>2.07</v>
      </c>
      <c r="C407" s="2">
        <f>IFERROR(__xludf.DUMMYFUNCTION("""COMPUTED_VALUE"""),2.13)</f>
        <v>2.13</v>
      </c>
      <c r="D407" s="2">
        <f>IFERROR(__xludf.DUMMYFUNCTION("""COMPUTED_VALUE"""),2.07)</f>
        <v>2.07</v>
      </c>
      <c r="E407" s="2">
        <f>IFERROR(__xludf.DUMMYFUNCTION("""COMPUTED_VALUE"""),2.12)</f>
        <v>2.12</v>
      </c>
      <c r="F407" s="2">
        <f>IFERROR(__xludf.DUMMYFUNCTION("""COMPUTED_VALUE"""),652161.0)</f>
        <v>652161</v>
      </c>
    </row>
    <row r="408">
      <c r="A408" s="3">
        <f>IFERROR(__xludf.DUMMYFUNCTION("""COMPUTED_VALUE"""),40946.666666666664)</f>
        <v>40946.66667</v>
      </c>
      <c r="B408" s="2">
        <f>IFERROR(__xludf.DUMMYFUNCTION("""COMPUTED_VALUE"""),2.12)</f>
        <v>2.12</v>
      </c>
      <c r="C408" s="2">
        <f>IFERROR(__xludf.DUMMYFUNCTION("""COMPUTED_VALUE"""),2.12)</f>
        <v>2.12</v>
      </c>
      <c r="D408" s="2">
        <f>IFERROR(__xludf.DUMMYFUNCTION("""COMPUTED_VALUE"""),2.05)</f>
        <v>2.05</v>
      </c>
      <c r="E408" s="2">
        <f>IFERROR(__xludf.DUMMYFUNCTION("""COMPUTED_VALUE"""),2.11)</f>
        <v>2.11</v>
      </c>
      <c r="F408" s="2">
        <f>IFERROR(__xludf.DUMMYFUNCTION("""COMPUTED_VALUE"""),1021503.0)</f>
        <v>1021503</v>
      </c>
    </row>
    <row r="409">
      <c r="A409" s="3">
        <f>IFERROR(__xludf.DUMMYFUNCTION("""COMPUTED_VALUE"""),40947.666666666664)</f>
        <v>40947.66667</v>
      </c>
      <c r="B409" s="2">
        <f>IFERROR(__xludf.DUMMYFUNCTION("""COMPUTED_VALUE"""),2.11)</f>
        <v>2.11</v>
      </c>
      <c r="C409" s="2">
        <f>IFERROR(__xludf.DUMMYFUNCTION("""COMPUTED_VALUE"""),2.13)</f>
        <v>2.13</v>
      </c>
      <c r="D409" s="2">
        <f>IFERROR(__xludf.DUMMYFUNCTION("""COMPUTED_VALUE"""),2.09)</f>
        <v>2.09</v>
      </c>
      <c r="E409" s="2">
        <f>IFERROR(__xludf.DUMMYFUNCTION("""COMPUTED_VALUE"""),2.13)</f>
        <v>2.13</v>
      </c>
      <c r="F409" s="2">
        <f>IFERROR(__xludf.DUMMYFUNCTION("""COMPUTED_VALUE"""),623626.0)</f>
        <v>623626</v>
      </c>
    </row>
    <row r="410">
      <c r="A410" s="3">
        <f>IFERROR(__xludf.DUMMYFUNCTION("""COMPUTED_VALUE"""),40948.666666666664)</f>
        <v>40948.66667</v>
      </c>
      <c r="B410" s="2">
        <f>IFERROR(__xludf.DUMMYFUNCTION("""COMPUTED_VALUE"""),2.13)</f>
        <v>2.13</v>
      </c>
      <c r="C410" s="2">
        <f>IFERROR(__xludf.DUMMYFUNCTION("""COMPUTED_VALUE"""),2.19)</f>
        <v>2.19</v>
      </c>
      <c r="D410" s="2">
        <f>IFERROR(__xludf.DUMMYFUNCTION("""COMPUTED_VALUE"""),2.1)</f>
        <v>2.1</v>
      </c>
      <c r="E410" s="2">
        <f>IFERROR(__xludf.DUMMYFUNCTION("""COMPUTED_VALUE"""),2.17)</f>
        <v>2.17</v>
      </c>
      <c r="F410" s="2">
        <f>IFERROR(__xludf.DUMMYFUNCTION("""COMPUTED_VALUE"""),1277968.0)</f>
        <v>1277968</v>
      </c>
    </row>
    <row r="411">
      <c r="A411" s="3">
        <f>IFERROR(__xludf.DUMMYFUNCTION("""COMPUTED_VALUE"""),40949.666666666664)</f>
        <v>40949.66667</v>
      </c>
      <c r="B411" s="2">
        <f>IFERROR(__xludf.DUMMYFUNCTION("""COMPUTED_VALUE"""),2.15)</f>
        <v>2.15</v>
      </c>
      <c r="C411" s="2">
        <f>IFERROR(__xludf.DUMMYFUNCTION("""COMPUTED_VALUE"""),2.15)</f>
        <v>2.15</v>
      </c>
      <c r="D411" s="2">
        <f>IFERROR(__xludf.DUMMYFUNCTION("""COMPUTED_VALUE"""),1.99)</f>
        <v>1.99</v>
      </c>
      <c r="E411" s="2">
        <f>IFERROR(__xludf.DUMMYFUNCTION("""COMPUTED_VALUE"""),2.07)</f>
        <v>2.07</v>
      </c>
      <c r="F411" s="2">
        <f>IFERROR(__xludf.DUMMYFUNCTION("""COMPUTED_VALUE"""),1874139.0)</f>
        <v>1874139</v>
      </c>
    </row>
    <row r="412">
      <c r="A412" s="3">
        <f>IFERROR(__xludf.DUMMYFUNCTION("""COMPUTED_VALUE"""),40952.666666666664)</f>
        <v>40952.66667</v>
      </c>
      <c r="B412" s="2">
        <f>IFERROR(__xludf.DUMMYFUNCTION("""COMPUTED_VALUE"""),2.1)</f>
        <v>2.1</v>
      </c>
      <c r="C412" s="2">
        <f>IFERROR(__xludf.DUMMYFUNCTION("""COMPUTED_VALUE"""),2.14)</f>
        <v>2.14</v>
      </c>
      <c r="D412" s="2">
        <f>IFERROR(__xludf.DUMMYFUNCTION("""COMPUTED_VALUE"""),2.06)</f>
        <v>2.06</v>
      </c>
      <c r="E412" s="2">
        <f>IFERROR(__xludf.DUMMYFUNCTION("""COMPUTED_VALUE"""),2.1)</f>
        <v>2.1</v>
      </c>
      <c r="F412" s="2">
        <f>IFERROR(__xludf.DUMMYFUNCTION("""COMPUTED_VALUE"""),1157858.0)</f>
        <v>1157858</v>
      </c>
    </row>
    <row r="413">
      <c r="A413" s="3">
        <f>IFERROR(__xludf.DUMMYFUNCTION("""COMPUTED_VALUE"""),40953.666666666664)</f>
        <v>40953.66667</v>
      </c>
      <c r="B413" s="2">
        <f>IFERROR(__xludf.DUMMYFUNCTION("""COMPUTED_VALUE"""),2.12)</f>
        <v>2.12</v>
      </c>
      <c r="C413" s="2">
        <f>IFERROR(__xludf.DUMMYFUNCTION("""COMPUTED_VALUE"""),2.25)</f>
        <v>2.25</v>
      </c>
      <c r="D413" s="2">
        <f>IFERROR(__xludf.DUMMYFUNCTION("""COMPUTED_VALUE"""),2.09)</f>
        <v>2.09</v>
      </c>
      <c r="E413" s="2">
        <f>IFERROR(__xludf.DUMMYFUNCTION("""COMPUTED_VALUE"""),2.21)</f>
        <v>2.21</v>
      </c>
      <c r="F413" s="2">
        <f>IFERROR(__xludf.DUMMYFUNCTION("""COMPUTED_VALUE"""),1811365.0)</f>
        <v>1811365</v>
      </c>
    </row>
    <row r="414">
      <c r="A414" s="3">
        <f>IFERROR(__xludf.DUMMYFUNCTION("""COMPUTED_VALUE"""),40954.666666666664)</f>
        <v>40954.66667</v>
      </c>
      <c r="B414" s="2">
        <f>IFERROR(__xludf.DUMMYFUNCTION("""COMPUTED_VALUE"""),2.21)</f>
        <v>2.21</v>
      </c>
      <c r="C414" s="2">
        <f>IFERROR(__xludf.DUMMYFUNCTION("""COMPUTED_VALUE"""),2.29)</f>
        <v>2.29</v>
      </c>
      <c r="D414" s="2">
        <f>IFERROR(__xludf.DUMMYFUNCTION("""COMPUTED_VALUE"""),2.15)</f>
        <v>2.15</v>
      </c>
      <c r="E414" s="2">
        <f>IFERROR(__xludf.DUMMYFUNCTION("""COMPUTED_VALUE"""),2.24)</f>
        <v>2.24</v>
      </c>
      <c r="F414" s="2">
        <f>IFERROR(__xludf.DUMMYFUNCTION("""COMPUTED_VALUE"""),2764476.0)</f>
        <v>2764476</v>
      </c>
    </row>
    <row r="415">
      <c r="A415" s="3">
        <f>IFERROR(__xludf.DUMMYFUNCTION("""COMPUTED_VALUE"""),40955.666666666664)</f>
        <v>40955.66667</v>
      </c>
      <c r="B415" s="2">
        <f>IFERROR(__xludf.DUMMYFUNCTION("""COMPUTED_VALUE"""),2.23)</f>
        <v>2.23</v>
      </c>
      <c r="C415" s="2">
        <f>IFERROR(__xludf.DUMMYFUNCTION("""COMPUTED_VALUE"""),2.3)</f>
        <v>2.3</v>
      </c>
      <c r="D415" s="2">
        <f>IFERROR(__xludf.DUMMYFUNCTION("""COMPUTED_VALUE"""),2.17)</f>
        <v>2.17</v>
      </c>
      <c r="E415" s="2">
        <f>IFERROR(__xludf.DUMMYFUNCTION("""COMPUTED_VALUE"""),2.28)</f>
        <v>2.28</v>
      </c>
      <c r="F415" s="2">
        <f>IFERROR(__xludf.DUMMYFUNCTION("""COMPUTED_VALUE"""),2219636.0)</f>
        <v>2219636</v>
      </c>
    </row>
    <row r="416">
      <c r="A416" s="3">
        <f>IFERROR(__xludf.DUMMYFUNCTION("""COMPUTED_VALUE"""),40956.666666666664)</f>
        <v>40956.66667</v>
      </c>
      <c r="B416" s="2">
        <f>IFERROR(__xludf.DUMMYFUNCTION("""COMPUTED_VALUE"""),2.27)</f>
        <v>2.27</v>
      </c>
      <c r="C416" s="2">
        <f>IFERROR(__xludf.DUMMYFUNCTION("""COMPUTED_VALUE"""),2.33)</f>
        <v>2.33</v>
      </c>
      <c r="D416" s="2">
        <f>IFERROR(__xludf.DUMMYFUNCTION("""COMPUTED_VALUE"""),2.23)</f>
        <v>2.23</v>
      </c>
      <c r="E416" s="2">
        <f>IFERROR(__xludf.DUMMYFUNCTION("""COMPUTED_VALUE"""),2.33)</f>
        <v>2.33</v>
      </c>
      <c r="F416" s="2">
        <f>IFERROR(__xludf.DUMMYFUNCTION("""COMPUTED_VALUE"""),1376645.0)</f>
        <v>1376645</v>
      </c>
    </row>
    <row r="417">
      <c r="A417" s="3">
        <f>IFERROR(__xludf.DUMMYFUNCTION("""COMPUTED_VALUE"""),40960.666666666664)</f>
        <v>40960.66667</v>
      </c>
      <c r="B417" s="2">
        <f>IFERROR(__xludf.DUMMYFUNCTION("""COMPUTED_VALUE"""),2.32)</f>
        <v>2.32</v>
      </c>
      <c r="C417" s="2">
        <f>IFERROR(__xludf.DUMMYFUNCTION("""COMPUTED_VALUE"""),2.32)</f>
        <v>2.32</v>
      </c>
      <c r="D417" s="2">
        <f>IFERROR(__xludf.DUMMYFUNCTION("""COMPUTED_VALUE"""),2.25)</f>
        <v>2.25</v>
      </c>
      <c r="E417" s="2">
        <f>IFERROR(__xludf.DUMMYFUNCTION("""COMPUTED_VALUE"""),2.3)</f>
        <v>2.3</v>
      </c>
      <c r="F417" s="2">
        <f>IFERROR(__xludf.DUMMYFUNCTION("""COMPUTED_VALUE"""),1135788.0)</f>
        <v>1135788</v>
      </c>
    </row>
    <row r="418">
      <c r="A418" s="3">
        <f>IFERROR(__xludf.DUMMYFUNCTION("""COMPUTED_VALUE"""),40961.666666666664)</f>
        <v>40961.66667</v>
      </c>
      <c r="B418" s="2">
        <f>IFERROR(__xludf.DUMMYFUNCTION("""COMPUTED_VALUE"""),2.3)</f>
        <v>2.3</v>
      </c>
      <c r="C418" s="2">
        <f>IFERROR(__xludf.DUMMYFUNCTION("""COMPUTED_VALUE"""),2.31)</f>
        <v>2.31</v>
      </c>
      <c r="D418" s="2">
        <f>IFERROR(__xludf.DUMMYFUNCTION("""COMPUTED_VALUE"""),2.17)</f>
        <v>2.17</v>
      </c>
      <c r="E418" s="2">
        <f>IFERROR(__xludf.DUMMYFUNCTION("""COMPUTED_VALUE"""),2.28)</f>
        <v>2.28</v>
      </c>
      <c r="F418" s="2">
        <f>IFERROR(__xludf.DUMMYFUNCTION("""COMPUTED_VALUE"""),1654985.0)</f>
        <v>1654985</v>
      </c>
    </row>
    <row r="419">
      <c r="A419" s="3">
        <f>IFERROR(__xludf.DUMMYFUNCTION("""COMPUTED_VALUE"""),40962.666666666664)</f>
        <v>40962.66667</v>
      </c>
      <c r="B419" s="2">
        <f>IFERROR(__xludf.DUMMYFUNCTION("""COMPUTED_VALUE"""),2.27)</f>
        <v>2.27</v>
      </c>
      <c r="C419" s="2">
        <f>IFERROR(__xludf.DUMMYFUNCTION("""COMPUTED_VALUE"""),2.33)</f>
        <v>2.33</v>
      </c>
      <c r="D419" s="2">
        <f>IFERROR(__xludf.DUMMYFUNCTION("""COMPUTED_VALUE"""),2.24)</f>
        <v>2.24</v>
      </c>
      <c r="E419" s="2">
        <f>IFERROR(__xludf.DUMMYFUNCTION("""COMPUTED_VALUE"""),2.3)</f>
        <v>2.3</v>
      </c>
      <c r="F419" s="2">
        <f>IFERROR(__xludf.DUMMYFUNCTION("""COMPUTED_VALUE"""),820345.0)</f>
        <v>820345</v>
      </c>
    </row>
    <row r="420">
      <c r="A420" s="3">
        <f>IFERROR(__xludf.DUMMYFUNCTION("""COMPUTED_VALUE"""),40963.666666666664)</f>
        <v>40963.66667</v>
      </c>
      <c r="B420" s="2">
        <f>IFERROR(__xludf.DUMMYFUNCTION("""COMPUTED_VALUE"""),2.28)</f>
        <v>2.28</v>
      </c>
      <c r="C420" s="2">
        <f>IFERROR(__xludf.DUMMYFUNCTION("""COMPUTED_VALUE"""),2.3)</f>
        <v>2.3</v>
      </c>
      <c r="D420" s="2">
        <f>IFERROR(__xludf.DUMMYFUNCTION("""COMPUTED_VALUE"""),2.22)</f>
        <v>2.22</v>
      </c>
      <c r="E420" s="2">
        <f>IFERROR(__xludf.DUMMYFUNCTION("""COMPUTED_VALUE"""),2.25)</f>
        <v>2.25</v>
      </c>
      <c r="F420" s="2">
        <f>IFERROR(__xludf.DUMMYFUNCTION("""COMPUTED_VALUE"""),959866.0)</f>
        <v>959866</v>
      </c>
    </row>
    <row r="421">
      <c r="A421" s="3">
        <f>IFERROR(__xludf.DUMMYFUNCTION("""COMPUTED_VALUE"""),40966.666666666664)</f>
        <v>40966.66667</v>
      </c>
      <c r="B421" s="2">
        <f>IFERROR(__xludf.DUMMYFUNCTION("""COMPUTED_VALUE"""),2.23)</f>
        <v>2.23</v>
      </c>
      <c r="C421" s="2">
        <f>IFERROR(__xludf.DUMMYFUNCTION("""COMPUTED_VALUE"""),2.27)</f>
        <v>2.27</v>
      </c>
      <c r="D421" s="2">
        <f>IFERROR(__xludf.DUMMYFUNCTION("""COMPUTED_VALUE"""),2.2)</f>
        <v>2.2</v>
      </c>
      <c r="E421" s="2">
        <f>IFERROR(__xludf.DUMMYFUNCTION("""COMPUTED_VALUE"""),2.24)</f>
        <v>2.24</v>
      </c>
      <c r="F421" s="2">
        <f>IFERROR(__xludf.DUMMYFUNCTION("""COMPUTED_VALUE"""),605953.0)</f>
        <v>605953</v>
      </c>
    </row>
    <row r="422">
      <c r="A422" s="3">
        <f>IFERROR(__xludf.DUMMYFUNCTION("""COMPUTED_VALUE"""),40967.666666666664)</f>
        <v>40967.66667</v>
      </c>
      <c r="B422" s="2">
        <f>IFERROR(__xludf.DUMMYFUNCTION("""COMPUTED_VALUE"""),2.24)</f>
        <v>2.24</v>
      </c>
      <c r="C422" s="2">
        <f>IFERROR(__xludf.DUMMYFUNCTION("""COMPUTED_VALUE"""),2.3)</f>
        <v>2.3</v>
      </c>
      <c r="D422" s="2">
        <f>IFERROR(__xludf.DUMMYFUNCTION("""COMPUTED_VALUE"""),2.21)</f>
        <v>2.21</v>
      </c>
      <c r="E422" s="2">
        <f>IFERROR(__xludf.DUMMYFUNCTION("""COMPUTED_VALUE"""),2.25)</f>
        <v>2.25</v>
      </c>
      <c r="F422" s="2">
        <f>IFERROR(__xludf.DUMMYFUNCTION("""COMPUTED_VALUE"""),612183.0)</f>
        <v>612183</v>
      </c>
    </row>
    <row r="423">
      <c r="A423" s="3">
        <f>IFERROR(__xludf.DUMMYFUNCTION("""COMPUTED_VALUE"""),40968.666666666664)</f>
        <v>40968.66667</v>
      </c>
      <c r="B423" s="2">
        <f>IFERROR(__xludf.DUMMYFUNCTION("""COMPUTED_VALUE"""),2.25)</f>
        <v>2.25</v>
      </c>
      <c r="C423" s="2">
        <f>IFERROR(__xludf.DUMMYFUNCTION("""COMPUTED_VALUE"""),2.27)</f>
        <v>2.27</v>
      </c>
      <c r="D423" s="2">
        <f>IFERROR(__xludf.DUMMYFUNCTION("""COMPUTED_VALUE"""),2.21)</f>
        <v>2.21</v>
      </c>
      <c r="E423" s="2">
        <f>IFERROR(__xludf.DUMMYFUNCTION("""COMPUTED_VALUE"""),2.23)</f>
        <v>2.23</v>
      </c>
      <c r="F423" s="2">
        <f>IFERROR(__xludf.DUMMYFUNCTION("""COMPUTED_VALUE"""),535684.0)</f>
        <v>535684</v>
      </c>
    </row>
    <row r="424">
      <c r="A424" s="3">
        <f>IFERROR(__xludf.DUMMYFUNCTION("""COMPUTED_VALUE"""),40969.666666666664)</f>
        <v>40969.66667</v>
      </c>
      <c r="B424" s="2">
        <f>IFERROR(__xludf.DUMMYFUNCTION("""COMPUTED_VALUE"""),2.23)</f>
        <v>2.23</v>
      </c>
      <c r="C424" s="2">
        <f>IFERROR(__xludf.DUMMYFUNCTION("""COMPUTED_VALUE"""),2.3)</f>
        <v>2.3</v>
      </c>
      <c r="D424" s="2">
        <f>IFERROR(__xludf.DUMMYFUNCTION("""COMPUTED_VALUE"""),2.22)</f>
        <v>2.22</v>
      </c>
      <c r="E424" s="2">
        <f>IFERROR(__xludf.DUMMYFUNCTION("""COMPUTED_VALUE"""),2.29)</f>
        <v>2.29</v>
      </c>
      <c r="F424" s="2">
        <f>IFERROR(__xludf.DUMMYFUNCTION("""COMPUTED_VALUE"""),703435.0)</f>
        <v>703435</v>
      </c>
    </row>
    <row r="425">
      <c r="A425" s="3">
        <f>IFERROR(__xludf.DUMMYFUNCTION("""COMPUTED_VALUE"""),40970.666666666664)</f>
        <v>40970.66667</v>
      </c>
      <c r="B425" s="2">
        <f>IFERROR(__xludf.DUMMYFUNCTION("""COMPUTED_VALUE"""),2.29)</f>
        <v>2.29</v>
      </c>
      <c r="C425" s="2">
        <f>IFERROR(__xludf.DUMMYFUNCTION("""COMPUTED_VALUE"""),2.3)</f>
        <v>2.3</v>
      </c>
      <c r="D425" s="2">
        <f>IFERROR(__xludf.DUMMYFUNCTION("""COMPUTED_VALUE"""),2.25)</f>
        <v>2.25</v>
      </c>
      <c r="E425" s="2">
        <f>IFERROR(__xludf.DUMMYFUNCTION("""COMPUTED_VALUE"""),2.27)</f>
        <v>2.27</v>
      </c>
      <c r="F425" s="2">
        <f>IFERROR(__xludf.DUMMYFUNCTION("""COMPUTED_VALUE"""),549971.0)</f>
        <v>549971</v>
      </c>
    </row>
    <row r="426">
      <c r="A426" s="3">
        <f>IFERROR(__xludf.DUMMYFUNCTION("""COMPUTED_VALUE"""),40973.666666666664)</f>
        <v>40973.66667</v>
      </c>
      <c r="B426" s="2">
        <f>IFERROR(__xludf.DUMMYFUNCTION("""COMPUTED_VALUE"""),2.29)</f>
        <v>2.29</v>
      </c>
      <c r="C426" s="2">
        <f>IFERROR(__xludf.DUMMYFUNCTION("""COMPUTED_VALUE"""),2.29)</f>
        <v>2.29</v>
      </c>
      <c r="D426" s="2">
        <f>IFERROR(__xludf.DUMMYFUNCTION("""COMPUTED_VALUE"""),2.23)</f>
        <v>2.23</v>
      </c>
      <c r="E426" s="2">
        <f>IFERROR(__xludf.DUMMYFUNCTION("""COMPUTED_VALUE"""),2.25)</f>
        <v>2.25</v>
      </c>
      <c r="F426" s="2">
        <f>IFERROR(__xludf.DUMMYFUNCTION("""COMPUTED_VALUE"""),466938.0)</f>
        <v>466938</v>
      </c>
    </row>
    <row r="427">
      <c r="A427" s="3">
        <f>IFERROR(__xludf.DUMMYFUNCTION("""COMPUTED_VALUE"""),40974.666666666664)</f>
        <v>40974.66667</v>
      </c>
      <c r="B427" s="2">
        <f>IFERROR(__xludf.DUMMYFUNCTION("""COMPUTED_VALUE"""),2.22)</f>
        <v>2.22</v>
      </c>
      <c r="C427" s="2">
        <f>IFERROR(__xludf.DUMMYFUNCTION("""COMPUTED_VALUE"""),2.22)</f>
        <v>2.22</v>
      </c>
      <c r="D427" s="2">
        <f>IFERROR(__xludf.DUMMYFUNCTION("""COMPUTED_VALUE"""),2.17)</f>
        <v>2.17</v>
      </c>
      <c r="E427" s="2">
        <f>IFERROR(__xludf.DUMMYFUNCTION("""COMPUTED_VALUE"""),2.21)</f>
        <v>2.21</v>
      </c>
      <c r="F427" s="2">
        <f>IFERROR(__xludf.DUMMYFUNCTION("""COMPUTED_VALUE"""),573749.0)</f>
        <v>573749</v>
      </c>
    </row>
    <row r="428">
      <c r="A428" s="3">
        <f>IFERROR(__xludf.DUMMYFUNCTION("""COMPUTED_VALUE"""),40975.666666666664)</f>
        <v>40975.66667</v>
      </c>
      <c r="B428" s="2">
        <f>IFERROR(__xludf.DUMMYFUNCTION("""COMPUTED_VALUE"""),2.21)</f>
        <v>2.21</v>
      </c>
      <c r="C428" s="2">
        <f>IFERROR(__xludf.DUMMYFUNCTION("""COMPUTED_VALUE"""),2.22)</f>
        <v>2.22</v>
      </c>
      <c r="D428" s="2">
        <f>IFERROR(__xludf.DUMMYFUNCTION("""COMPUTED_VALUE"""),2.19)</f>
        <v>2.19</v>
      </c>
      <c r="E428" s="2">
        <f>IFERROR(__xludf.DUMMYFUNCTION("""COMPUTED_VALUE"""),2.21)</f>
        <v>2.21</v>
      </c>
      <c r="F428" s="2">
        <f>IFERROR(__xludf.DUMMYFUNCTION("""COMPUTED_VALUE"""),364831.0)</f>
        <v>364831</v>
      </c>
    </row>
    <row r="429">
      <c r="A429" s="3">
        <f>IFERROR(__xludf.DUMMYFUNCTION("""COMPUTED_VALUE"""),40976.666666666664)</f>
        <v>40976.66667</v>
      </c>
      <c r="B429" s="2">
        <f>IFERROR(__xludf.DUMMYFUNCTION("""COMPUTED_VALUE"""),2.21)</f>
        <v>2.21</v>
      </c>
      <c r="C429" s="2">
        <f>IFERROR(__xludf.DUMMYFUNCTION("""COMPUTED_VALUE"""),2.23)</f>
        <v>2.23</v>
      </c>
      <c r="D429" s="2">
        <f>IFERROR(__xludf.DUMMYFUNCTION("""COMPUTED_VALUE"""),2.2)</f>
        <v>2.2</v>
      </c>
      <c r="E429" s="2">
        <f>IFERROR(__xludf.DUMMYFUNCTION("""COMPUTED_VALUE"""),2.2)</f>
        <v>2.2</v>
      </c>
      <c r="F429" s="2">
        <f>IFERROR(__xludf.DUMMYFUNCTION("""COMPUTED_VALUE"""),633267.0)</f>
        <v>633267</v>
      </c>
    </row>
    <row r="430">
      <c r="A430" s="3">
        <f>IFERROR(__xludf.DUMMYFUNCTION("""COMPUTED_VALUE"""),40977.666666666664)</f>
        <v>40977.66667</v>
      </c>
      <c r="B430" s="2">
        <f>IFERROR(__xludf.DUMMYFUNCTION("""COMPUTED_VALUE"""),2.21)</f>
        <v>2.21</v>
      </c>
      <c r="C430" s="2">
        <f>IFERROR(__xludf.DUMMYFUNCTION("""COMPUTED_VALUE"""),2.35)</f>
        <v>2.35</v>
      </c>
      <c r="D430" s="2">
        <f>IFERROR(__xludf.DUMMYFUNCTION("""COMPUTED_VALUE"""),2.21)</f>
        <v>2.21</v>
      </c>
      <c r="E430" s="2">
        <f>IFERROR(__xludf.DUMMYFUNCTION("""COMPUTED_VALUE"""),2.32)</f>
        <v>2.32</v>
      </c>
      <c r="F430" s="2">
        <f>IFERROR(__xludf.DUMMYFUNCTION("""COMPUTED_VALUE"""),1553423.0)</f>
        <v>1553423</v>
      </c>
    </row>
    <row r="431">
      <c r="A431" s="3">
        <f>IFERROR(__xludf.DUMMYFUNCTION("""COMPUTED_VALUE"""),40980.666666666664)</f>
        <v>40980.66667</v>
      </c>
      <c r="B431" s="2">
        <f>IFERROR(__xludf.DUMMYFUNCTION("""COMPUTED_VALUE"""),2.31)</f>
        <v>2.31</v>
      </c>
      <c r="C431" s="2">
        <f>IFERROR(__xludf.DUMMYFUNCTION("""COMPUTED_VALUE"""),2.42)</f>
        <v>2.42</v>
      </c>
      <c r="D431" s="2">
        <f>IFERROR(__xludf.DUMMYFUNCTION("""COMPUTED_VALUE"""),2.31)</f>
        <v>2.31</v>
      </c>
      <c r="E431" s="2">
        <f>IFERROR(__xludf.DUMMYFUNCTION("""COMPUTED_VALUE"""),2.4)</f>
        <v>2.4</v>
      </c>
      <c r="F431" s="2">
        <f>IFERROR(__xludf.DUMMYFUNCTION("""COMPUTED_VALUE"""),1964520.0)</f>
        <v>1964520</v>
      </c>
    </row>
    <row r="432">
      <c r="A432" s="3">
        <f>IFERROR(__xludf.DUMMYFUNCTION("""COMPUTED_VALUE"""),40981.666666666664)</f>
        <v>40981.66667</v>
      </c>
      <c r="B432" s="2">
        <f>IFERROR(__xludf.DUMMYFUNCTION("""COMPUTED_VALUE"""),2.43)</f>
        <v>2.43</v>
      </c>
      <c r="C432" s="2">
        <f>IFERROR(__xludf.DUMMYFUNCTION("""COMPUTED_VALUE"""),2.44)</f>
        <v>2.44</v>
      </c>
      <c r="D432" s="2">
        <f>IFERROR(__xludf.DUMMYFUNCTION("""COMPUTED_VALUE"""),2.37)</f>
        <v>2.37</v>
      </c>
      <c r="E432" s="2">
        <f>IFERROR(__xludf.DUMMYFUNCTION("""COMPUTED_VALUE"""),2.41)</f>
        <v>2.41</v>
      </c>
      <c r="F432" s="2">
        <f>IFERROR(__xludf.DUMMYFUNCTION("""COMPUTED_VALUE"""),1001643.0)</f>
        <v>1001643</v>
      </c>
    </row>
    <row r="433">
      <c r="A433" s="3">
        <f>IFERROR(__xludf.DUMMYFUNCTION("""COMPUTED_VALUE"""),40982.666666666664)</f>
        <v>40982.66667</v>
      </c>
      <c r="B433" s="2">
        <f>IFERROR(__xludf.DUMMYFUNCTION("""COMPUTED_VALUE"""),2.4)</f>
        <v>2.4</v>
      </c>
      <c r="C433" s="2">
        <f>IFERROR(__xludf.DUMMYFUNCTION("""COMPUTED_VALUE"""),2.4)</f>
        <v>2.4</v>
      </c>
      <c r="D433" s="2">
        <f>IFERROR(__xludf.DUMMYFUNCTION("""COMPUTED_VALUE"""),2.32)</f>
        <v>2.32</v>
      </c>
      <c r="E433" s="2">
        <f>IFERROR(__xludf.DUMMYFUNCTION("""COMPUTED_VALUE"""),2.35)</f>
        <v>2.35</v>
      </c>
      <c r="F433" s="2">
        <f>IFERROR(__xludf.DUMMYFUNCTION("""COMPUTED_VALUE"""),851464.0)</f>
        <v>851464</v>
      </c>
    </row>
    <row r="434">
      <c r="A434" s="3">
        <f>IFERROR(__xludf.DUMMYFUNCTION("""COMPUTED_VALUE"""),40983.666666666664)</f>
        <v>40983.66667</v>
      </c>
      <c r="B434" s="2">
        <f>IFERROR(__xludf.DUMMYFUNCTION("""COMPUTED_VALUE"""),2.35)</f>
        <v>2.35</v>
      </c>
      <c r="C434" s="2">
        <f>IFERROR(__xludf.DUMMYFUNCTION("""COMPUTED_VALUE"""),2.37)</f>
        <v>2.37</v>
      </c>
      <c r="D434" s="2">
        <f>IFERROR(__xludf.DUMMYFUNCTION("""COMPUTED_VALUE"""),2.32)</f>
        <v>2.32</v>
      </c>
      <c r="E434" s="2">
        <f>IFERROR(__xludf.DUMMYFUNCTION("""COMPUTED_VALUE"""),2.33)</f>
        <v>2.33</v>
      </c>
      <c r="F434" s="2">
        <f>IFERROR(__xludf.DUMMYFUNCTION("""COMPUTED_VALUE"""),571596.0)</f>
        <v>571596</v>
      </c>
    </row>
    <row r="435">
      <c r="A435" s="3">
        <f>IFERROR(__xludf.DUMMYFUNCTION("""COMPUTED_VALUE"""),40984.666666666664)</f>
        <v>40984.66667</v>
      </c>
      <c r="B435" s="2">
        <f>IFERROR(__xludf.DUMMYFUNCTION("""COMPUTED_VALUE"""),2.33)</f>
        <v>2.33</v>
      </c>
      <c r="C435" s="2">
        <f>IFERROR(__xludf.DUMMYFUNCTION("""COMPUTED_VALUE"""),2.39)</f>
        <v>2.39</v>
      </c>
      <c r="D435" s="2">
        <f>IFERROR(__xludf.DUMMYFUNCTION("""COMPUTED_VALUE"""),2.32)</f>
        <v>2.32</v>
      </c>
      <c r="E435" s="2">
        <f>IFERROR(__xludf.DUMMYFUNCTION("""COMPUTED_VALUE"""),2.35)</f>
        <v>2.35</v>
      </c>
      <c r="F435" s="2">
        <f>IFERROR(__xludf.DUMMYFUNCTION("""COMPUTED_VALUE"""),729236.0)</f>
        <v>729236</v>
      </c>
    </row>
    <row r="436">
      <c r="A436" s="3">
        <f>IFERROR(__xludf.DUMMYFUNCTION("""COMPUTED_VALUE"""),40987.666666666664)</f>
        <v>40987.66667</v>
      </c>
      <c r="B436" s="2">
        <f>IFERROR(__xludf.DUMMYFUNCTION("""COMPUTED_VALUE"""),2.35)</f>
        <v>2.35</v>
      </c>
      <c r="C436" s="2">
        <f>IFERROR(__xludf.DUMMYFUNCTION("""COMPUTED_VALUE"""),2.35)</f>
        <v>2.35</v>
      </c>
      <c r="D436" s="2">
        <f>IFERROR(__xludf.DUMMYFUNCTION("""COMPUTED_VALUE"""),2.3)</f>
        <v>2.3</v>
      </c>
      <c r="E436" s="2">
        <f>IFERROR(__xludf.DUMMYFUNCTION("""COMPUTED_VALUE"""),2.33)</f>
        <v>2.33</v>
      </c>
      <c r="F436" s="2">
        <f>IFERROR(__xludf.DUMMYFUNCTION("""COMPUTED_VALUE"""),1015586.0)</f>
        <v>1015586</v>
      </c>
    </row>
    <row r="437">
      <c r="A437" s="3">
        <f>IFERROR(__xludf.DUMMYFUNCTION("""COMPUTED_VALUE"""),40988.666666666664)</f>
        <v>40988.66667</v>
      </c>
      <c r="B437" s="2">
        <f>IFERROR(__xludf.DUMMYFUNCTION("""COMPUTED_VALUE"""),2.33)</f>
        <v>2.33</v>
      </c>
      <c r="C437" s="2">
        <f>IFERROR(__xludf.DUMMYFUNCTION("""COMPUTED_VALUE"""),2.35)</f>
        <v>2.35</v>
      </c>
      <c r="D437" s="2">
        <f>IFERROR(__xludf.DUMMYFUNCTION("""COMPUTED_VALUE"""),2.3)</f>
        <v>2.3</v>
      </c>
      <c r="E437" s="2">
        <f>IFERROR(__xludf.DUMMYFUNCTION("""COMPUTED_VALUE"""),2.33)</f>
        <v>2.33</v>
      </c>
      <c r="F437" s="2">
        <f>IFERROR(__xludf.DUMMYFUNCTION("""COMPUTED_VALUE"""),567001.0)</f>
        <v>567001</v>
      </c>
    </row>
    <row r="438">
      <c r="A438" s="3">
        <f>IFERROR(__xludf.DUMMYFUNCTION("""COMPUTED_VALUE"""),40989.666666666664)</f>
        <v>40989.66667</v>
      </c>
      <c r="B438" s="2">
        <f>IFERROR(__xludf.DUMMYFUNCTION("""COMPUTED_VALUE"""),2.33)</f>
        <v>2.33</v>
      </c>
      <c r="C438" s="2">
        <f>IFERROR(__xludf.DUMMYFUNCTION("""COMPUTED_VALUE"""),2.35)</f>
        <v>2.35</v>
      </c>
      <c r="D438" s="2">
        <f>IFERROR(__xludf.DUMMYFUNCTION("""COMPUTED_VALUE"""),2.31)</f>
        <v>2.31</v>
      </c>
      <c r="E438" s="2">
        <f>IFERROR(__xludf.DUMMYFUNCTION("""COMPUTED_VALUE"""),2.34)</f>
        <v>2.34</v>
      </c>
      <c r="F438" s="2">
        <f>IFERROR(__xludf.DUMMYFUNCTION("""COMPUTED_VALUE"""),607103.0)</f>
        <v>607103</v>
      </c>
    </row>
    <row r="439">
      <c r="A439" s="3">
        <f>IFERROR(__xludf.DUMMYFUNCTION("""COMPUTED_VALUE"""),40990.666666666664)</f>
        <v>40990.66667</v>
      </c>
      <c r="B439" s="2">
        <f>IFERROR(__xludf.DUMMYFUNCTION("""COMPUTED_VALUE"""),2.33)</f>
        <v>2.33</v>
      </c>
      <c r="C439" s="2">
        <f>IFERROR(__xludf.DUMMYFUNCTION("""COMPUTED_VALUE"""),2.34)</f>
        <v>2.34</v>
      </c>
      <c r="D439" s="2">
        <f>IFERROR(__xludf.DUMMYFUNCTION("""COMPUTED_VALUE"""),2.29)</f>
        <v>2.29</v>
      </c>
      <c r="E439" s="2">
        <f>IFERROR(__xludf.DUMMYFUNCTION("""COMPUTED_VALUE"""),2.29)</f>
        <v>2.29</v>
      </c>
      <c r="F439" s="2">
        <f>IFERROR(__xludf.DUMMYFUNCTION("""COMPUTED_VALUE"""),522353.0)</f>
        <v>522353</v>
      </c>
    </row>
    <row r="440">
      <c r="A440" s="3">
        <f>IFERROR(__xludf.DUMMYFUNCTION("""COMPUTED_VALUE"""),40991.666666666664)</f>
        <v>40991.66667</v>
      </c>
      <c r="B440" s="2">
        <f>IFERROR(__xludf.DUMMYFUNCTION("""COMPUTED_VALUE"""),2.28)</f>
        <v>2.28</v>
      </c>
      <c r="C440" s="2">
        <f>IFERROR(__xludf.DUMMYFUNCTION("""COMPUTED_VALUE"""),2.31)</f>
        <v>2.31</v>
      </c>
      <c r="D440" s="2">
        <f>IFERROR(__xludf.DUMMYFUNCTION("""COMPUTED_VALUE"""),2.21)</f>
        <v>2.21</v>
      </c>
      <c r="E440" s="2">
        <f>IFERROR(__xludf.DUMMYFUNCTION("""COMPUTED_VALUE"""),2.27)</f>
        <v>2.27</v>
      </c>
      <c r="F440" s="2">
        <f>IFERROR(__xludf.DUMMYFUNCTION("""COMPUTED_VALUE"""),1170567.0)</f>
        <v>1170567</v>
      </c>
    </row>
    <row r="441">
      <c r="A441" s="3">
        <f>IFERROR(__xludf.DUMMYFUNCTION("""COMPUTED_VALUE"""),40994.666666666664)</f>
        <v>40994.66667</v>
      </c>
      <c r="B441" s="2">
        <f>IFERROR(__xludf.DUMMYFUNCTION("""COMPUTED_VALUE"""),2.37)</f>
        <v>2.37</v>
      </c>
      <c r="C441" s="2">
        <f>IFERROR(__xludf.DUMMYFUNCTION("""COMPUTED_VALUE"""),2.54)</f>
        <v>2.54</v>
      </c>
      <c r="D441" s="2">
        <f>IFERROR(__xludf.DUMMYFUNCTION("""COMPUTED_VALUE"""),2.34)</f>
        <v>2.34</v>
      </c>
      <c r="E441" s="2">
        <f>IFERROR(__xludf.DUMMYFUNCTION("""COMPUTED_VALUE"""),2.49)</f>
        <v>2.49</v>
      </c>
      <c r="F441" s="2">
        <f>IFERROR(__xludf.DUMMYFUNCTION("""COMPUTED_VALUE"""),3140891.0)</f>
        <v>3140891</v>
      </c>
    </row>
    <row r="442">
      <c r="A442" s="3">
        <f>IFERROR(__xludf.DUMMYFUNCTION("""COMPUTED_VALUE"""),40995.666666666664)</f>
        <v>40995.66667</v>
      </c>
      <c r="B442" s="2">
        <f>IFERROR(__xludf.DUMMYFUNCTION("""COMPUTED_VALUE"""),2.48)</f>
        <v>2.48</v>
      </c>
      <c r="C442" s="2">
        <f>IFERROR(__xludf.DUMMYFUNCTION("""COMPUTED_VALUE"""),2.66)</f>
        <v>2.66</v>
      </c>
      <c r="D442" s="2">
        <f>IFERROR(__xludf.DUMMYFUNCTION("""COMPUTED_VALUE"""),2.47)</f>
        <v>2.47</v>
      </c>
      <c r="E442" s="2">
        <f>IFERROR(__xludf.DUMMYFUNCTION("""COMPUTED_VALUE"""),2.53)</f>
        <v>2.53</v>
      </c>
      <c r="F442" s="2">
        <f>IFERROR(__xludf.DUMMYFUNCTION("""COMPUTED_VALUE"""),2540053.0)</f>
        <v>2540053</v>
      </c>
    </row>
    <row r="443">
      <c r="A443" s="3">
        <f>IFERROR(__xludf.DUMMYFUNCTION("""COMPUTED_VALUE"""),40996.666666666664)</f>
        <v>40996.66667</v>
      </c>
      <c r="B443" s="2">
        <f>IFERROR(__xludf.DUMMYFUNCTION("""COMPUTED_VALUE"""),2.52)</f>
        <v>2.52</v>
      </c>
      <c r="C443" s="2">
        <f>IFERROR(__xludf.DUMMYFUNCTION("""COMPUTED_VALUE"""),2.56)</f>
        <v>2.56</v>
      </c>
      <c r="D443" s="2">
        <f>IFERROR(__xludf.DUMMYFUNCTION("""COMPUTED_VALUE"""),2.47)</f>
        <v>2.47</v>
      </c>
      <c r="E443" s="2">
        <f>IFERROR(__xludf.DUMMYFUNCTION("""COMPUTED_VALUE"""),2.52)</f>
        <v>2.52</v>
      </c>
      <c r="F443" s="2">
        <f>IFERROR(__xludf.DUMMYFUNCTION("""COMPUTED_VALUE"""),954970.0)</f>
        <v>954970</v>
      </c>
    </row>
    <row r="444">
      <c r="A444" s="3">
        <f>IFERROR(__xludf.DUMMYFUNCTION("""COMPUTED_VALUE"""),40997.666666666664)</f>
        <v>40997.66667</v>
      </c>
      <c r="B444" s="2">
        <f>IFERROR(__xludf.DUMMYFUNCTION("""COMPUTED_VALUE"""),2.55)</f>
        <v>2.55</v>
      </c>
      <c r="C444" s="2">
        <f>IFERROR(__xludf.DUMMYFUNCTION("""COMPUTED_VALUE"""),2.55)</f>
        <v>2.55</v>
      </c>
      <c r="D444" s="2">
        <f>IFERROR(__xludf.DUMMYFUNCTION("""COMPUTED_VALUE"""),2.47)</f>
        <v>2.47</v>
      </c>
      <c r="E444" s="2">
        <f>IFERROR(__xludf.DUMMYFUNCTION("""COMPUTED_VALUE"""),2.49)</f>
        <v>2.49</v>
      </c>
      <c r="F444" s="2">
        <f>IFERROR(__xludf.DUMMYFUNCTION("""COMPUTED_VALUE"""),796335.0)</f>
        <v>796335</v>
      </c>
    </row>
    <row r="445">
      <c r="A445" s="3">
        <f>IFERROR(__xludf.DUMMYFUNCTION("""COMPUTED_VALUE"""),40998.666666666664)</f>
        <v>40998.66667</v>
      </c>
      <c r="B445" s="2">
        <f>IFERROR(__xludf.DUMMYFUNCTION("""COMPUTED_VALUE"""),2.5)</f>
        <v>2.5</v>
      </c>
      <c r="C445" s="2">
        <f>IFERROR(__xludf.DUMMYFUNCTION("""COMPUTED_VALUE"""),2.53)</f>
        <v>2.53</v>
      </c>
      <c r="D445" s="2">
        <f>IFERROR(__xludf.DUMMYFUNCTION("""COMPUTED_VALUE"""),2.45)</f>
        <v>2.45</v>
      </c>
      <c r="E445" s="2">
        <f>IFERROR(__xludf.DUMMYFUNCTION("""COMPUTED_VALUE"""),2.48)</f>
        <v>2.48</v>
      </c>
      <c r="F445" s="2">
        <f>IFERROR(__xludf.DUMMYFUNCTION("""COMPUTED_VALUE"""),886312.0)</f>
        <v>886312</v>
      </c>
    </row>
    <row r="446">
      <c r="A446" s="3">
        <f>IFERROR(__xludf.DUMMYFUNCTION("""COMPUTED_VALUE"""),41001.666666666664)</f>
        <v>41001.66667</v>
      </c>
      <c r="B446" s="2">
        <f>IFERROR(__xludf.DUMMYFUNCTION("""COMPUTED_VALUE"""),2.49)</f>
        <v>2.49</v>
      </c>
      <c r="C446" s="2">
        <f>IFERROR(__xludf.DUMMYFUNCTION("""COMPUTED_VALUE"""),2.53)</f>
        <v>2.53</v>
      </c>
      <c r="D446" s="2">
        <f>IFERROR(__xludf.DUMMYFUNCTION("""COMPUTED_VALUE"""),2.44)</f>
        <v>2.44</v>
      </c>
      <c r="E446" s="2">
        <f>IFERROR(__xludf.DUMMYFUNCTION("""COMPUTED_VALUE"""),2.44)</f>
        <v>2.44</v>
      </c>
      <c r="F446" s="2">
        <f>IFERROR(__xludf.DUMMYFUNCTION("""COMPUTED_VALUE"""),1028504.0)</f>
        <v>1028504</v>
      </c>
    </row>
    <row r="447">
      <c r="A447" s="3">
        <f>IFERROR(__xludf.DUMMYFUNCTION("""COMPUTED_VALUE"""),41002.666666666664)</f>
        <v>41002.66667</v>
      </c>
      <c r="B447" s="2">
        <f>IFERROR(__xludf.DUMMYFUNCTION("""COMPUTED_VALUE"""),2.45)</f>
        <v>2.45</v>
      </c>
      <c r="C447" s="2">
        <f>IFERROR(__xludf.DUMMYFUNCTION("""COMPUTED_VALUE"""),2.56)</f>
        <v>2.56</v>
      </c>
      <c r="D447" s="2">
        <f>IFERROR(__xludf.DUMMYFUNCTION("""COMPUTED_VALUE"""),2.44)</f>
        <v>2.44</v>
      </c>
      <c r="E447" s="2">
        <f>IFERROR(__xludf.DUMMYFUNCTION("""COMPUTED_VALUE"""),2.53)</f>
        <v>2.53</v>
      </c>
      <c r="F447" s="2">
        <f>IFERROR(__xludf.DUMMYFUNCTION("""COMPUTED_VALUE"""),1104150.0)</f>
        <v>1104150</v>
      </c>
    </row>
    <row r="448">
      <c r="A448" s="3">
        <f>IFERROR(__xludf.DUMMYFUNCTION("""COMPUTED_VALUE"""),41003.666666666664)</f>
        <v>41003.66667</v>
      </c>
      <c r="B448" s="2">
        <f>IFERROR(__xludf.DUMMYFUNCTION("""COMPUTED_VALUE"""),2.35)</f>
        <v>2.35</v>
      </c>
      <c r="C448" s="2">
        <f>IFERROR(__xludf.DUMMYFUNCTION("""COMPUTED_VALUE"""),2.37)</f>
        <v>2.37</v>
      </c>
      <c r="D448" s="2">
        <f>IFERROR(__xludf.DUMMYFUNCTION("""COMPUTED_VALUE"""),2.31)</f>
        <v>2.31</v>
      </c>
      <c r="E448" s="2">
        <f>IFERROR(__xludf.DUMMYFUNCTION("""COMPUTED_VALUE"""),2.33)</f>
        <v>2.33</v>
      </c>
      <c r="F448" s="2">
        <f>IFERROR(__xludf.DUMMYFUNCTION("""COMPUTED_VALUE"""),4482816.0)</f>
        <v>4482816</v>
      </c>
    </row>
    <row r="449">
      <c r="A449" s="3">
        <f>IFERROR(__xludf.DUMMYFUNCTION("""COMPUTED_VALUE"""),41004.666666666664)</f>
        <v>41004.66667</v>
      </c>
      <c r="B449" s="2">
        <f>IFERROR(__xludf.DUMMYFUNCTION("""COMPUTED_VALUE"""),2.34)</f>
        <v>2.34</v>
      </c>
      <c r="C449" s="2">
        <f>IFERROR(__xludf.DUMMYFUNCTION("""COMPUTED_VALUE"""),2.36)</f>
        <v>2.36</v>
      </c>
      <c r="D449" s="2">
        <f>IFERROR(__xludf.DUMMYFUNCTION("""COMPUTED_VALUE"""),2.29)</f>
        <v>2.29</v>
      </c>
      <c r="E449" s="2">
        <f>IFERROR(__xludf.DUMMYFUNCTION("""COMPUTED_VALUE"""),2.3)</f>
        <v>2.3</v>
      </c>
      <c r="F449" s="2">
        <f>IFERROR(__xludf.DUMMYFUNCTION("""COMPUTED_VALUE"""),1509378.0)</f>
        <v>1509378</v>
      </c>
    </row>
    <row r="450">
      <c r="A450" s="3">
        <f>IFERROR(__xludf.DUMMYFUNCTION("""COMPUTED_VALUE"""),41008.666666666664)</f>
        <v>41008.66667</v>
      </c>
      <c r="B450" s="2">
        <f>IFERROR(__xludf.DUMMYFUNCTION("""COMPUTED_VALUE"""),2.27)</f>
        <v>2.27</v>
      </c>
      <c r="C450" s="2">
        <f>IFERROR(__xludf.DUMMYFUNCTION("""COMPUTED_VALUE"""),2.29)</f>
        <v>2.29</v>
      </c>
      <c r="D450" s="2">
        <f>IFERROR(__xludf.DUMMYFUNCTION("""COMPUTED_VALUE"""),2.21)</f>
        <v>2.21</v>
      </c>
      <c r="E450" s="2">
        <f>IFERROR(__xludf.DUMMYFUNCTION("""COMPUTED_VALUE"""),2.21)</f>
        <v>2.21</v>
      </c>
      <c r="F450" s="2">
        <f>IFERROR(__xludf.DUMMYFUNCTION("""COMPUTED_VALUE"""),1655805.0)</f>
        <v>1655805</v>
      </c>
    </row>
    <row r="451">
      <c r="A451" s="3">
        <f>IFERROR(__xludf.DUMMYFUNCTION("""COMPUTED_VALUE"""),41009.666666666664)</f>
        <v>41009.66667</v>
      </c>
      <c r="B451" s="2">
        <f>IFERROR(__xludf.DUMMYFUNCTION("""COMPUTED_VALUE"""),2.21)</f>
        <v>2.21</v>
      </c>
      <c r="C451" s="2">
        <f>IFERROR(__xludf.DUMMYFUNCTION("""COMPUTED_VALUE"""),2.26)</f>
        <v>2.26</v>
      </c>
      <c r="D451" s="2">
        <f>IFERROR(__xludf.DUMMYFUNCTION("""COMPUTED_VALUE"""),2.14)</f>
        <v>2.14</v>
      </c>
      <c r="E451" s="2">
        <f>IFERROR(__xludf.DUMMYFUNCTION("""COMPUTED_VALUE"""),2.16)</f>
        <v>2.16</v>
      </c>
      <c r="F451" s="2">
        <f>IFERROR(__xludf.DUMMYFUNCTION("""COMPUTED_VALUE"""),1847669.0)</f>
        <v>1847669</v>
      </c>
    </row>
    <row r="452">
      <c r="A452" s="3">
        <f>IFERROR(__xludf.DUMMYFUNCTION("""COMPUTED_VALUE"""),41010.666666666664)</f>
        <v>41010.66667</v>
      </c>
      <c r="B452" s="2">
        <f>IFERROR(__xludf.DUMMYFUNCTION("""COMPUTED_VALUE"""),2.22)</f>
        <v>2.22</v>
      </c>
      <c r="C452" s="2">
        <f>IFERROR(__xludf.DUMMYFUNCTION("""COMPUTED_VALUE"""),2.22)</f>
        <v>2.22</v>
      </c>
      <c r="D452" s="2">
        <f>IFERROR(__xludf.DUMMYFUNCTION("""COMPUTED_VALUE"""),2.13)</f>
        <v>2.13</v>
      </c>
      <c r="E452" s="2">
        <f>IFERROR(__xludf.DUMMYFUNCTION("""COMPUTED_VALUE"""),2.21)</f>
        <v>2.21</v>
      </c>
      <c r="F452" s="2">
        <f>IFERROR(__xludf.DUMMYFUNCTION("""COMPUTED_VALUE"""),1105447.0)</f>
        <v>1105447</v>
      </c>
    </row>
    <row r="453">
      <c r="A453" s="3">
        <f>IFERROR(__xludf.DUMMYFUNCTION("""COMPUTED_VALUE"""),41011.666666666664)</f>
        <v>41011.66667</v>
      </c>
      <c r="B453" s="2">
        <f>IFERROR(__xludf.DUMMYFUNCTION("""COMPUTED_VALUE"""),2.25)</f>
        <v>2.25</v>
      </c>
      <c r="C453" s="2">
        <f>IFERROR(__xludf.DUMMYFUNCTION("""COMPUTED_VALUE"""),2.3)</f>
        <v>2.3</v>
      </c>
      <c r="D453" s="2">
        <f>IFERROR(__xludf.DUMMYFUNCTION("""COMPUTED_VALUE"""),2.19)</f>
        <v>2.19</v>
      </c>
      <c r="E453" s="2">
        <f>IFERROR(__xludf.DUMMYFUNCTION("""COMPUTED_VALUE"""),2.23)</f>
        <v>2.23</v>
      </c>
      <c r="F453" s="2">
        <f>IFERROR(__xludf.DUMMYFUNCTION("""COMPUTED_VALUE"""),1034154.0)</f>
        <v>1034154</v>
      </c>
    </row>
    <row r="454">
      <c r="A454" s="3">
        <f>IFERROR(__xludf.DUMMYFUNCTION("""COMPUTED_VALUE"""),41012.666666666664)</f>
        <v>41012.66667</v>
      </c>
      <c r="B454" s="2">
        <f>IFERROR(__xludf.DUMMYFUNCTION("""COMPUTED_VALUE"""),2.26)</f>
        <v>2.26</v>
      </c>
      <c r="C454" s="2">
        <f>IFERROR(__xludf.DUMMYFUNCTION("""COMPUTED_VALUE"""),2.27)</f>
        <v>2.27</v>
      </c>
      <c r="D454" s="2">
        <f>IFERROR(__xludf.DUMMYFUNCTION("""COMPUTED_VALUE"""),2.19)</f>
        <v>2.19</v>
      </c>
      <c r="E454" s="2">
        <f>IFERROR(__xludf.DUMMYFUNCTION("""COMPUTED_VALUE"""),2.24)</f>
        <v>2.24</v>
      </c>
      <c r="F454" s="2">
        <f>IFERROR(__xludf.DUMMYFUNCTION("""COMPUTED_VALUE"""),649580.0)</f>
        <v>649580</v>
      </c>
    </row>
    <row r="455">
      <c r="A455" s="3">
        <f>IFERROR(__xludf.DUMMYFUNCTION("""COMPUTED_VALUE"""),41015.666666666664)</f>
        <v>41015.66667</v>
      </c>
      <c r="B455" s="2">
        <f>IFERROR(__xludf.DUMMYFUNCTION("""COMPUTED_VALUE"""),2.23)</f>
        <v>2.23</v>
      </c>
      <c r="C455" s="2">
        <f>IFERROR(__xludf.DUMMYFUNCTION("""COMPUTED_VALUE"""),2.25)</f>
        <v>2.25</v>
      </c>
      <c r="D455" s="2">
        <f>IFERROR(__xludf.DUMMYFUNCTION("""COMPUTED_VALUE"""),2.14)</f>
        <v>2.14</v>
      </c>
      <c r="E455" s="2">
        <f>IFERROR(__xludf.DUMMYFUNCTION("""COMPUTED_VALUE"""),2.15)</f>
        <v>2.15</v>
      </c>
      <c r="F455" s="2">
        <f>IFERROR(__xludf.DUMMYFUNCTION("""COMPUTED_VALUE"""),1099751.0)</f>
        <v>1099751</v>
      </c>
    </row>
    <row r="456">
      <c r="A456" s="3">
        <f>IFERROR(__xludf.DUMMYFUNCTION("""COMPUTED_VALUE"""),41016.666666666664)</f>
        <v>41016.66667</v>
      </c>
      <c r="B456" s="2">
        <f>IFERROR(__xludf.DUMMYFUNCTION("""COMPUTED_VALUE"""),2.16)</f>
        <v>2.16</v>
      </c>
      <c r="C456" s="2">
        <f>IFERROR(__xludf.DUMMYFUNCTION("""COMPUTED_VALUE"""),2.2)</f>
        <v>2.2</v>
      </c>
      <c r="D456" s="2">
        <f>IFERROR(__xludf.DUMMYFUNCTION("""COMPUTED_VALUE"""),2.14)</f>
        <v>2.14</v>
      </c>
      <c r="E456" s="2">
        <f>IFERROR(__xludf.DUMMYFUNCTION("""COMPUTED_VALUE"""),2.15)</f>
        <v>2.15</v>
      </c>
      <c r="F456" s="2">
        <f>IFERROR(__xludf.DUMMYFUNCTION("""COMPUTED_VALUE"""),1115538.0)</f>
        <v>1115538</v>
      </c>
    </row>
    <row r="457">
      <c r="A457" s="3">
        <f>IFERROR(__xludf.DUMMYFUNCTION("""COMPUTED_VALUE"""),41017.666666666664)</f>
        <v>41017.66667</v>
      </c>
      <c r="B457" s="2">
        <f>IFERROR(__xludf.DUMMYFUNCTION("""COMPUTED_VALUE"""),2.14)</f>
        <v>2.14</v>
      </c>
      <c r="C457" s="2">
        <f>IFERROR(__xludf.DUMMYFUNCTION("""COMPUTED_VALUE"""),2.18)</f>
        <v>2.18</v>
      </c>
      <c r="D457" s="2">
        <f>IFERROR(__xludf.DUMMYFUNCTION("""COMPUTED_VALUE"""),2.1)</f>
        <v>2.1</v>
      </c>
      <c r="E457" s="2">
        <f>IFERROR(__xludf.DUMMYFUNCTION("""COMPUTED_VALUE"""),2.18)</f>
        <v>2.18</v>
      </c>
      <c r="F457" s="2">
        <f>IFERROR(__xludf.DUMMYFUNCTION("""COMPUTED_VALUE"""),823096.0)</f>
        <v>823096</v>
      </c>
    </row>
    <row r="458">
      <c r="A458" s="3">
        <f>IFERROR(__xludf.DUMMYFUNCTION("""COMPUTED_VALUE"""),41018.666666666664)</f>
        <v>41018.66667</v>
      </c>
      <c r="B458" s="2">
        <f>IFERROR(__xludf.DUMMYFUNCTION("""COMPUTED_VALUE"""),2.18)</f>
        <v>2.18</v>
      </c>
      <c r="C458" s="2">
        <f>IFERROR(__xludf.DUMMYFUNCTION("""COMPUTED_VALUE"""),2.23)</f>
        <v>2.23</v>
      </c>
      <c r="D458" s="2">
        <f>IFERROR(__xludf.DUMMYFUNCTION("""COMPUTED_VALUE"""),2.17)</f>
        <v>2.17</v>
      </c>
      <c r="E458" s="2">
        <f>IFERROR(__xludf.DUMMYFUNCTION("""COMPUTED_VALUE"""),2.21)</f>
        <v>2.21</v>
      </c>
      <c r="F458" s="2">
        <f>IFERROR(__xludf.DUMMYFUNCTION("""COMPUTED_VALUE"""),774878.0)</f>
        <v>774878</v>
      </c>
    </row>
    <row r="459">
      <c r="A459" s="3">
        <f>IFERROR(__xludf.DUMMYFUNCTION("""COMPUTED_VALUE"""),41019.666666666664)</f>
        <v>41019.66667</v>
      </c>
      <c r="B459" s="2">
        <f>IFERROR(__xludf.DUMMYFUNCTION("""COMPUTED_VALUE"""),2.21)</f>
        <v>2.21</v>
      </c>
      <c r="C459" s="2">
        <f>IFERROR(__xludf.DUMMYFUNCTION("""COMPUTED_VALUE"""),2.25)</f>
        <v>2.25</v>
      </c>
      <c r="D459" s="2">
        <f>IFERROR(__xludf.DUMMYFUNCTION("""COMPUTED_VALUE"""),2.2)</f>
        <v>2.2</v>
      </c>
      <c r="E459" s="2">
        <f>IFERROR(__xludf.DUMMYFUNCTION("""COMPUTED_VALUE"""),2.21)</f>
        <v>2.21</v>
      </c>
      <c r="F459" s="2">
        <f>IFERROR(__xludf.DUMMYFUNCTION("""COMPUTED_VALUE"""),821774.0)</f>
        <v>821774</v>
      </c>
    </row>
    <row r="460">
      <c r="A460" s="3">
        <f>IFERROR(__xludf.DUMMYFUNCTION("""COMPUTED_VALUE"""),41022.666666666664)</f>
        <v>41022.66667</v>
      </c>
      <c r="B460" s="2">
        <f>IFERROR(__xludf.DUMMYFUNCTION("""COMPUTED_VALUE"""),2.19)</f>
        <v>2.19</v>
      </c>
      <c r="C460" s="2">
        <f>IFERROR(__xludf.DUMMYFUNCTION("""COMPUTED_VALUE"""),2.2)</f>
        <v>2.2</v>
      </c>
      <c r="D460" s="2">
        <f>IFERROR(__xludf.DUMMYFUNCTION("""COMPUTED_VALUE"""),2.11)</f>
        <v>2.11</v>
      </c>
      <c r="E460" s="2">
        <f>IFERROR(__xludf.DUMMYFUNCTION("""COMPUTED_VALUE"""),2.13)</f>
        <v>2.13</v>
      </c>
      <c r="F460" s="2">
        <f>IFERROR(__xludf.DUMMYFUNCTION("""COMPUTED_VALUE"""),890715.0)</f>
        <v>890715</v>
      </c>
    </row>
    <row r="461">
      <c r="A461" s="3">
        <f>IFERROR(__xludf.DUMMYFUNCTION("""COMPUTED_VALUE"""),41023.666666666664)</f>
        <v>41023.66667</v>
      </c>
      <c r="B461" s="2">
        <f>IFERROR(__xludf.DUMMYFUNCTION("""COMPUTED_VALUE"""),2.12)</f>
        <v>2.12</v>
      </c>
      <c r="C461" s="2">
        <f>IFERROR(__xludf.DUMMYFUNCTION("""COMPUTED_VALUE"""),2.15)</f>
        <v>2.15</v>
      </c>
      <c r="D461" s="2">
        <f>IFERROR(__xludf.DUMMYFUNCTION("""COMPUTED_VALUE"""),2.07)</f>
        <v>2.07</v>
      </c>
      <c r="E461" s="2">
        <f>IFERROR(__xludf.DUMMYFUNCTION("""COMPUTED_VALUE"""),2.12)</f>
        <v>2.12</v>
      </c>
      <c r="F461" s="2">
        <f>IFERROR(__xludf.DUMMYFUNCTION("""COMPUTED_VALUE"""),674467.0)</f>
        <v>674467</v>
      </c>
    </row>
    <row r="462">
      <c r="A462" s="3">
        <f>IFERROR(__xludf.DUMMYFUNCTION("""COMPUTED_VALUE"""),41024.666666666664)</f>
        <v>41024.66667</v>
      </c>
      <c r="B462" s="2">
        <f>IFERROR(__xludf.DUMMYFUNCTION("""COMPUTED_VALUE"""),2.14)</f>
        <v>2.14</v>
      </c>
      <c r="C462" s="2">
        <f>IFERROR(__xludf.DUMMYFUNCTION("""COMPUTED_VALUE"""),2.2)</f>
        <v>2.2</v>
      </c>
      <c r="D462" s="2">
        <f>IFERROR(__xludf.DUMMYFUNCTION("""COMPUTED_VALUE"""),2.14)</f>
        <v>2.14</v>
      </c>
      <c r="E462" s="2">
        <f>IFERROR(__xludf.DUMMYFUNCTION("""COMPUTED_VALUE"""),2.19)</f>
        <v>2.19</v>
      </c>
      <c r="F462" s="2">
        <f>IFERROR(__xludf.DUMMYFUNCTION("""COMPUTED_VALUE"""),712133.0)</f>
        <v>712133</v>
      </c>
    </row>
    <row r="463">
      <c r="A463" s="3">
        <f>IFERROR(__xludf.DUMMYFUNCTION("""COMPUTED_VALUE"""),41025.666666666664)</f>
        <v>41025.66667</v>
      </c>
      <c r="B463" s="2">
        <f>IFERROR(__xludf.DUMMYFUNCTION("""COMPUTED_VALUE"""),2.2)</f>
        <v>2.2</v>
      </c>
      <c r="C463" s="2">
        <f>IFERROR(__xludf.DUMMYFUNCTION("""COMPUTED_VALUE"""),2.23)</f>
        <v>2.23</v>
      </c>
      <c r="D463" s="2">
        <f>IFERROR(__xludf.DUMMYFUNCTION("""COMPUTED_VALUE"""),2.19)</f>
        <v>2.19</v>
      </c>
      <c r="E463" s="2">
        <f>IFERROR(__xludf.DUMMYFUNCTION("""COMPUTED_VALUE"""),2.23)</f>
        <v>2.23</v>
      </c>
      <c r="F463" s="2">
        <f>IFERROR(__xludf.DUMMYFUNCTION("""COMPUTED_VALUE"""),427619.0)</f>
        <v>427619</v>
      </c>
    </row>
    <row r="464">
      <c r="A464" s="3">
        <f>IFERROR(__xludf.DUMMYFUNCTION("""COMPUTED_VALUE"""),41026.666666666664)</f>
        <v>41026.66667</v>
      </c>
      <c r="B464" s="2">
        <f>IFERROR(__xludf.DUMMYFUNCTION("""COMPUTED_VALUE"""),2.24)</f>
        <v>2.24</v>
      </c>
      <c r="C464" s="2">
        <f>IFERROR(__xludf.DUMMYFUNCTION("""COMPUTED_VALUE"""),2.24)</f>
        <v>2.24</v>
      </c>
      <c r="D464" s="2">
        <f>IFERROR(__xludf.DUMMYFUNCTION("""COMPUTED_VALUE"""),2.19)</f>
        <v>2.19</v>
      </c>
      <c r="E464" s="2">
        <f>IFERROR(__xludf.DUMMYFUNCTION("""COMPUTED_VALUE"""),2.22)</f>
        <v>2.22</v>
      </c>
      <c r="F464" s="2">
        <f>IFERROR(__xludf.DUMMYFUNCTION("""COMPUTED_VALUE"""),590205.0)</f>
        <v>590205</v>
      </c>
    </row>
    <row r="465">
      <c r="A465" s="3">
        <f>IFERROR(__xludf.DUMMYFUNCTION("""COMPUTED_VALUE"""),41029.666666666664)</f>
        <v>41029.66667</v>
      </c>
      <c r="B465" s="2">
        <f>IFERROR(__xludf.DUMMYFUNCTION("""COMPUTED_VALUE"""),2.22)</f>
        <v>2.22</v>
      </c>
      <c r="C465" s="2">
        <f>IFERROR(__xludf.DUMMYFUNCTION("""COMPUTED_VALUE"""),2.22)</f>
        <v>2.22</v>
      </c>
      <c r="D465" s="2">
        <f>IFERROR(__xludf.DUMMYFUNCTION("""COMPUTED_VALUE"""),2.17)</f>
        <v>2.17</v>
      </c>
      <c r="E465" s="2">
        <f>IFERROR(__xludf.DUMMYFUNCTION("""COMPUTED_VALUE"""),2.21)</f>
        <v>2.21</v>
      </c>
      <c r="F465" s="2">
        <f>IFERROR(__xludf.DUMMYFUNCTION("""COMPUTED_VALUE"""),413948.0)</f>
        <v>413948</v>
      </c>
    </row>
    <row r="466">
      <c r="A466" s="3">
        <f>IFERROR(__xludf.DUMMYFUNCTION("""COMPUTED_VALUE"""),41030.666666666664)</f>
        <v>41030.66667</v>
      </c>
      <c r="B466" s="2">
        <f>IFERROR(__xludf.DUMMYFUNCTION("""COMPUTED_VALUE"""),2.21)</f>
        <v>2.21</v>
      </c>
      <c r="C466" s="2">
        <f>IFERROR(__xludf.DUMMYFUNCTION("""COMPUTED_VALUE"""),2.28)</f>
        <v>2.28</v>
      </c>
      <c r="D466" s="2">
        <f>IFERROR(__xludf.DUMMYFUNCTION("""COMPUTED_VALUE"""),2.21)</f>
        <v>2.21</v>
      </c>
      <c r="E466" s="2">
        <f>IFERROR(__xludf.DUMMYFUNCTION("""COMPUTED_VALUE"""),2.25)</f>
        <v>2.25</v>
      </c>
      <c r="F466" s="2">
        <f>IFERROR(__xludf.DUMMYFUNCTION("""COMPUTED_VALUE"""),658947.0)</f>
        <v>658947</v>
      </c>
    </row>
    <row r="467">
      <c r="A467" s="3">
        <f>IFERROR(__xludf.DUMMYFUNCTION("""COMPUTED_VALUE"""),41031.666666666664)</f>
        <v>41031.66667</v>
      </c>
      <c r="B467" s="2">
        <f>IFERROR(__xludf.DUMMYFUNCTION("""COMPUTED_VALUE"""),2.23)</f>
        <v>2.23</v>
      </c>
      <c r="C467" s="2">
        <f>IFERROR(__xludf.DUMMYFUNCTION("""COMPUTED_VALUE"""),2.29)</f>
        <v>2.29</v>
      </c>
      <c r="D467" s="2">
        <f>IFERROR(__xludf.DUMMYFUNCTION("""COMPUTED_VALUE"""),2.23)</f>
        <v>2.23</v>
      </c>
      <c r="E467" s="2">
        <f>IFERROR(__xludf.DUMMYFUNCTION("""COMPUTED_VALUE"""),2.26)</f>
        <v>2.26</v>
      </c>
      <c r="F467" s="2">
        <f>IFERROR(__xludf.DUMMYFUNCTION("""COMPUTED_VALUE"""),497251.0)</f>
        <v>497251</v>
      </c>
    </row>
    <row r="468">
      <c r="A468" s="3">
        <f>IFERROR(__xludf.DUMMYFUNCTION("""COMPUTED_VALUE"""),41032.666666666664)</f>
        <v>41032.66667</v>
      </c>
      <c r="B468" s="2">
        <f>IFERROR(__xludf.DUMMYFUNCTION("""COMPUTED_VALUE"""),2.26)</f>
        <v>2.26</v>
      </c>
      <c r="C468" s="2">
        <f>IFERROR(__xludf.DUMMYFUNCTION("""COMPUTED_VALUE"""),2.27)</f>
        <v>2.27</v>
      </c>
      <c r="D468" s="2">
        <f>IFERROR(__xludf.DUMMYFUNCTION("""COMPUTED_VALUE"""),2.14)</f>
        <v>2.14</v>
      </c>
      <c r="E468" s="2">
        <f>IFERROR(__xludf.DUMMYFUNCTION("""COMPUTED_VALUE"""),2.16)</f>
        <v>2.16</v>
      </c>
      <c r="F468" s="2">
        <f>IFERROR(__xludf.DUMMYFUNCTION("""COMPUTED_VALUE"""),842107.0)</f>
        <v>842107</v>
      </c>
    </row>
    <row r="469">
      <c r="A469" s="3">
        <f>IFERROR(__xludf.DUMMYFUNCTION("""COMPUTED_VALUE"""),41033.666666666664)</f>
        <v>41033.66667</v>
      </c>
      <c r="B469" s="2">
        <f>IFERROR(__xludf.DUMMYFUNCTION("""COMPUTED_VALUE"""),2.15)</f>
        <v>2.15</v>
      </c>
      <c r="C469" s="2">
        <f>IFERROR(__xludf.DUMMYFUNCTION("""COMPUTED_VALUE"""),2.16)</f>
        <v>2.16</v>
      </c>
      <c r="D469" s="2">
        <f>IFERROR(__xludf.DUMMYFUNCTION("""COMPUTED_VALUE"""),2.09)</f>
        <v>2.09</v>
      </c>
      <c r="E469" s="2">
        <f>IFERROR(__xludf.DUMMYFUNCTION("""COMPUTED_VALUE"""),2.12)</f>
        <v>2.12</v>
      </c>
      <c r="F469" s="2">
        <f>IFERROR(__xludf.DUMMYFUNCTION("""COMPUTED_VALUE"""),1247486.0)</f>
        <v>1247486</v>
      </c>
    </row>
    <row r="470">
      <c r="A470" s="3">
        <f>IFERROR(__xludf.DUMMYFUNCTION("""COMPUTED_VALUE"""),41036.666666666664)</f>
        <v>41036.66667</v>
      </c>
      <c r="B470" s="2">
        <f>IFERROR(__xludf.DUMMYFUNCTION("""COMPUTED_VALUE"""),2.13)</f>
        <v>2.13</v>
      </c>
      <c r="C470" s="2">
        <f>IFERROR(__xludf.DUMMYFUNCTION("""COMPUTED_VALUE"""),2.17)</f>
        <v>2.17</v>
      </c>
      <c r="D470" s="2">
        <f>IFERROR(__xludf.DUMMYFUNCTION("""COMPUTED_VALUE"""),2.11)</f>
        <v>2.11</v>
      </c>
      <c r="E470" s="2">
        <f>IFERROR(__xludf.DUMMYFUNCTION("""COMPUTED_VALUE"""),2.16)</f>
        <v>2.16</v>
      </c>
      <c r="F470" s="2">
        <f>IFERROR(__xludf.DUMMYFUNCTION("""COMPUTED_VALUE"""),1157969.0)</f>
        <v>1157969</v>
      </c>
    </row>
    <row r="471">
      <c r="A471" s="3">
        <f>IFERROR(__xludf.DUMMYFUNCTION("""COMPUTED_VALUE"""),41037.666666666664)</f>
        <v>41037.66667</v>
      </c>
      <c r="B471" s="2">
        <f>IFERROR(__xludf.DUMMYFUNCTION("""COMPUTED_VALUE"""),2.17)</f>
        <v>2.17</v>
      </c>
      <c r="C471" s="2">
        <f>IFERROR(__xludf.DUMMYFUNCTION("""COMPUTED_VALUE"""),2.18)</f>
        <v>2.18</v>
      </c>
      <c r="D471" s="2">
        <f>IFERROR(__xludf.DUMMYFUNCTION("""COMPUTED_VALUE"""),1.96)</f>
        <v>1.96</v>
      </c>
      <c r="E471" s="2">
        <f>IFERROR(__xludf.DUMMYFUNCTION("""COMPUTED_VALUE"""),2.01)</f>
        <v>2.01</v>
      </c>
      <c r="F471" s="2">
        <f>IFERROR(__xludf.DUMMYFUNCTION("""COMPUTED_VALUE"""),3097180.0)</f>
        <v>3097180</v>
      </c>
    </row>
    <row r="472">
      <c r="A472" s="3">
        <f>IFERROR(__xludf.DUMMYFUNCTION("""COMPUTED_VALUE"""),41038.666666666664)</f>
        <v>41038.66667</v>
      </c>
      <c r="B472" s="2">
        <f>IFERROR(__xludf.DUMMYFUNCTION("""COMPUTED_VALUE"""),2.02)</f>
        <v>2.02</v>
      </c>
      <c r="C472" s="2">
        <f>IFERROR(__xludf.DUMMYFUNCTION("""COMPUTED_VALUE"""),2.05)</f>
        <v>2.05</v>
      </c>
      <c r="D472" s="2">
        <f>IFERROR(__xludf.DUMMYFUNCTION("""COMPUTED_VALUE"""),1.98)</f>
        <v>1.98</v>
      </c>
      <c r="E472" s="2">
        <f>IFERROR(__xludf.DUMMYFUNCTION("""COMPUTED_VALUE"""),2.0)</f>
        <v>2</v>
      </c>
      <c r="F472" s="2">
        <f>IFERROR(__xludf.DUMMYFUNCTION("""COMPUTED_VALUE"""),1947828.0)</f>
        <v>1947828</v>
      </c>
    </row>
    <row r="473">
      <c r="A473" s="3">
        <f>IFERROR(__xludf.DUMMYFUNCTION("""COMPUTED_VALUE"""),41039.666666666664)</f>
        <v>41039.66667</v>
      </c>
      <c r="B473" s="2">
        <f>IFERROR(__xludf.DUMMYFUNCTION("""COMPUTED_VALUE"""),2.17)</f>
        <v>2.17</v>
      </c>
      <c r="C473" s="2">
        <f>IFERROR(__xludf.DUMMYFUNCTION("""COMPUTED_VALUE"""),2.31)</f>
        <v>2.31</v>
      </c>
      <c r="D473" s="2">
        <f>IFERROR(__xludf.DUMMYFUNCTION("""COMPUTED_VALUE"""),2.16)</f>
        <v>2.16</v>
      </c>
      <c r="E473" s="2">
        <f>IFERROR(__xludf.DUMMYFUNCTION("""COMPUTED_VALUE"""),2.2)</f>
        <v>2.2</v>
      </c>
      <c r="F473" s="2">
        <f>IFERROR(__xludf.DUMMYFUNCTION("""COMPUTED_VALUE"""),5556301.0)</f>
        <v>5556301</v>
      </c>
    </row>
    <row r="474">
      <c r="A474" s="3">
        <f>IFERROR(__xludf.DUMMYFUNCTION("""COMPUTED_VALUE"""),41040.666666666664)</f>
        <v>41040.66667</v>
      </c>
      <c r="B474" s="2">
        <f>IFERROR(__xludf.DUMMYFUNCTION("""COMPUTED_VALUE"""),2.17)</f>
        <v>2.17</v>
      </c>
      <c r="C474" s="2">
        <f>IFERROR(__xludf.DUMMYFUNCTION("""COMPUTED_VALUE"""),2.23)</f>
        <v>2.23</v>
      </c>
      <c r="D474" s="2">
        <f>IFERROR(__xludf.DUMMYFUNCTION("""COMPUTED_VALUE"""),2.14)</f>
        <v>2.14</v>
      </c>
      <c r="E474" s="2">
        <f>IFERROR(__xludf.DUMMYFUNCTION("""COMPUTED_VALUE"""),2.15)</f>
        <v>2.15</v>
      </c>
      <c r="F474" s="2">
        <f>IFERROR(__xludf.DUMMYFUNCTION("""COMPUTED_VALUE"""),1221205.0)</f>
        <v>1221205</v>
      </c>
    </row>
    <row r="475">
      <c r="A475" s="3">
        <f>IFERROR(__xludf.DUMMYFUNCTION("""COMPUTED_VALUE"""),41043.666666666664)</f>
        <v>41043.66667</v>
      </c>
      <c r="B475" s="2">
        <f>IFERROR(__xludf.DUMMYFUNCTION("""COMPUTED_VALUE"""),2.13)</f>
        <v>2.13</v>
      </c>
      <c r="C475" s="2">
        <f>IFERROR(__xludf.DUMMYFUNCTION("""COMPUTED_VALUE"""),2.14)</f>
        <v>2.14</v>
      </c>
      <c r="D475" s="2">
        <f>IFERROR(__xludf.DUMMYFUNCTION("""COMPUTED_VALUE"""),2.0)</f>
        <v>2</v>
      </c>
      <c r="E475" s="2">
        <f>IFERROR(__xludf.DUMMYFUNCTION("""COMPUTED_VALUE"""),2.0)</f>
        <v>2</v>
      </c>
      <c r="F475" s="2">
        <f>IFERROR(__xludf.DUMMYFUNCTION("""COMPUTED_VALUE"""),1380842.0)</f>
        <v>1380842</v>
      </c>
    </row>
    <row r="476">
      <c r="A476" s="3">
        <f>IFERROR(__xludf.DUMMYFUNCTION("""COMPUTED_VALUE"""),41044.666666666664)</f>
        <v>41044.66667</v>
      </c>
      <c r="B476" s="2">
        <f>IFERROR(__xludf.DUMMYFUNCTION("""COMPUTED_VALUE"""),2.02)</f>
        <v>2.02</v>
      </c>
      <c r="C476" s="2">
        <f>IFERROR(__xludf.DUMMYFUNCTION("""COMPUTED_VALUE"""),2.06)</f>
        <v>2.06</v>
      </c>
      <c r="D476" s="2">
        <f>IFERROR(__xludf.DUMMYFUNCTION("""COMPUTED_VALUE"""),1.95)</f>
        <v>1.95</v>
      </c>
      <c r="E476" s="2">
        <f>IFERROR(__xludf.DUMMYFUNCTION("""COMPUTED_VALUE"""),1.96)</f>
        <v>1.96</v>
      </c>
      <c r="F476" s="2">
        <f>IFERROR(__xludf.DUMMYFUNCTION("""COMPUTED_VALUE"""),1585682.0)</f>
        <v>1585682</v>
      </c>
    </row>
    <row r="477">
      <c r="A477" s="3">
        <f>IFERROR(__xludf.DUMMYFUNCTION("""COMPUTED_VALUE"""),41045.666666666664)</f>
        <v>41045.66667</v>
      </c>
      <c r="B477" s="2">
        <f>IFERROR(__xludf.DUMMYFUNCTION("""COMPUTED_VALUE"""),1.97)</f>
        <v>1.97</v>
      </c>
      <c r="C477" s="2">
        <f>IFERROR(__xludf.DUMMYFUNCTION("""COMPUTED_VALUE"""),2.01)</f>
        <v>2.01</v>
      </c>
      <c r="D477" s="2">
        <f>IFERROR(__xludf.DUMMYFUNCTION("""COMPUTED_VALUE"""),1.93)</f>
        <v>1.93</v>
      </c>
      <c r="E477" s="2">
        <f>IFERROR(__xludf.DUMMYFUNCTION("""COMPUTED_VALUE"""),1.95)</f>
        <v>1.95</v>
      </c>
      <c r="F477" s="2">
        <f>IFERROR(__xludf.DUMMYFUNCTION("""COMPUTED_VALUE"""),1257193.0)</f>
        <v>1257193</v>
      </c>
    </row>
    <row r="478">
      <c r="A478" s="3">
        <f>IFERROR(__xludf.DUMMYFUNCTION("""COMPUTED_VALUE"""),41046.666666666664)</f>
        <v>41046.66667</v>
      </c>
      <c r="B478" s="2">
        <f>IFERROR(__xludf.DUMMYFUNCTION("""COMPUTED_VALUE"""),1.95)</f>
        <v>1.95</v>
      </c>
      <c r="C478" s="2">
        <f>IFERROR(__xludf.DUMMYFUNCTION("""COMPUTED_VALUE"""),1.99)</f>
        <v>1.99</v>
      </c>
      <c r="D478" s="2">
        <f>IFERROR(__xludf.DUMMYFUNCTION("""COMPUTED_VALUE"""),1.88)</f>
        <v>1.88</v>
      </c>
      <c r="E478" s="2">
        <f>IFERROR(__xludf.DUMMYFUNCTION("""COMPUTED_VALUE"""),1.9)</f>
        <v>1.9</v>
      </c>
      <c r="F478" s="2">
        <f>IFERROR(__xludf.DUMMYFUNCTION("""COMPUTED_VALUE"""),1149043.0)</f>
        <v>1149043</v>
      </c>
    </row>
    <row r="479">
      <c r="A479" s="3">
        <f>IFERROR(__xludf.DUMMYFUNCTION("""COMPUTED_VALUE"""),41047.666666666664)</f>
        <v>41047.66667</v>
      </c>
      <c r="B479" s="2">
        <f>IFERROR(__xludf.DUMMYFUNCTION("""COMPUTED_VALUE"""),1.89)</f>
        <v>1.89</v>
      </c>
      <c r="C479" s="2">
        <f>IFERROR(__xludf.DUMMYFUNCTION("""COMPUTED_VALUE"""),1.9)</f>
        <v>1.9</v>
      </c>
      <c r="D479" s="2">
        <f>IFERROR(__xludf.DUMMYFUNCTION("""COMPUTED_VALUE"""),1.79)</f>
        <v>1.79</v>
      </c>
      <c r="E479" s="2">
        <f>IFERROR(__xludf.DUMMYFUNCTION("""COMPUTED_VALUE"""),1.84)</f>
        <v>1.84</v>
      </c>
      <c r="F479" s="2">
        <f>IFERROR(__xludf.DUMMYFUNCTION("""COMPUTED_VALUE"""),1616487.0)</f>
        <v>1616487</v>
      </c>
    </row>
    <row r="480">
      <c r="A480" s="3">
        <f>IFERROR(__xludf.DUMMYFUNCTION("""COMPUTED_VALUE"""),41050.666666666664)</f>
        <v>41050.66667</v>
      </c>
      <c r="B480" s="2">
        <f>IFERROR(__xludf.DUMMYFUNCTION("""COMPUTED_VALUE"""),1.84)</f>
        <v>1.84</v>
      </c>
      <c r="C480" s="2">
        <f>IFERROR(__xludf.DUMMYFUNCTION("""COMPUTED_VALUE"""),1.95)</f>
        <v>1.95</v>
      </c>
      <c r="D480" s="2">
        <f>IFERROR(__xludf.DUMMYFUNCTION("""COMPUTED_VALUE"""),1.81)</f>
        <v>1.81</v>
      </c>
      <c r="E480" s="2">
        <f>IFERROR(__xludf.DUMMYFUNCTION("""COMPUTED_VALUE"""),1.92)</f>
        <v>1.92</v>
      </c>
      <c r="F480" s="2">
        <f>IFERROR(__xludf.DUMMYFUNCTION("""COMPUTED_VALUE"""),1475170.0)</f>
        <v>1475170</v>
      </c>
    </row>
    <row r="481">
      <c r="A481" s="3">
        <f>IFERROR(__xludf.DUMMYFUNCTION("""COMPUTED_VALUE"""),41051.666666666664)</f>
        <v>41051.66667</v>
      </c>
      <c r="B481" s="2">
        <f>IFERROR(__xludf.DUMMYFUNCTION("""COMPUTED_VALUE"""),2.01)</f>
        <v>2.01</v>
      </c>
      <c r="C481" s="2">
        <f>IFERROR(__xludf.DUMMYFUNCTION("""COMPUTED_VALUE"""),2.09)</f>
        <v>2.09</v>
      </c>
      <c r="D481" s="2">
        <f>IFERROR(__xludf.DUMMYFUNCTION("""COMPUTED_VALUE"""),2.0)</f>
        <v>2</v>
      </c>
      <c r="E481" s="2">
        <f>IFERROR(__xludf.DUMMYFUNCTION("""COMPUTED_VALUE"""),2.05)</f>
        <v>2.05</v>
      </c>
      <c r="F481" s="2">
        <f>IFERROR(__xludf.DUMMYFUNCTION("""COMPUTED_VALUE"""),2366170.0)</f>
        <v>2366170</v>
      </c>
    </row>
    <row r="482">
      <c r="A482" s="3">
        <f>IFERROR(__xludf.DUMMYFUNCTION("""COMPUTED_VALUE"""),41052.666666666664)</f>
        <v>41052.66667</v>
      </c>
      <c r="B482" s="2">
        <f>IFERROR(__xludf.DUMMYFUNCTION("""COMPUTED_VALUE"""),2.04)</f>
        <v>2.04</v>
      </c>
      <c r="C482" s="2">
        <f>IFERROR(__xludf.DUMMYFUNCTION("""COMPUTED_VALUE"""),2.07)</f>
        <v>2.07</v>
      </c>
      <c r="D482" s="2">
        <f>IFERROR(__xludf.DUMMYFUNCTION("""COMPUTED_VALUE"""),1.97)</f>
        <v>1.97</v>
      </c>
      <c r="E482" s="2">
        <f>IFERROR(__xludf.DUMMYFUNCTION("""COMPUTED_VALUE"""),2.07)</f>
        <v>2.07</v>
      </c>
      <c r="F482" s="2">
        <f>IFERROR(__xludf.DUMMYFUNCTION("""COMPUTED_VALUE"""),1220349.0)</f>
        <v>1220349</v>
      </c>
    </row>
    <row r="483">
      <c r="A483" s="3">
        <f>IFERROR(__xludf.DUMMYFUNCTION("""COMPUTED_VALUE"""),41053.666666666664)</f>
        <v>41053.66667</v>
      </c>
      <c r="B483" s="2">
        <f>IFERROR(__xludf.DUMMYFUNCTION("""COMPUTED_VALUE"""),2.08)</f>
        <v>2.08</v>
      </c>
      <c r="C483" s="2">
        <f>IFERROR(__xludf.DUMMYFUNCTION("""COMPUTED_VALUE"""),2.08)</f>
        <v>2.08</v>
      </c>
      <c r="D483" s="2">
        <f>IFERROR(__xludf.DUMMYFUNCTION("""COMPUTED_VALUE"""),1.98)</f>
        <v>1.98</v>
      </c>
      <c r="E483" s="2">
        <f>IFERROR(__xludf.DUMMYFUNCTION("""COMPUTED_VALUE"""),2.02)</f>
        <v>2.02</v>
      </c>
      <c r="F483" s="2">
        <f>IFERROR(__xludf.DUMMYFUNCTION("""COMPUTED_VALUE"""),1075520.0)</f>
        <v>1075520</v>
      </c>
    </row>
    <row r="484">
      <c r="A484" s="3">
        <f>IFERROR(__xludf.DUMMYFUNCTION("""COMPUTED_VALUE"""),41054.666666666664)</f>
        <v>41054.66667</v>
      </c>
      <c r="B484" s="2">
        <f>IFERROR(__xludf.DUMMYFUNCTION("""COMPUTED_VALUE"""),2.01)</f>
        <v>2.01</v>
      </c>
      <c r="C484" s="2">
        <f>IFERROR(__xludf.DUMMYFUNCTION("""COMPUTED_VALUE"""),2.03)</f>
        <v>2.03</v>
      </c>
      <c r="D484" s="2">
        <f>IFERROR(__xludf.DUMMYFUNCTION("""COMPUTED_VALUE"""),1.95)</f>
        <v>1.95</v>
      </c>
      <c r="E484" s="2">
        <f>IFERROR(__xludf.DUMMYFUNCTION("""COMPUTED_VALUE"""),1.99)</f>
        <v>1.99</v>
      </c>
      <c r="F484" s="2">
        <f>IFERROR(__xludf.DUMMYFUNCTION("""COMPUTED_VALUE"""),757009.0)</f>
        <v>757009</v>
      </c>
    </row>
    <row r="485">
      <c r="A485" s="3">
        <f>IFERROR(__xludf.DUMMYFUNCTION("""COMPUTED_VALUE"""),41058.666666666664)</f>
        <v>41058.66667</v>
      </c>
      <c r="B485" s="2">
        <f>IFERROR(__xludf.DUMMYFUNCTION("""COMPUTED_VALUE"""),2.0)</f>
        <v>2</v>
      </c>
      <c r="C485" s="2">
        <f>IFERROR(__xludf.DUMMYFUNCTION("""COMPUTED_VALUE"""),2.13)</f>
        <v>2.13</v>
      </c>
      <c r="D485" s="2">
        <f>IFERROR(__xludf.DUMMYFUNCTION("""COMPUTED_VALUE"""),2.0)</f>
        <v>2</v>
      </c>
      <c r="E485" s="2">
        <f>IFERROR(__xludf.DUMMYFUNCTION("""COMPUTED_VALUE"""),2.11)</f>
        <v>2.11</v>
      </c>
      <c r="F485" s="2">
        <f>IFERROR(__xludf.DUMMYFUNCTION("""COMPUTED_VALUE"""),1649917.0)</f>
        <v>1649917</v>
      </c>
    </row>
    <row r="486">
      <c r="A486" s="3">
        <f>IFERROR(__xludf.DUMMYFUNCTION("""COMPUTED_VALUE"""),41059.666666666664)</f>
        <v>41059.66667</v>
      </c>
      <c r="B486" s="2">
        <f>IFERROR(__xludf.DUMMYFUNCTION("""COMPUTED_VALUE"""),2.09)</f>
        <v>2.09</v>
      </c>
      <c r="C486" s="2">
        <f>IFERROR(__xludf.DUMMYFUNCTION("""COMPUTED_VALUE"""),2.09)</f>
        <v>2.09</v>
      </c>
      <c r="D486" s="2">
        <f>IFERROR(__xludf.DUMMYFUNCTION("""COMPUTED_VALUE"""),2.02)</f>
        <v>2.02</v>
      </c>
      <c r="E486" s="2">
        <f>IFERROR(__xludf.DUMMYFUNCTION("""COMPUTED_VALUE"""),2.03)</f>
        <v>2.03</v>
      </c>
      <c r="F486" s="2">
        <f>IFERROR(__xludf.DUMMYFUNCTION("""COMPUTED_VALUE"""),1307141.0)</f>
        <v>1307141</v>
      </c>
    </row>
    <row r="487">
      <c r="A487" s="3">
        <f>IFERROR(__xludf.DUMMYFUNCTION("""COMPUTED_VALUE"""),41060.666666666664)</f>
        <v>41060.66667</v>
      </c>
      <c r="B487" s="2">
        <f>IFERROR(__xludf.DUMMYFUNCTION("""COMPUTED_VALUE"""),2.0)</f>
        <v>2</v>
      </c>
      <c r="C487" s="2">
        <f>IFERROR(__xludf.DUMMYFUNCTION("""COMPUTED_VALUE"""),2.02)</f>
        <v>2.02</v>
      </c>
      <c r="D487" s="2">
        <f>IFERROR(__xludf.DUMMYFUNCTION("""COMPUTED_VALUE"""),1.92)</f>
        <v>1.92</v>
      </c>
      <c r="E487" s="2">
        <f>IFERROR(__xludf.DUMMYFUNCTION("""COMPUTED_VALUE"""),1.97)</f>
        <v>1.97</v>
      </c>
      <c r="F487" s="2">
        <f>IFERROR(__xludf.DUMMYFUNCTION("""COMPUTED_VALUE"""),1118701.0)</f>
        <v>1118701</v>
      </c>
    </row>
    <row r="488">
      <c r="A488" s="3">
        <f>IFERROR(__xludf.DUMMYFUNCTION("""COMPUTED_VALUE"""),41061.666666666664)</f>
        <v>41061.66667</v>
      </c>
      <c r="B488" s="2">
        <f>IFERROR(__xludf.DUMMYFUNCTION("""COMPUTED_VALUE"""),1.9)</f>
        <v>1.9</v>
      </c>
      <c r="C488" s="2">
        <f>IFERROR(__xludf.DUMMYFUNCTION("""COMPUTED_VALUE"""),1.94)</f>
        <v>1.94</v>
      </c>
      <c r="D488" s="2">
        <f>IFERROR(__xludf.DUMMYFUNCTION("""COMPUTED_VALUE"""),1.85)</f>
        <v>1.85</v>
      </c>
      <c r="E488" s="2">
        <f>IFERROR(__xludf.DUMMYFUNCTION("""COMPUTED_VALUE"""),1.88)</f>
        <v>1.88</v>
      </c>
      <c r="F488" s="2">
        <f>IFERROR(__xludf.DUMMYFUNCTION("""COMPUTED_VALUE"""),885710.0)</f>
        <v>885710</v>
      </c>
    </row>
    <row r="489">
      <c r="A489" s="3">
        <f>IFERROR(__xludf.DUMMYFUNCTION("""COMPUTED_VALUE"""),41064.666666666664)</f>
        <v>41064.66667</v>
      </c>
      <c r="B489" s="2">
        <f>IFERROR(__xludf.DUMMYFUNCTION("""COMPUTED_VALUE"""),1.87)</f>
        <v>1.87</v>
      </c>
      <c r="C489" s="2">
        <f>IFERROR(__xludf.DUMMYFUNCTION("""COMPUTED_VALUE"""),1.89)</f>
        <v>1.89</v>
      </c>
      <c r="D489" s="2">
        <f>IFERROR(__xludf.DUMMYFUNCTION("""COMPUTED_VALUE"""),1.81)</f>
        <v>1.81</v>
      </c>
      <c r="E489" s="2">
        <f>IFERROR(__xludf.DUMMYFUNCTION("""COMPUTED_VALUE"""),1.86)</f>
        <v>1.86</v>
      </c>
      <c r="F489" s="2">
        <f>IFERROR(__xludf.DUMMYFUNCTION("""COMPUTED_VALUE"""),1030834.0)</f>
        <v>1030834</v>
      </c>
    </row>
    <row r="490">
      <c r="A490" s="3">
        <f>IFERROR(__xludf.DUMMYFUNCTION("""COMPUTED_VALUE"""),41065.666666666664)</f>
        <v>41065.66667</v>
      </c>
      <c r="B490" s="2">
        <f>IFERROR(__xludf.DUMMYFUNCTION("""COMPUTED_VALUE"""),1.86)</f>
        <v>1.86</v>
      </c>
      <c r="C490" s="2">
        <f>IFERROR(__xludf.DUMMYFUNCTION("""COMPUTED_VALUE"""),1.89)</f>
        <v>1.89</v>
      </c>
      <c r="D490" s="2">
        <f>IFERROR(__xludf.DUMMYFUNCTION("""COMPUTED_VALUE"""),1.84)</f>
        <v>1.84</v>
      </c>
      <c r="E490" s="2">
        <f>IFERROR(__xludf.DUMMYFUNCTION("""COMPUTED_VALUE"""),1.86)</f>
        <v>1.86</v>
      </c>
      <c r="F490" s="2">
        <f>IFERROR(__xludf.DUMMYFUNCTION("""COMPUTED_VALUE"""),630885.0)</f>
        <v>630885</v>
      </c>
    </row>
    <row r="491">
      <c r="A491" s="3">
        <f>IFERROR(__xludf.DUMMYFUNCTION("""COMPUTED_VALUE"""),41066.666666666664)</f>
        <v>41066.66667</v>
      </c>
      <c r="B491" s="2">
        <f>IFERROR(__xludf.DUMMYFUNCTION("""COMPUTED_VALUE"""),1.88)</f>
        <v>1.88</v>
      </c>
      <c r="C491" s="2">
        <f>IFERROR(__xludf.DUMMYFUNCTION("""COMPUTED_VALUE"""),1.96)</f>
        <v>1.96</v>
      </c>
      <c r="D491" s="2">
        <f>IFERROR(__xludf.DUMMYFUNCTION("""COMPUTED_VALUE"""),1.88)</f>
        <v>1.88</v>
      </c>
      <c r="E491" s="2">
        <f>IFERROR(__xludf.DUMMYFUNCTION("""COMPUTED_VALUE"""),1.95)</f>
        <v>1.95</v>
      </c>
      <c r="F491" s="2">
        <f>IFERROR(__xludf.DUMMYFUNCTION("""COMPUTED_VALUE"""),910508.0)</f>
        <v>910508</v>
      </c>
    </row>
    <row r="492">
      <c r="A492" s="3">
        <f>IFERROR(__xludf.DUMMYFUNCTION("""COMPUTED_VALUE"""),41067.666666666664)</f>
        <v>41067.66667</v>
      </c>
      <c r="B492" s="2">
        <f>IFERROR(__xludf.DUMMYFUNCTION("""COMPUTED_VALUE"""),1.99)</f>
        <v>1.99</v>
      </c>
      <c r="C492" s="2">
        <f>IFERROR(__xludf.DUMMYFUNCTION("""COMPUTED_VALUE"""),1.99)</f>
        <v>1.99</v>
      </c>
      <c r="D492" s="2">
        <f>IFERROR(__xludf.DUMMYFUNCTION("""COMPUTED_VALUE"""),1.92)</f>
        <v>1.92</v>
      </c>
      <c r="E492" s="2">
        <f>IFERROR(__xludf.DUMMYFUNCTION("""COMPUTED_VALUE"""),1.93)</f>
        <v>1.93</v>
      </c>
      <c r="F492" s="2">
        <f>IFERROR(__xludf.DUMMYFUNCTION("""COMPUTED_VALUE"""),492015.0)</f>
        <v>492015</v>
      </c>
    </row>
    <row r="493">
      <c r="A493" s="3">
        <f>IFERROR(__xludf.DUMMYFUNCTION("""COMPUTED_VALUE"""),41068.666666666664)</f>
        <v>41068.66667</v>
      </c>
      <c r="B493" s="2">
        <f>IFERROR(__xludf.DUMMYFUNCTION("""COMPUTED_VALUE"""),1.92)</f>
        <v>1.92</v>
      </c>
      <c r="C493" s="2">
        <f>IFERROR(__xludf.DUMMYFUNCTION("""COMPUTED_VALUE"""),2.01)</f>
        <v>2.01</v>
      </c>
      <c r="D493" s="2">
        <f>IFERROR(__xludf.DUMMYFUNCTION("""COMPUTED_VALUE"""),1.88)</f>
        <v>1.88</v>
      </c>
      <c r="E493" s="2">
        <f>IFERROR(__xludf.DUMMYFUNCTION("""COMPUTED_VALUE"""),2.01)</f>
        <v>2.01</v>
      </c>
      <c r="F493" s="2">
        <f>IFERROR(__xludf.DUMMYFUNCTION("""COMPUTED_VALUE"""),881209.0)</f>
        <v>881209</v>
      </c>
    </row>
    <row r="494">
      <c r="A494" s="3">
        <f>IFERROR(__xludf.DUMMYFUNCTION("""COMPUTED_VALUE"""),41071.666666666664)</f>
        <v>41071.66667</v>
      </c>
      <c r="B494" s="2">
        <f>IFERROR(__xludf.DUMMYFUNCTION("""COMPUTED_VALUE"""),2.02)</f>
        <v>2.02</v>
      </c>
      <c r="C494" s="2">
        <f>IFERROR(__xludf.DUMMYFUNCTION("""COMPUTED_VALUE"""),2.07)</f>
        <v>2.07</v>
      </c>
      <c r="D494" s="2">
        <f>IFERROR(__xludf.DUMMYFUNCTION("""COMPUTED_VALUE"""),1.93)</f>
        <v>1.93</v>
      </c>
      <c r="E494" s="2">
        <f>IFERROR(__xludf.DUMMYFUNCTION("""COMPUTED_VALUE"""),1.94)</f>
        <v>1.94</v>
      </c>
      <c r="F494" s="2">
        <f>IFERROR(__xludf.DUMMYFUNCTION("""COMPUTED_VALUE"""),635947.0)</f>
        <v>635947</v>
      </c>
    </row>
    <row r="495">
      <c r="A495" s="3">
        <f>IFERROR(__xludf.DUMMYFUNCTION("""COMPUTED_VALUE"""),41072.666666666664)</f>
        <v>41072.66667</v>
      </c>
      <c r="B495" s="2">
        <f>IFERROR(__xludf.DUMMYFUNCTION("""COMPUTED_VALUE"""),1.95)</f>
        <v>1.95</v>
      </c>
      <c r="C495" s="2">
        <f>IFERROR(__xludf.DUMMYFUNCTION("""COMPUTED_VALUE"""),1.99)</f>
        <v>1.99</v>
      </c>
      <c r="D495" s="2">
        <f>IFERROR(__xludf.DUMMYFUNCTION("""COMPUTED_VALUE"""),1.92)</f>
        <v>1.92</v>
      </c>
      <c r="E495" s="2">
        <f>IFERROR(__xludf.DUMMYFUNCTION("""COMPUTED_VALUE"""),1.98)</f>
        <v>1.98</v>
      </c>
      <c r="F495" s="2">
        <f>IFERROR(__xludf.DUMMYFUNCTION("""COMPUTED_VALUE"""),568994.0)</f>
        <v>568994</v>
      </c>
    </row>
    <row r="496">
      <c r="A496" s="3">
        <f>IFERROR(__xludf.DUMMYFUNCTION("""COMPUTED_VALUE"""),41073.666666666664)</f>
        <v>41073.66667</v>
      </c>
      <c r="B496" s="2">
        <f>IFERROR(__xludf.DUMMYFUNCTION("""COMPUTED_VALUE"""),1.97)</f>
        <v>1.97</v>
      </c>
      <c r="C496" s="2">
        <f>IFERROR(__xludf.DUMMYFUNCTION("""COMPUTED_VALUE"""),2.04)</f>
        <v>2.04</v>
      </c>
      <c r="D496" s="2">
        <f>IFERROR(__xludf.DUMMYFUNCTION("""COMPUTED_VALUE"""),1.96)</f>
        <v>1.96</v>
      </c>
      <c r="E496" s="2">
        <f>IFERROR(__xludf.DUMMYFUNCTION("""COMPUTED_VALUE"""),1.98)</f>
        <v>1.98</v>
      </c>
      <c r="F496" s="2">
        <f>IFERROR(__xludf.DUMMYFUNCTION("""COMPUTED_VALUE"""),844371.0)</f>
        <v>844371</v>
      </c>
    </row>
    <row r="497">
      <c r="A497" s="3">
        <f>IFERROR(__xludf.DUMMYFUNCTION("""COMPUTED_VALUE"""),41074.666666666664)</f>
        <v>41074.66667</v>
      </c>
      <c r="B497" s="2">
        <f>IFERROR(__xludf.DUMMYFUNCTION("""COMPUTED_VALUE"""),2.01)</f>
        <v>2.01</v>
      </c>
      <c r="C497" s="2">
        <f>IFERROR(__xludf.DUMMYFUNCTION("""COMPUTED_VALUE"""),2.04)</f>
        <v>2.04</v>
      </c>
      <c r="D497" s="2">
        <f>IFERROR(__xludf.DUMMYFUNCTION("""COMPUTED_VALUE"""),1.91)</f>
        <v>1.91</v>
      </c>
      <c r="E497" s="2">
        <f>IFERROR(__xludf.DUMMYFUNCTION("""COMPUTED_VALUE"""),1.96)</f>
        <v>1.96</v>
      </c>
      <c r="F497" s="2">
        <f>IFERROR(__xludf.DUMMYFUNCTION("""COMPUTED_VALUE"""),872161.0)</f>
        <v>872161</v>
      </c>
    </row>
    <row r="498">
      <c r="A498" s="3">
        <f>IFERROR(__xludf.DUMMYFUNCTION("""COMPUTED_VALUE"""),41075.666666666664)</f>
        <v>41075.66667</v>
      </c>
      <c r="B498" s="2">
        <f>IFERROR(__xludf.DUMMYFUNCTION("""COMPUTED_VALUE"""),1.96)</f>
        <v>1.96</v>
      </c>
      <c r="C498" s="2">
        <f>IFERROR(__xludf.DUMMYFUNCTION("""COMPUTED_VALUE"""),2.0)</f>
        <v>2</v>
      </c>
      <c r="D498" s="2">
        <f>IFERROR(__xludf.DUMMYFUNCTION("""COMPUTED_VALUE"""),1.92)</f>
        <v>1.92</v>
      </c>
      <c r="E498" s="2">
        <f>IFERROR(__xludf.DUMMYFUNCTION("""COMPUTED_VALUE"""),1.99)</f>
        <v>1.99</v>
      </c>
      <c r="F498" s="2">
        <f>IFERROR(__xludf.DUMMYFUNCTION("""COMPUTED_VALUE"""),646737.0)</f>
        <v>646737</v>
      </c>
    </row>
    <row r="499">
      <c r="A499" s="3">
        <f>IFERROR(__xludf.DUMMYFUNCTION("""COMPUTED_VALUE"""),41078.666666666664)</f>
        <v>41078.66667</v>
      </c>
      <c r="B499" s="2">
        <f>IFERROR(__xludf.DUMMYFUNCTION("""COMPUTED_VALUE"""),2.0)</f>
        <v>2</v>
      </c>
      <c r="C499" s="2">
        <f>IFERROR(__xludf.DUMMYFUNCTION("""COMPUTED_VALUE"""),2.16)</f>
        <v>2.16</v>
      </c>
      <c r="D499" s="2">
        <f>IFERROR(__xludf.DUMMYFUNCTION("""COMPUTED_VALUE"""),1.97)</f>
        <v>1.97</v>
      </c>
      <c r="E499" s="2">
        <f>IFERROR(__xludf.DUMMYFUNCTION("""COMPUTED_VALUE"""),2.12)</f>
        <v>2.12</v>
      </c>
      <c r="F499" s="2">
        <f>IFERROR(__xludf.DUMMYFUNCTION("""COMPUTED_VALUE"""),1256796.0)</f>
        <v>1256796</v>
      </c>
    </row>
    <row r="500">
      <c r="A500" s="3">
        <f>IFERROR(__xludf.DUMMYFUNCTION("""COMPUTED_VALUE"""),41079.666666666664)</f>
        <v>41079.66667</v>
      </c>
      <c r="B500" s="2">
        <f>IFERROR(__xludf.DUMMYFUNCTION("""COMPUTED_VALUE"""),2.13)</f>
        <v>2.13</v>
      </c>
      <c r="C500" s="2">
        <f>IFERROR(__xludf.DUMMYFUNCTION("""COMPUTED_VALUE"""),2.18)</f>
        <v>2.18</v>
      </c>
      <c r="D500" s="2">
        <f>IFERROR(__xludf.DUMMYFUNCTION("""COMPUTED_VALUE"""),2.1)</f>
        <v>2.1</v>
      </c>
      <c r="E500" s="2">
        <f>IFERROR(__xludf.DUMMYFUNCTION("""COMPUTED_VALUE"""),2.14)</f>
        <v>2.14</v>
      </c>
      <c r="F500" s="2">
        <f>IFERROR(__xludf.DUMMYFUNCTION("""COMPUTED_VALUE"""),911029.0)</f>
        <v>911029</v>
      </c>
    </row>
    <row r="501">
      <c r="A501" s="3">
        <f>IFERROR(__xludf.DUMMYFUNCTION("""COMPUTED_VALUE"""),41080.666666666664)</f>
        <v>41080.66667</v>
      </c>
      <c r="B501" s="2">
        <f>IFERROR(__xludf.DUMMYFUNCTION("""COMPUTED_VALUE"""),2.23)</f>
        <v>2.23</v>
      </c>
      <c r="C501" s="2">
        <f>IFERROR(__xludf.DUMMYFUNCTION("""COMPUTED_VALUE"""),2.3)</f>
        <v>2.3</v>
      </c>
      <c r="D501" s="2">
        <f>IFERROR(__xludf.DUMMYFUNCTION("""COMPUTED_VALUE"""),2.21)</f>
        <v>2.21</v>
      </c>
      <c r="E501" s="2">
        <f>IFERROR(__xludf.DUMMYFUNCTION("""COMPUTED_VALUE"""),2.25)</f>
        <v>2.25</v>
      </c>
      <c r="F501" s="2">
        <f>IFERROR(__xludf.DUMMYFUNCTION("""COMPUTED_VALUE"""),3422342.0)</f>
        <v>3422342</v>
      </c>
    </row>
    <row r="502">
      <c r="A502" s="3">
        <f>IFERROR(__xludf.DUMMYFUNCTION("""COMPUTED_VALUE"""),41081.666666666664)</f>
        <v>41081.66667</v>
      </c>
      <c r="B502" s="2">
        <f>IFERROR(__xludf.DUMMYFUNCTION("""COMPUTED_VALUE"""),2.28)</f>
        <v>2.28</v>
      </c>
      <c r="C502" s="2">
        <f>IFERROR(__xludf.DUMMYFUNCTION("""COMPUTED_VALUE"""),2.29)</f>
        <v>2.29</v>
      </c>
      <c r="D502" s="2">
        <f>IFERROR(__xludf.DUMMYFUNCTION("""COMPUTED_VALUE"""),2.12)</f>
        <v>2.12</v>
      </c>
      <c r="E502" s="2">
        <f>IFERROR(__xludf.DUMMYFUNCTION("""COMPUTED_VALUE"""),2.15)</f>
        <v>2.15</v>
      </c>
      <c r="F502" s="2">
        <f>IFERROR(__xludf.DUMMYFUNCTION("""COMPUTED_VALUE"""),1891895.0)</f>
        <v>1891895</v>
      </c>
    </row>
    <row r="503">
      <c r="A503" s="3">
        <f>IFERROR(__xludf.DUMMYFUNCTION("""COMPUTED_VALUE"""),41082.666666666664)</f>
        <v>41082.66667</v>
      </c>
      <c r="B503" s="2">
        <f>IFERROR(__xludf.DUMMYFUNCTION("""COMPUTED_VALUE"""),2.17)</f>
        <v>2.17</v>
      </c>
      <c r="C503" s="2">
        <f>IFERROR(__xludf.DUMMYFUNCTION("""COMPUTED_VALUE"""),2.27)</f>
        <v>2.27</v>
      </c>
      <c r="D503" s="2">
        <f>IFERROR(__xludf.DUMMYFUNCTION("""COMPUTED_VALUE"""),2.16)</f>
        <v>2.16</v>
      </c>
      <c r="E503" s="2">
        <f>IFERROR(__xludf.DUMMYFUNCTION("""COMPUTED_VALUE"""),2.25)</f>
        <v>2.25</v>
      </c>
      <c r="F503" s="2">
        <f>IFERROR(__xludf.DUMMYFUNCTION("""COMPUTED_VALUE"""),3047452.0)</f>
        <v>3047452</v>
      </c>
    </row>
    <row r="504">
      <c r="A504" s="3">
        <f>IFERROR(__xludf.DUMMYFUNCTION("""COMPUTED_VALUE"""),41085.666666666664)</f>
        <v>41085.66667</v>
      </c>
      <c r="B504" s="2">
        <f>IFERROR(__xludf.DUMMYFUNCTION("""COMPUTED_VALUE"""),2.26)</f>
        <v>2.26</v>
      </c>
      <c r="C504" s="2">
        <f>IFERROR(__xludf.DUMMYFUNCTION("""COMPUTED_VALUE"""),2.27)</f>
        <v>2.27</v>
      </c>
      <c r="D504" s="2">
        <f>IFERROR(__xludf.DUMMYFUNCTION("""COMPUTED_VALUE"""),2.18)</f>
        <v>2.18</v>
      </c>
      <c r="E504" s="2">
        <f>IFERROR(__xludf.DUMMYFUNCTION("""COMPUTED_VALUE"""),2.21)</f>
        <v>2.21</v>
      </c>
      <c r="F504" s="2">
        <f>IFERROR(__xludf.DUMMYFUNCTION("""COMPUTED_VALUE"""),1503186.0)</f>
        <v>1503186</v>
      </c>
    </row>
    <row r="505">
      <c r="A505" s="3">
        <f>IFERROR(__xludf.DUMMYFUNCTION("""COMPUTED_VALUE"""),41086.666666666664)</f>
        <v>41086.66667</v>
      </c>
      <c r="B505" s="2">
        <f>IFERROR(__xludf.DUMMYFUNCTION("""COMPUTED_VALUE"""),2.14)</f>
        <v>2.14</v>
      </c>
      <c r="C505" s="2">
        <f>IFERROR(__xludf.DUMMYFUNCTION("""COMPUTED_VALUE"""),2.16)</f>
        <v>2.16</v>
      </c>
      <c r="D505" s="2">
        <f>IFERROR(__xludf.DUMMYFUNCTION("""COMPUTED_VALUE"""),2.09)</f>
        <v>2.09</v>
      </c>
      <c r="E505" s="2">
        <f>IFERROR(__xludf.DUMMYFUNCTION("""COMPUTED_VALUE"""),2.11)</f>
        <v>2.11</v>
      </c>
      <c r="F505" s="2">
        <f>IFERROR(__xludf.DUMMYFUNCTION("""COMPUTED_VALUE"""),2613849.0)</f>
        <v>2613849</v>
      </c>
    </row>
    <row r="506">
      <c r="A506" s="3">
        <f>IFERROR(__xludf.DUMMYFUNCTION("""COMPUTED_VALUE"""),41087.666666666664)</f>
        <v>41087.66667</v>
      </c>
      <c r="B506" s="2">
        <f>IFERROR(__xludf.DUMMYFUNCTION("""COMPUTED_VALUE"""),2.13)</f>
        <v>2.13</v>
      </c>
      <c r="C506" s="2">
        <f>IFERROR(__xludf.DUMMYFUNCTION("""COMPUTED_VALUE"""),2.16)</f>
        <v>2.16</v>
      </c>
      <c r="D506" s="2">
        <f>IFERROR(__xludf.DUMMYFUNCTION("""COMPUTED_VALUE"""),2.1)</f>
        <v>2.1</v>
      </c>
      <c r="E506" s="2">
        <f>IFERROR(__xludf.DUMMYFUNCTION("""COMPUTED_VALUE"""),2.13)</f>
        <v>2.13</v>
      </c>
      <c r="F506" s="2">
        <f>IFERROR(__xludf.DUMMYFUNCTION("""COMPUTED_VALUE"""),1047194.0)</f>
        <v>1047194</v>
      </c>
    </row>
    <row r="507">
      <c r="A507" s="3">
        <f>IFERROR(__xludf.DUMMYFUNCTION("""COMPUTED_VALUE"""),41088.666666666664)</f>
        <v>41088.66667</v>
      </c>
      <c r="B507" s="2">
        <f>IFERROR(__xludf.DUMMYFUNCTION("""COMPUTED_VALUE"""),2.13)</f>
        <v>2.13</v>
      </c>
      <c r="C507" s="2">
        <f>IFERROR(__xludf.DUMMYFUNCTION("""COMPUTED_VALUE"""),2.14)</f>
        <v>2.14</v>
      </c>
      <c r="D507" s="2">
        <f>IFERROR(__xludf.DUMMYFUNCTION("""COMPUTED_VALUE"""),2.04)</f>
        <v>2.04</v>
      </c>
      <c r="E507" s="2">
        <f>IFERROR(__xludf.DUMMYFUNCTION("""COMPUTED_VALUE"""),2.09)</f>
        <v>2.09</v>
      </c>
      <c r="F507" s="2">
        <f>IFERROR(__xludf.DUMMYFUNCTION("""COMPUTED_VALUE"""),914040.0)</f>
        <v>914040</v>
      </c>
    </row>
    <row r="508">
      <c r="A508" s="3">
        <f>IFERROR(__xludf.DUMMYFUNCTION("""COMPUTED_VALUE"""),41089.666666666664)</f>
        <v>41089.66667</v>
      </c>
      <c r="B508" s="2">
        <f>IFERROR(__xludf.DUMMYFUNCTION("""COMPUTED_VALUE"""),2.19)</f>
        <v>2.19</v>
      </c>
      <c r="C508" s="2">
        <f>IFERROR(__xludf.DUMMYFUNCTION("""COMPUTED_VALUE"""),2.19)</f>
        <v>2.19</v>
      </c>
      <c r="D508" s="2">
        <f>IFERROR(__xludf.DUMMYFUNCTION("""COMPUTED_VALUE"""),2.07)</f>
        <v>2.07</v>
      </c>
      <c r="E508" s="2">
        <f>IFERROR(__xludf.DUMMYFUNCTION("""COMPUTED_VALUE"""),2.09)</f>
        <v>2.09</v>
      </c>
      <c r="F508" s="2">
        <f>IFERROR(__xludf.DUMMYFUNCTION("""COMPUTED_VALUE"""),1125704.0)</f>
        <v>1125704</v>
      </c>
    </row>
    <row r="509">
      <c r="A509" s="3">
        <f>IFERROR(__xludf.DUMMYFUNCTION("""COMPUTED_VALUE"""),41092.666666666664)</f>
        <v>41092.66667</v>
      </c>
      <c r="B509" s="2">
        <f>IFERROR(__xludf.DUMMYFUNCTION("""COMPUTED_VALUE"""),2.09)</f>
        <v>2.09</v>
      </c>
      <c r="C509" s="2">
        <f>IFERROR(__xludf.DUMMYFUNCTION("""COMPUTED_VALUE"""),2.12)</f>
        <v>2.12</v>
      </c>
      <c r="D509" s="2">
        <f>IFERROR(__xludf.DUMMYFUNCTION("""COMPUTED_VALUE"""),2.01)</f>
        <v>2.01</v>
      </c>
      <c r="E509" s="2">
        <f>IFERROR(__xludf.DUMMYFUNCTION("""COMPUTED_VALUE"""),2.03)</f>
        <v>2.03</v>
      </c>
      <c r="F509" s="2">
        <f>IFERROR(__xludf.DUMMYFUNCTION("""COMPUTED_VALUE"""),1315534.0)</f>
        <v>1315534</v>
      </c>
    </row>
    <row r="510">
      <c r="A510" s="3">
        <f>IFERROR(__xludf.DUMMYFUNCTION("""COMPUTED_VALUE"""),41093.666666666664)</f>
        <v>41093.66667</v>
      </c>
      <c r="B510" s="2">
        <f>IFERROR(__xludf.DUMMYFUNCTION("""COMPUTED_VALUE"""),2.04)</f>
        <v>2.04</v>
      </c>
      <c r="C510" s="2">
        <f>IFERROR(__xludf.DUMMYFUNCTION("""COMPUTED_VALUE"""),2.07)</f>
        <v>2.07</v>
      </c>
      <c r="D510" s="2">
        <f>IFERROR(__xludf.DUMMYFUNCTION("""COMPUTED_VALUE"""),2.03)</f>
        <v>2.03</v>
      </c>
      <c r="E510" s="2">
        <f>IFERROR(__xludf.DUMMYFUNCTION("""COMPUTED_VALUE"""),2.04)</f>
        <v>2.04</v>
      </c>
      <c r="F510" s="2">
        <f>IFERROR(__xludf.DUMMYFUNCTION("""COMPUTED_VALUE"""),947128.0)</f>
        <v>947128</v>
      </c>
    </row>
    <row r="511">
      <c r="A511" s="3">
        <f>IFERROR(__xludf.DUMMYFUNCTION("""COMPUTED_VALUE"""),41095.666666666664)</f>
        <v>41095.66667</v>
      </c>
      <c r="B511" s="2">
        <f>IFERROR(__xludf.DUMMYFUNCTION("""COMPUTED_VALUE"""),2.05)</f>
        <v>2.05</v>
      </c>
      <c r="C511" s="2">
        <f>IFERROR(__xludf.DUMMYFUNCTION("""COMPUTED_VALUE"""),2.11)</f>
        <v>2.11</v>
      </c>
      <c r="D511" s="2">
        <f>IFERROR(__xludf.DUMMYFUNCTION("""COMPUTED_VALUE"""),2.05)</f>
        <v>2.05</v>
      </c>
      <c r="E511" s="2">
        <f>IFERROR(__xludf.DUMMYFUNCTION("""COMPUTED_VALUE"""),2.08)</f>
        <v>2.08</v>
      </c>
      <c r="F511" s="2">
        <f>IFERROR(__xludf.DUMMYFUNCTION("""COMPUTED_VALUE"""),1253866.0)</f>
        <v>1253866</v>
      </c>
    </row>
    <row r="512">
      <c r="A512" s="3">
        <f>IFERROR(__xludf.DUMMYFUNCTION("""COMPUTED_VALUE"""),41096.666666666664)</f>
        <v>41096.66667</v>
      </c>
      <c r="B512" s="2">
        <f>IFERROR(__xludf.DUMMYFUNCTION("""COMPUTED_VALUE"""),2.07)</f>
        <v>2.07</v>
      </c>
      <c r="C512" s="2">
        <f>IFERROR(__xludf.DUMMYFUNCTION("""COMPUTED_VALUE"""),2.12)</f>
        <v>2.12</v>
      </c>
      <c r="D512" s="2">
        <f>IFERROR(__xludf.DUMMYFUNCTION("""COMPUTED_VALUE"""),2.05)</f>
        <v>2.05</v>
      </c>
      <c r="E512" s="2">
        <f>IFERROR(__xludf.DUMMYFUNCTION("""COMPUTED_VALUE"""),2.07)</f>
        <v>2.07</v>
      </c>
      <c r="F512" s="2">
        <f>IFERROR(__xludf.DUMMYFUNCTION("""COMPUTED_VALUE"""),784661.0)</f>
        <v>784661</v>
      </c>
    </row>
    <row r="513">
      <c r="A513" s="3">
        <f>IFERROR(__xludf.DUMMYFUNCTION("""COMPUTED_VALUE"""),41099.666666666664)</f>
        <v>41099.66667</v>
      </c>
      <c r="B513" s="2">
        <f>IFERROR(__xludf.DUMMYFUNCTION("""COMPUTED_VALUE"""),2.06)</f>
        <v>2.06</v>
      </c>
      <c r="C513" s="2">
        <f>IFERROR(__xludf.DUMMYFUNCTION("""COMPUTED_VALUE"""),2.12)</f>
        <v>2.12</v>
      </c>
      <c r="D513" s="2">
        <f>IFERROR(__xludf.DUMMYFUNCTION("""COMPUTED_VALUE"""),2.04)</f>
        <v>2.04</v>
      </c>
      <c r="E513" s="2">
        <f>IFERROR(__xludf.DUMMYFUNCTION("""COMPUTED_VALUE"""),2.1)</f>
        <v>2.1</v>
      </c>
      <c r="F513" s="2">
        <f>IFERROR(__xludf.DUMMYFUNCTION("""COMPUTED_VALUE"""),910409.0)</f>
        <v>910409</v>
      </c>
    </row>
    <row r="514">
      <c r="A514" s="3">
        <f>IFERROR(__xludf.DUMMYFUNCTION("""COMPUTED_VALUE"""),41100.666666666664)</f>
        <v>41100.66667</v>
      </c>
      <c r="B514" s="2">
        <f>IFERROR(__xludf.DUMMYFUNCTION("""COMPUTED_VALUE"""),2.1)</f>
        <v>2.1</v>
      </c>
      <c r="C514" s="2">
        <f>IFERROR(__xludf.DUMMYFUNCTION("""COMPUTED_VALUE"""),2.17)</f>
        <v>2.17</v>
      </c>
      <c r="D514" s="2">
        <f>IFERROR(__xludf.DUMMYFUNCTION("""COMPUTED_VALUE"""),2.06)</f>
        <v>2.06</v>
      </c>
      <c r="E514" s="2">
        <f>IFERROR(__xludf.DUMMYFUNCTION("""COMPUTED_VALUE"""),2.08)</f>
        <v>2.08</v>
      </c>
      <c r="F514" s="2">
        <f>IFERROR(__xludf.DUMMYFUNCTION("""COMPUTED_VALUE"""),758352.0)</f>
        <v>758352</v>
      </c>
    </row>
    <row r="515">
      <c r="A515" s="3">
        <f>IFERROR(__xludf.DUMMYFUNCTION("""COMPUTED_VALUE"""),41101.666666666664)</f>
        <v>41101.66667</v>
      </c>
      <c r="B515" s="2">
        <f>IFERROR(__xludf.DUMMYFUNCTION("""COMPUTED_VALUE"""),2.1)</f>
        <v>2.1</v>
      </c>
      <c r="C515" s="2">
        <f>IFERROR(__xludf.DUMMYFUNCTION("""COMPUTED_VALUE"""),2.11)</f>
        <v>2.11</v>
      </c>
      <c r="D515" s="2">
        <f>IFERROR(__xludf.DUMMYFUNCTION("""COMPUTED_VALUE"""),2.07)</f>
        <v>2.07</v>
      </c>
      <c r="E515" s="2">
        <f>IFERROR(__xludf.DUMMYFUNCTION("""COMPUTED_VALUE"""),2.1)</f>
        <v>2.1</v>
      </c>
      <c r="F515" s="2">
        <f>IFERROR(__xludf.DUMMYFUNCTION("""COMPUTED_VALUE"""),638516.0)</f>
        <v>638516</v>
      </c>
    </row>
    <row r="516">
      <c r="A516" s="3">
        <f>IFERROR(__xludf.DUMMYFUNCTION("""COMPUTED_VALUE"""),41102.666666666664)</f>
        <v>41102.66667</v>
      </c>
      <c r="B516" s="2">
        <f>IFERROR(__xludf.DUMMYFUNCTION("""COMPUTED_VALUE"""),2.09)</f>
        <v>2.09</v>
      </c>
      <c r="C516" s="2">
        <f>IFERROR(__xludf.DUMMYFUNCTION("""COMPUTED_VALUE"""),2.2)</f>
        <v>2.2</v>
      </c>
      <c r="D516" s="2">
        <f>IFERROR(__xludf.DUMMYFUNCTION("""COMPUTED_VALUE"""),2.05)</f>
        <v>2.05</v>
      </c>
      <c r="E516" s="2">
        <f>IFERROR(__xludf.DUMMYFUNCTION("""COMPUTED_VALUE"""),2.18)</f>
        <v>2.18</v>
      </c>
      <c r="F516" s="2">
        <f>IFERROR(__xludf.DUMMYFUNCTION("""COMPUTED_VALUE"""),1125670.0)</f>
        <v>1125670</v>
      </c>
    </row>
    <row r="517">
      <c r="A517" s="3">
        <f>IFERROR(__xludf.DUMMYFUNCTION("""COMPUTED_VALUE"""),41103.666666666664)</f>
        <v>41103.66667</v>
      </c>
      <c r="B517" s="2">
        <f>IFERROR(__xludf.DUMMYFUNCTION("""COMPUTED_VALUE"""),2.2)</f>
        <v>2.2</v>
      </c>
      <c r="C517" s="2">
        <f>IFERROR(__xludf.DUMMYFUNCTION("""COMPUTED_VALUE"""),2.29)</f>
        <v>2.29</v>
      </c>
      <c r="D517" s="2">
        <f>IFERROR(__xludf.DUMMYFUNCTION("""COMPUTED_VALUE"""),2.19)</f>
        <v>2.19</v>
      </c>
      <c r="E517" s="2">
        <f>IFERROR(__xludf.DUMMYFUNCTION("""COMPUTED_VALUE"""),2.28)</f>
        <v>2.28</v>
      </c>
      <c r="F517" s="2">
        <f>IFERROR(__xludf.DUMMYFUNCTION("""COMPUTED_VALUE"""),1304912.0)</f>
        <v>1304912</v>
      </c>
    </row>
    <row r="518">
      <c r="A518" s="3">
        <f>IFERROR(__xludf.DUMMYFUNCTION("""COMPUTED_VALUE"""),41106.666666666664)</f>
        <v>41106.66667</v>
      </c>
      <c r="B518" s="2">
        <f>IFERROR(__xludf.DUMMYFUNCTION("""COMPUTED_VALUE"""),2.29)</f>
        <v>2.29</v>
      </c>
      <c r="C518" s="2">
        <f>IFERROR(__xludf.DUMMYFUNCTION("""COMPUTED_VALUE"""),2.4)</f>
        <v>2.4</v>
      </c>
      <c r="D518" s="2">
        <f>IFERROR(__xludf.DUMMYFUNCTION("""COMPUTED_VALUE"""),2.26)</f>
        <v>2.26</v>
      </c>
      <c r="E518" s="2">
        <f>IFERROR(__xludf.DUMMYFUNCTION("""COMPUTED_VALUE"""),2.4)</f>
        <v>2.4</v>
      </c>
      <c r="F518" s="2">
        <f>IFERROR(__xludf.DUMMYFUNCTION("""COMPUTED_VALUE"""),1743908.0)</f>
        <v>1743908</v>
      </c>
    </row>
    <row r="519">
      <c r="A519" s="3">
        <f>IFERROR(__xludf.DUMMYFUNCTION("""COMPUTED_VALUE"""),41107.666666666664)</f>
        <v>41107.66667</v>
      </c>
      <c r="B519" s="2">
        <f>IFERROR(__xludf.DUMMYFUNCTION("""COMPUTED_VALUE"""),2.33)</f>
        <v>2.33</v>
      </c>
      <c r="C519" s="2">
        <f>IFERROR(__xludf.DUMMYFUNCTION("""COMPUTED_VALUE"""),2.35)</f>
        <v>2.35</v>
      </c>
      <c r="D519" s="2">
        <f>IFERROR(__xludf.DUMMYFUNCTION("""COMPUTED_VALUE"""),2.16)</f>
        <v>2.16</v>
      </c>
      <c r="E519" s="2">
        <f>IFERROR(__xludf.DUMMYFUNCTION("""COMPUTED_VALUE"""),2.22)</f>
        <v>2.22</v>
      </c>
      <c r="F519" s="2">
        <f>IFERROR(__xludf.DUMMYFUNCTION("""COMPUTED_VALUE"""),2569463.0)</f>
        <v>2569463</v>
      </c>
    </row>
    <row r="520">
      <c r="A520" s="3">
        <f>IFERROR(__xludf.DUMMYFUNCTION("""COMPUTED_VALUE"""),41108.666666666664)</f>
        <v>41108.66667</v>
      </c>
      <c r="B520" s="2">
        <f>IFERROR(__xludf.DUMMYFUNCTION("""COMPUTED_VALUE"""),2.1)</f>
        <v>2.1</v>
      </c>
      <c r="C520" s="2">
        <f>IFERROR(__xludf.DUMMYFUNCTION("""COMPUTED_VALUE"""),2.24)</f>
        <v>2.24</v>
      </c>
      <c r="D520" s="2">
        <f>IFERROR(__xludf.DUMMYFUNCTION("""COMPUTED_VALUE"""),2.07)</f>
        <v>2.07</v>
      </c>
      <c r="E520" s="2">
        <f>IFERROR(__xludf.DUMMYFUNCTION("""COMPUTED_VALUE"""),2.14)</f>
        <v>2.14</v>
      </c>
      <c r="F520" s="2">
        <f>IFERROR(__xludf.DUMMYFUNCTION("""COMPUTED_VALUE"""),2882084.0)</f>
        <v>2882084</v>
      </c>
    </row>
    <row r="521">
      <c r="A521" s="3">
        <f>IFERROR(__xludf.DUMMYFUNCTION("""COMPUTED_VALUE"""),41109.666666666664)</f>
        <v>41109.66667</v>
      </c>
      <c r="B521" s="2">
        <f>IFERROR(__xludf.DUMMYFUNCTION("""COMPUTED_VALUE"""),2.18)</f>
        <v>2.18</v>
      </c>
      <c r="C521" s="2">
        <f>IFERROR(__xludf.DUMMYFUNCTION("""COMPUTED_VALUE"""),2.21)</f>
        <v>2.21</v>
      </c>
      <c r="D521" s="2">
        <f>IFERROR(__xludf.DUMMYFUNCTION("""COMPUTED_VALUE"""),2.14)</f>
        <v>2.14</v>
      </c>
      <c r="E521" s="2">
        <f>IFERROR(__xludf.DUMMYFUNCTION("""COMPUTED_VALUE"""),2.15)</f>
        <v>2.15</v>
      </c>
      <c r="F521" s="2">
        <f>IFERROR(__xludf.DUMMYFUNCTION("""COMPUTED_VALUE"""),1435878.0)</f>
        <v>1435878</v>
      </c>
    </row>
    <row r="522">
      <c r="A522" s="3">
        <f>IFERROR(__xludf.DUMMYFUNCTION("""COMPUTED_VALUE"""),41110.666666666664)</f>
        <v>41110.66667</v>
      </c>
      <c r="B522" s="2">
        <f>IFERROR(__xludf.DUMMYFUNCTION("""COMPUTED_VALUE"""),2.14)</f>
        <v>2.14</v>
      </c>
      <c r="C522" s="2">
        <f>IFERROR(__xludf.DUMMYFUNCTION("""COMPUTED_VALUE"""),2.15)</f>
        <v>2.15</v>
      </c>
      <c r="D522" s="2">
        <f>IFERROR(__xludf.DUMMYFUNCTION("""COMPUTED_VALUE"""),2.08)</f>
        <v>2.08</v>
      </c>
      <c r="E522" s="2">
        <f>IFERROR(__xludf.DUMMYFUNCTION("""COMPUTED_VALUE"""),2.12)</f>
        <v>2.12</v>
      </c>
      <c r="F522" s="2">
        <f>IFERROR(__xludf.DUMMYFUNCTION("""COMPUTED_VALUE"""),1568466.0)</f>
        <v>1568466</v>
      </c>
    </row>
    <row r="523">
      <c r="A523" s="3">
        <f>IFERROR(__xludf.DUMMYFUNCTION("""COMPUTED_VALUE"""),41113.666666666664)</f>
        <v>41113.66667</v>
      </c>
      <c r="B523" s="2">
        <f>IFERROR(__xludf.DUMMYFUNCTION("""COMPUTED_VALUE"""),2.07)</f>
        <v>2.07</v>
      </c>
      <c r="C523" s="2">
        <f>IFERROR(__xludf.DUMMYFUNCTION("""COMPUTED_VALUE"""),2.09)</f>
        <v>2.09</v>
      </c>
      <c r="D523" s="2">
        <f>IFERROR(__xludf.DUMMYFUNCTION("""COMPUTED_VALUE"""),2.04)</f>
        <v>2.04</v>
      </c>
      <c r="E523" s="2">
        <f>IFERROR(__xludf.DUMMYFUNCTION("""COMPUTED_VALUE"""),2.04)</f>
        <v>2.04</v>
      </c>
      <c r="F523" s="2">
        <f>IFERROR(__xludf.DUMMYFUNCTION("""COMPUTED_VALUE"""),1386743.0)</f>
        <v>1386743</v>
      </c>
    </row>
    <row r="524">
      <c r="A524" s="3">
        <f>IFERROR(__xludf.DUMMYFUNCTION("""COMPUTED_VALUE"""),41114.666666666664)</f>
        <v>41114.66667</v>
      </c>
      <c r="B524" s="2">
        <f>IFERROR(__xludf.DUMMYFUNCTION("""COMPUTED_VALUE"""),2.04)</f>
        <v>2.04</v>
      </c>
      <c r="C524" s="2">
        <f>IFERROR(__xludf.DUMMYFUNCTION("""COMPUTED_VALUE"""),2.07)</f>
        <v>2.07</v>
      </c>
      <c r="D524" s="2">
        <f>IFERROR(__xludf.DUMMYFUNCTION("""COMPUTED_VALUE"""),1.97)</f>
        <v>1.97</v>
      </c>
      <c r="E524" s="2">
        <f>IFERROR(__xludf.DUMMYFUNCTION("""COMPUTED_VALUE"""),1.99)</f>
        <v>1.99</v>
      </c>
      <c r="F524" s="2">
        <f>IFERROR(__xludf.DUMMYFUNCTION("""COMPUTED_VALUE"""),1500676.0)</f>
        <v>1500676</v>
      </c>
    </row>
    <row r="525">
      <c r="A525" s="3">
        <f>IFERROR(__xludf.DUMMYFUNCTION("""COMPUTED_VALUE"""),41115.666666666664)</f>
        <v>41115.66667</v>
      </c>
      <c r="B525" s="2">
        <f>IFERROR(__xludf.DUMMYFUNCTION("""COMPUTED_VALUE"""),1.99)</f>
        <v>1.99</v>
      </c>
      <c r="C525" s="2">
        <f>IFERROR(__xludf.DUMMYFUNCTION("""COMPUTED_VALUE"""),2.0)</f>
        <v>2</v>
      </c>
      <c r="D525" s="2">
        <f>IFERROR(__xludf.DUMMYFUNCTION("""COMPUTED_VALUE"""),1.92)</f>
        <v>1.92</v>
      </c>
      <c r="E525" s="2">
        <f>IFERROR(__xludf.DUMMYFUNCTION("""COMPUTED_VALUE"""),1.93)</f>
        <v>1.93</v>
      </c>
      <c r="F525" s="2">
        <f>IFERROR(__xludf.DUMMYFUNCTION("""COMPUTED_VALUE"""),2844065.0)</f>
        <v>2844065</v>
      </c>
    </row>
    <row r="526">
      <c r="A526" s="3">
        <f>IFERROR(__xludf.DUMMYFUNCTION("""COMPUTED_VALUE"""),41116.666666666664)</f>
        <v>41116.66667</v>
      </c>
      <c r="B526" s="2">
        <f>IFERROR(__xludf.DUMMYFUNCTION("""COMPUTED_VALUE"""),1.99)</f>
        <v>1.99</v>
      </c>
      <c r="C526" s="2">
        <f>IFERROR(__xludf.DUMMYFUNCTION("""COMPUTED_VALUE"""),2.0)</f>
        <v>2</v>
      </c>
      <c r="D526" s="2">
        <f>IFERROR(__xludf.DUMMYFUNCTION("""COMPUTED_VALUE"""),1.84)</f>
        <v>1.84</v>
      </c>
      <c r="E526" s="2">
        <f>IFERROR(__xludf.DUMMYFUNCTION("""COMPUTED_VALUE"""),1.88)</f>
        <v>1.88</v>
      </c>
      <c r="F526" s="2">
        <f>IFERROR(__xludf.DUMMYFUNCTION("""COMPUTED_VALUE"""),2263005.0)</f>
        <v>2263005</v>
      </c>
    </row>
    <row r="527">
      <c r="A527" s="3">
        <f>IFERROR(__xludf.DUMMYFUNCTION("""COMPUTED_VALUE"""),41117.666666666664)</f>
        <v>41117.66667</v>
      </c>
      <c r="B527" s="2">
        <f>IFERROR(__xludf.DUMMYFUNCTION("""COMPUTED_VALUE"""),1.91)</f>
        <v>1.91</v>
      </c>
      <c r="C527" s="2">
        <f>IFERROR(__xludf.DUMMYFUNCTION("""COMPUTED_VALUE"""),1.98)</f>
        <v>1.98</v>
      </c>
      <c r="D527" s="2">
        <f>IFERROR(__xludf.DUMMYFUNCTION("""COMPUTED_VALUE"""),1.87)</f>
        <v>1.87</v>
      </c>
      <c r="E527" s="2">
        <f>IFERROR(__xludf.DUMMYFUNCTION("""COMPUTED_VALUE"""),1.97)</f>
        <v>1.97</v>
      </c>
      <c r="F527" s="2">
        <f>IFERROR(__xludf.DUMMYFUNCTION("""COMPUTED_VALUE"""),1672968.0)</f>
        <v>1672968</v>
      </c>
    </row>
    <row r="528">
      <c r="A528" s="3">
        <f>IFERROR(__xludf.DUMMYFUNCTION("""COMPUTED_VALUE"""),41120.666666666664)</f>
        <v>41120.66667</v>
      </c>
      <c r="B528" s="2">
        <f>IFERROR(__xludf.DUMMYFUNCTION("""COMPUTED_VALUE"""),1.97)</f>
        <v>1.97</v>
      </c>
      <c r="C528" s="2">
        <f>IFERROR(__xludf.DUMMYFUNCTION("""COMPUTED_VALUE"""),2.02)</f>
        <v>2.02</v>
      </c>
      <c r="D528" s="2">
        <f>IFERROR(__xludf.DUMMYFUNCTION("""COMPUTED_VALUE"""),1.81)</f>
        <v>1.81</v>
      </c>
      <c r="E528" s="2">
        <f>IFERROR(__xludf.DUMMYFUNCTION("""COMPUTED_VALUE"""),1.82)</f>
        <v>1.82</v>
      </c>
      <c r="F528" s="2">
        <f>IFERROR(__xludf.DUMMYFUNCTION("""COMPUTED_VALUE"""),2066040.0)</f>
        <v>2066040</v>
      </c>
    </row>
    <row r="529">
      <c r="A529" s="3">
        <f>IFERROR(__xludf.DUMMYFUNCTION("""COMPUTED_VALUE"""),41121.666666666664)</f>
        <v>41121.66667</v>
      </c>
      <c r="B529" s="2">
        <f>IFERROR(__xludf.DUMMYFUNCTION("""COMPUTED_VALUE"""),1.84)</f>
        <v>1.84</v>
      </c>
      <c r="C529" s="2">
        <f>IFERROR(__xludf.DUMMYFUNCTION("""COMPUTED_VALUE"""),1.86)</f>
        <v>1.86</v>
      </c>
      <c r="D529" s="2">
        <f>IFERROR(__xludf.DUMMYFUNCTION("""COMPUTED_VALUE"""),1.82)</f>
        <v>1.82</v>
      </c>
      <c r="E529" s="2">
        <f>IFERROR(__xludf.DUMMYFUNCTION("""COMPUTED_VALUE"""),1.83)</f>
        <v>1.83</v>
      </c>
      <c r="F529" s="2">
        <f>IFERROR(__xludf.DUMMYFUNCTION("""COMPUTED_VALUE"""),1575060.0)</f>
        <v>1575060</v>
      </c>
    </row>
    <row r="530">
      <c r="A530" s="3">
        <f>IFERROR(__xludf.DUMMYFUNCTION("""COMPUTED_VALUE"""),41122.666666666664)</f>
        <v>41122.66667</v>
      </c>
      <c r="B530" s="2">
        <f>IFERROR(__xludf.DUMMYFUNCTION("""COMPUTED_VALUE"""),1.87)</f>
        <v>1.87</v>
      </c>
      <c r="C530" s="2">
        <f>IFERROR(__xludf.DUMMYFUNCTION("""COMPUTED_VALUE"""),1.87)</f>
        <v>1.87</v>
      </c>
      <c r="D530" s="2">
        <f>IFERROR(__xludf.DUMMYFUNCTION("""COMPUTED_VALUE"""),1.74)</f>
        <v>1.74</v>
      </c>
      <c r="E530" s="2">
        <f>IFERROR(__xludf.DUMMYFUNCTION("""COMPUTED_VALUE"""),1.75)</f>
        <v>1.75</v>
      </c>
      <c r="F530" s="2">
        <f>IFERROR(__xludf.DUMMYFUNCTION("""COMPUTED_VALUE"""),1592217.0)</f>
        <v>1592217</v>
      </c>
    </row>
    <row r="531">
      <c r="A531" s="3">
        <f>IFERROR(__xludf.DUMMYFUNCTION("""COMPUTED_VALUE"""),41123.666666666664)</f>
        <v>41123.66667</v>
      </c>
      <c r="B531" s="2">
        <f>IFERROR(__xludf.DUMMYFUNCTION("""COMPUTED_VALUE"""),1.75)</f>
        <v>1.75</v>
      </c>
      <c r="C531" s="2">
        <f>IFERROR(__xludf.DUMMYFUNCTION("""COMPUTED_VALUE"""),1.79)</f>
        <v>1.79</v>
      </c>
      <c r="D531" s="2">
        <f>IFERROR(__xludf.DUMMYFUNCTION("""COMPUTED_VALUE"""),1.7)</f>
        <v>1.7</v>
      </c>
      <c r="E531" s="2">
        <f>IFERROR(__xludf.DUMMYFUNCTION("""COMPUTED_VALUE"""),1.74)</f>
        <v>1.74</v>
      </c>
      <c r="F531" s="2">
        <f>IFERROR(__xludf.DUMMYFUNCTION("""COMPUTED_VALUE"""),1305016.0)</f>
        <v>1305016</v>
      </c>
    </row>
    <row r="532">
      <c r="A532" s="3">
        <f>IFERROR(__xludf.DUMMYFUNCTION("""COMPUTED_VALUE"""),41124.666666666664)</f>
        <v>41124.66667</v>
      </c>
      <c r="B532" s="2">
        <f>IFERROR(__xludf.DUMMYFUNCTION("""COMPUTED_VALUE"""),1.79)</f>
        <v>1.79</v>
      </c>
      <c r="C532" s="2">
        <f>IFERROR(__xludf.DUMMYFUNCTION("""COMPUTED_VALUE"""),1.84)</f>
        <v>1.84</v>
      </c>
      <c r="D532" s="2">
        <f>IFERROR(__xludf.DUMMYFUNCTION("""COMPUTED_VALUE"""),1.78)</f>
        <v>1.78</v>
      </c>
      <c r="E532" s="2">
        <f>IFERROR(__xludf.DUMMYFUNCTION("""COMPUTED_VALUE"""),1.82)</f>
        <v>1.82</v>
      </c>
      <c r="F532" s="2">
        <f>IFERROR(__xludf.DUMMYFUNCTION("""COMPUTED_VALUE"""),1209470.0)</f>
        <v>1209470</v>
      </c>
    </row>
    <row r="533">
      <c r="A533" s="3">
        <f>IFERROR(__xludf.DUMMYFUNCTION("""COMPUTED_VALUE"""),41127.666666666664)</f>
        <v>41127.66667</v>
      </c>
      <c r="B533" s="2">
        <f>IFERROR(__xludf.DUMMYFUNCTION("""COMPUTED_VALUE"""),1.84)</f>
        <v>1.84</v>
      </c>
      <c r="C533" s="2">
        <f>IFERROR(__xludf.DUMMYFUNCTION("""COMPUTED_VALUE"""),1.91)</f>
        <v>1.91</v>
      </c>
      <c r="D533" s="2">
        <f>IFERROR(__xludf.DUMMYFUNCTION("""COMPUTED_VALUE"""),1.84)</f>
        <v>1.84</v>
      </c>
      <c r="E533" s="2">
        <f>IFERROR(__xludf.DUMMYFUNCTION("""COMPUTED_VALUE"""),1.88)</f>
        <v>1.88</v>
      </c>
      <c r="F533" s="2">
        <f>IFERROR(__xludf.DUMMYFUNCTION("""COMPUTED_VALUE"""),1528169.0)</f>
        <v>1528169</v>
      </c>
    </row>
    <row r="534">
      <c r="A534" s="3">
        <f>IFERROR(__xludf.DUMMYFUNCTION("""COMPUTED_VALUE"""),41128.666666666664)</f>
        <v>41128.66667</v>
      </c>
      <c r="B534" s="2">
        <f>IFERROR(__xludf.DUMMYFUNCTION("""COMPUTED_VALUE"""),1.92)</f>
        <v>1.92</v>
      </c>
      <c r="C534" s="2">
        <f>IFERROR(__xludf.DUMMYFUNCTION("""COMPUTED_VALUE"""),2.06)</f>
        <v>2.06</v>
      </c>
      <c r="D534" s="2">
        <f>IFERROR(__xludf.DUMMYFUNCTION("""COMPUTED_VALUE"""),1.9)</f>
        <v>1.9</v>
      </c>
      <c r="E534" s="2">
        <f>IFERROR(__xludf.DUMMYFUNCTION("""COMPUTED_VALUE"""),2.02)</f>
        <v>2.02</v>
      </c>
      <c r="F534" s="2">
        <f>IFERROR(__xludf.DUMMYFUNCTION("""COMPUTED_VALUE"""),2387304.0)</f>
        <v>2387304</v>
      </c>
    </row>
    <row r="535">
      <c r="A535" s="3">
        <f>IFERROR(__xludf.DUMMYFUNCTION("""COMPUTED_VALUE"""),41129.666666666664)</f>
        <v>41129.66667</v>
      </c>
      <c r="B535" s="2">
        <f>IFERROR(__xludf.DUMMYFUNCTION("""COMPUTED_VALUE"""),1.99)</f>
        <v>1.99</v>
      </c>
      <c r="C535" s="2">
        <f>IFERROR(__xludf.DUMMYFUNCTION("""COMPUTED_VALUE"""),2.0)</f>
        <v>2</v>
      </c>
      <c r="D535" s="2">
        <f>IFERROR(__xludf.DUMMYFUNCTION("""COMPUTED_VALUE"""),1.91)</f>
        <v>1.91</v>
      </c>
      <c r="E535" s="2">
        <f>IFERROR(__xludf.DUMMYFUNCTION("""COMPUTED_VALUE"""),1.94)</f>
        <v>1.94</v>
      </c>
      <c r="F535" s="2">
        <f>IFERROR(__xludf.DUMMYFUNCTION("""COMPUTED_VALUE"""),1308895.0)</f>
        <v>1308895</v>
      </c>
    </row>
    <row r="536">
      <c r="A536" s="3">
        <f>IFERROR(__xludf.DUMMYFUNCTION("""COMPUTED_VALUE"""),41130.666666666664)</f>
        <v>41130.66667</v>
      </c>
      <c r="B536" s="2">
        <f>IFERROR(__xludf.DUMMYFUNCTION("""COMPUTED_VALUE"""),1.97)</f>
        <v>1.97</v>
      </c>
      <c r="C536" s="2">
        <f>IFERROR(__xludf.DUMMYFUNCTION("""COMPUTED_VALUE"""),2.0)</f>
        <v>2</v>
      </c>
      <c r="D536" s="2">
        <f>IFERROR(__xludf.DUMMYFUNCTION("""COMPUTED_VALUE"""),1.94)</f>
        <v>1.94</v>
      </c>
      <c r="E536" s="2">
        <f>IFERROR(__xludf.DUMMYFUNCTION("""COMPUTED_VALUE"""),1.96)</f>
        <v>1.96</v>
      </c>
      <c r="F536" s="2">
        <f>IFERROR(__xludf.DUMMYFUNCTION("""COMPUTED_VALUE"""),672584.0)</f>
        <v>672584</v>
      </c>
    </row>
    <row r="537">
      <c r="A537" s="3">
        <f>IFERROR(__xludf.DUMMYFUNCTION("""COMPUTED_VALUE"""),41131.666666666664)</f>
        <v>41131.66667</v>
      </c>
      <c r="B537" s="2">
        <f>IFERROR(__xludf.DUMMYFUNCTION("""COMPUTED_VALUE"""),1.95)</f>
        <v>1.95</v>
      </c>
      <c r="C537" s="2">
        <f>IFERROR(__xludf.DUMMYFUNCTION("""COMPUTED_VALUE"""),2.0)</f>
        <v>2</v>
      </c>
      <c r="D537" s="2">
        <f>IFERROR(__xludf.DUMMYFUNCTION("""COMPUTED_VALUE"""),1.95)</f>
        <v>1.95</v>
      </c>
      <c r="E537" s="2">
        <f>IFERROR(__xludf.DUMMYFUNCTION("""COMPUTED_VALUE"""),2.0)</f>
        <v>2</v>
      </c>
      <c r="F537" s="2">
        <f>IFERROR(__xludf.DUMMYFUNCTION("""COMPUTED_VALUE"""),707390.0)</f>
        <v>707390</v>
      </c>
    </row>
    <row r="538">
      <c r="A538" s="3">
        <f>IFERROR(__xludf.DUMMYFUNCTION("""COMPUTED_VALUE"""),41134.666666666664)</f>
        <v>41134.66667</v>
      </c>
      <c r="B538" s="2">
        <f>IFERROR(__xludf.DUMMYFUNCTION("""COMPUTED_VALUE"""),1.98)</f>
        <v>1.98</v>
      </c>
      <c r="C538" s="2">
        <f>IFERROR(__xludf.DUMMYFUNCTION("""COMPUTED_VALUE"""),2.09)</f>
        <v>2.09</v>
      </c>
      <c r="D538" s="2">
        <f>IFERROR(__xludf.DUMMYFUNCTION("""COMPUTED_VALUE"""),1.94)</f>
        <v>1.94</v>
      </c>
      <c r="E538" s="2">
        <f>IFERROR(__xludf.DUMMYFUNCTION("""COMPUTED_VALUE"""),2.08)</f>
        <v>2.08</v>
      </c>
      <c r="F538" s="2">
        <f>IFERROR(__xludf.DUMMYFUNCTION("""COMPUTED_VALUE"""),870050.0)</f>
        <v>870050</v>
      </c>
    </row>
    <row r="539">
      <c r="A539" s="3">
        <f>IFERROR(__xludf.DUMMYFUNCTION("""COMPUTED_VALUE"""),41135.666666666664)</f>
        <v>41135.66667</v>
      </c>
      <c r="B539" s="2">
        <f>IFERROR(__xludf.DUMMYFUNCTION("""COMPUTED_VALUE"""),2.05)</f>
        <v>2.05</v>
      </c>
      <c r="C539" s="2">
        <f>IFERROR(__xludf.DUMMYFUNCTION("""COMPUTED_VALUE"""),2.08)</f>
        <v>2.08</v>
      </c>
      <c r="D539" s="2">
        <f>IFERROR(__xludf.DUMMYFUNCTION("""COMPUTED_VALUE"""),1.95)</f>
        <v>1.95</v>
      </c>
      <c r="E539" s="2">
        <f>IFERROR(__xludf.DUMMYFUNCTION("""COMPUTED_VALUE"""),1.96)</f>
        <v>1.96</v>
      </c>
      <c r="F539" s="2">
        <f>IFERROR(__xludf.DUMMYFUNCTION("""COMPUTED_VALUE"""),793336.0)</f>
        <v>793336</v>
      </c>
    </row>
    <row r="540">
      <c r="A540" s="3">
        <f>IFERROR(__xludf.DUMMYFUNCTION("""COMPUTED_VALUE"""),41136.666666666664)</f>
        <v>41136.66667</v>
      </c>
      <c r="B540" s="2">
        <f>IFERROR(__xludf.DUMMYFUNCTION("""COMPUTED_VALUE"""),1.96)</f>
        <v>1.96</v>
      </c>
      <c r="C540" s="2">
        <f>IFERROR(__xludf.DUMMYFUNCTION("""COMPUTED_VALUE"""),1.98)</f>
        <v>1.98</v>
      </c>
      <c r="D540" s="2">
        <f>IFERROR(__xludf.DUMMYFUNCTION("""COMPUTED_VALUE"""),1.92)</f>
        <v>1.92</v>
      </c>
      <c r="E540" s="2">
        <f>IFERROR(__xludf.DUMMYFUNCTION("""COMPUTED_VALUE"""),1.96)</f>
        <v>1.96</v>
      </c>
      <c r="F540" s="2">
        <f>IFERROR(__xludf.DUMMYFUNCTION("""COMPUTED_VALUE"""),525385.0)</f>
        <v>525385</v>
      </c>
    </row>
    <row r="541">
      <c r="A541" s="3">
        <f>IFERROR(__xludf.DUMMYFUNCTION("""COMPUTED_VALUE"""),41137.666666666664)</f>
        <v>41137.66667</v>
      </c>
      <c r="B541" s="2">
        <f>IFERROR(__xludf.DUMMYFUNCTION("""COMPUTED_VALUE"""),1.97)</f>
        <v>1.97</v>
      </c>
      <c r="C541" s="2">
        <f>IFERROR(__xludf.DUMMYFUNCTION("""COMPUTED_VALUE"""),2.03)</f>
        <v>2.03</v>
      </c>
      <c r="D541" s="2">
        <f>IFERROR(__xludf.DUMMYFUNCTION("""COMPUTED_VALUE"""),1.97)</f>
        <v>1.97</v>
      </c>
      <c r="E541" s="2">
        <f>IFERROR(__xludf.DUMMYFUNCTION("""COMPUTED_VALUE"""),2.02)</f>
        <v>2.02</v>
      </c>
      <c r="F541" s="2">
        <f>IFERROR(__xludf.DUMMYFUNCTION("""COMPUTED_VALUE"""),668973.0)</f>
        <v>668973</v>
      </c>
    </row>
    <row r="542">
      <c r="A542" s="3">
        <f>IFERROR(__xludf.DUMMYFUNCTION("""COMPUTED_VALUE"""),41138.666666666664)</f>
        <v>41138.66667</v>
      </c>
      <c r="B542" s="2">
        <f>IFERROR(__xludf.DUMMYFUNCTION("""COMPUTED_VALUE"""),2.02)</f>
        <v>2.02</v>
      </c>
      <c r="C542" s="2">
        <f>IFERROR(__xludf.DUMMYFUNCTION("""COMPUTED_VALUE"""),2.05)</f>
        <v>2.05</v>
      </c>
      <c r="D542" s="2">
        <f>IFERROR(__xludf.DUMMYFUNCTION("""COMPUTED_VALUE"""),2.0)</f>
        <v>2</v>
      </c>
      <c r="E542" s="2">
        <f>IFERROR(__xludf.DUMMYFUNCTION("""COMPUTED_VALUE"""),2.0)</f>
        <v>2</v>
      </c>
      <c r="F542" s="2">
        <f>IFERROR(__xludf.DUMMYFUNCTION("""COMPUTED_VALUE"""),508122.0)</f>
        <v>508122</v>
      </c>
    </row>
    <row r="543">
      <c r="A543" s="3">
        <f>IFERROR(__xludf.DUMMYFUNCTION("""COMPUTED_VALUE"""),41141.666666666664)</f>
        <v>41141.66667</v>
      </c>
      <c r="B543" s="2">
        <f>IFERROR(__xludf.DUMMYFUNCTION("""COMPUTED_VALUE"""),2.01)</f>
        <v>2.01</v>
      </c>
      <c r="C543" s="2">
        <f>IFERROR(__xludf.DUMMYFUNCTION("""COMPUTED_VALUE"""),2.03)</f>
        <v>2.03</v>
      </c>
      <c r="D543" s="2">
        <f>IFERROR(__xludf.DUMMYFUNCTION("""COMPUTED_VALUE"""),1.94)</f>
        <v>1.94</v>
      </c>
      <c r="E543" s="2">
        <f>IFERROR(__xludf.DUMMYFUNCTION("""COMPUTED_VALUE"""),1.97)</f>
        <v>1.97</v>
      </c>
      <c r="F543" s="2">
        <f>IFERROR(__xludf.DUMMYFUNCTION("""COMPUTED_VALUE"""),1179008.0)</f>
        <v>1179008</v>
      </c>
    </row>
    <row r="544">
      <c r="A544" s="3">
        <f>IFERROR(__xludf.DUMMYFUNCTION("""COMPUTED_VALUE"""),41142.666666666664)</f>
        <v>41142.66667</v>
      </c>
      <c r="B544" s="2">
        <f>IFERROR(__xludf.DUMMYFUNCTION("""COMPUTED_VALUE"""),1.97)</f>
        <v>1.97</v>
      </c>
      <c r="C544" s="2">
        <f>IFERROR(__xludf.DUMMYFUNCTION("""COMPUTED_VALUE"""),2.0)</f>
        <v>2</v>
      </c>
      <c r="D544" s="2">
        <f>IFERROR(__xludf.DUMMYFUNCTION("""COMPUTED_VALUE"""),1.93)</f>
        <v>1.93</v>
      </c>
      <c r="E544" s="2">
        <f>IFERROR(__xludf.DUMMYFUNCTION("""COMPUTED_VALUE"""),1.94)</f>
        <v>1.94</v>
      </c>
      <c r="F544" s="2">
        <f>IFERROR(__xludf.DUMMYFUNCTION("""COMPUTED_VALUE"""),761516.0)</f>
        <v>761516</v>
      </c>
    </row>
    <row r="545">
      <c r="A545" s="3">
        <f>IFERROR(__xludf.DUMMYFUNCTION("""COMPUTED_VALUE"""),41143.666666666664)</f>
        <v>41143.66667</v>
      </c>
      <c r="B545" s="2">
        <f>IFERROR(__xludf.DUMMYFUNCTION("""COMPUTED_VALUE"""),1.93)</f>
        <v>1.93</v>
      </c>
      <c r="C545" s="2">
        <f>IFERROR(__xludf.DUMMYFUNCTION("""COMPUTED_VALUE"""),2.0)</f>
        <v>2</v>
      </c>
      <c r="D545" s="2">
        <f>IFERROR(__xludf.DUMMYFUNCTION("""COMPUTED_VALUE"""),1.93)</f>
        <v>1.93</v>
      </c>
      <c r="E545" s="2">
        <f>IFERROR(__xludf.DUMMYFUNCTION("""COMPUTED_VALUE"""),2.0)</f>
        <v>2</v>
      </c>
      <c r="F545" s="2">
        <f>IFERROR(__xludf.DUMMYFUNCTION("""COMPUTED_VALUE"""),775490.0)</f>
        <v>775490</v>
      </c>
    </row>
    <row r="546">
      <c r="A546" s="3">
        <f>IFERROR(__xludf.DUMMYFUNCTION("""COMPUTED_VALUE"""),41144.666666666664)</f>
        <v>41144.66667</v>
      </c>
      <c r="B546" s="2">
        <f>IFERROR(__xludf.DUMMYFUNCTION("""COMPUTED_VALUE"""),2.0)</f>
        <v>2</v>
      </c>
      <c r="C546" s="2">
        <f>IFERROR(__xludf.DUMMYFUNCTION("""COMPUTED_VALUE"""),2.06)</f>
        <v>2.06</v>
      </c>
      <c r="D546" s="2">
        <f>IFERROR(__xludf.DUMMYFUNCTION("""COMPUTED_VALUE"""),1.98)</f>
        <v>1.98</v>
      </c>
      <c r="E546" s="2">
        <f>IFERROR(__xludf.DUMMYFUNCTION("""COMPUTED_VALUE"""),2.05)</f>
        <v>2.05</v>
      </c>
      <c r="F546" s="2">
        <f>IFERROR(__xludf.DUMMYFUNCTION("""COMPUTED_VALUE"""),1470974.0)</f>
        <v>1470974</v>
      </c>
    </row>
    <row r="547">
      <c r="A547" s="3">
        <f>IFERROR(__xludf.DUMMYFUNCTION("""COMPUTED_VALUE"""),41145.666666666664)</f>
        <v>41145.66667</v>
      </c>
      <c r="B547" s="2">
        <f>IFERROR(__xludf.DUMMYFUNCTION("""COMPUTED_VALUE"""),2.0)</f>
        <v>2</v>
      </c>
      <c r="C547" s="2">
        <f>IFERROR(__xludf.DUMMYFUNCTION("""COMPUTED_VALUE"""),2.02)</f>
        <v>2.02</v>
      </c>
      <c r="D547" s="2">
        <f>IFERROR(__xludf.DUMMYFUNCTION("""COMPUTED_VALUE"""),1.96)</f>
        <v>1.96</v>
      </c>
      <c r="E547" s="2">
        <f>IFERROR(__xludf.DUMMYFUNCTION("""COMPUTED_VALUE"""),1.97)</f>
        <v>1.97</v>
      </c>
      <c r="F547" s="2">
        <f>IFERROR(__xludf.DUMMYFUNCTION("""COMPUTED_VALUE"""),1430011.0)</f>
        <v>1430011</v>
      </c>
    </row>
    <row r="548">
      <c r="A548" s="3">
        <f>IFERROR(__xludf.DUMMYFUNCTION("""COMPUTED_VALUE"""),41148.666666666664)</f>
        <v>41148.66667</v>
      </c>
      <c r="B548" s="2">
        <f>IFERROR(__xludf.DUMMYFUNCTION("""COMPUTED_VALUE"""),1.97)</f>
        <v>1.97</v>
      </c>
      <c r="C548" s="2">
        <f>IFERROR(__xludf.DUMMYFUNCTION("""COMPUTED_VALUE"""),1.98)</f>
        <v>1.98</v>
      </c>
      <c r="D548" s="2">
        <f>IFERROR(__xludf.DUMMYFUNCTION("""COMPUTED_VALUE"""),1.88)</f>
        <v>1.88</v>
      </c>
      <c r="E548" s="2">
        <f>IFERROR(__xludf.DUMMYFUNCTION("""COMPUTED_VALUE"""),1.89)</f>
        <v>1.89</v>
      </c>
      <c r="F548" s="2">
        <f>IFERROR(__xludf.DUMMYFUNCTION("""COMPUTED_VALUE"""),1350325.0)</f>
        <v>1350325</v>
      </c>
    </row>
    <row r="549">
      <c r="A549" s="3">
        <f>IFERROR(__xludf.DUMMYFUNCTION("""COMPUTED_VALUE"""),41149.666666666664)</f>
        <v>41149.66667</v>
      </c>
      <c r="B549" s="2">
        <f>IFERROR(__xludf.DUMMYFUNCTION("""COMPUTED_VALUE"""),1.89)</f>
        <v>1.89</v>
      </c>
      <c r="C549" s="2">
        <f>IFERROR(__xludf.DUMMYFUNCTION("""COMPUTED_VALUE"""),1.96)</f>
        <v>1.96</v>
      </c>
      <c r="D549" s="2">
        <f>IFERROR(__xludf.DUMMYFUNCTION("""COMPUTED_VALUE"""),1.87)</f>
        <v>1.87</v>
      </c>
      <c r="E549" s="2">
        <f>IFERROR(__xludf.DUMMYFUNCTION("""COMPUTED_VALUE"""),1.91)</f>
        <v>1.91</v>
      </c>
      <c r="F549" s="2">
        <f>IFERROR(__xludf.DUMMYFUNCTION("""COMPUTED_VALUE"""),1402656.0)</f>
        <v>1402656</v>
      </c>
    </row>
    <row r="550">
      <c r="A550" s="3">
        <f>IFERROR(__xludf.DUMMYFUNCTION("""COMPUTED_VALUE"""),41150.666666666664)</f>
        <v>41150.66667</v>
      </c>
      <c r="B550" s="2">
        <f>IFERROR(__xludf.DUMMYFUNCTION("""COMPUTED_VALUE"""),1.9)</f>
        <v>1.9</v>
      </c>
      <c r="C550" s="2">
        <f>IFERROR(__xludf.DUMMYFUNCTION("""COMPUTED_VALUE"""),1.91)</f>
        <v>1.91</v>
      </c>
      <c r="D550" s="2">
        <f>IFERROR(__xludf.DUMMYFUNCTION("""COMPUTED_VALUE"""),1.87)</f>
        <v>1.87</v>
      </c>
      <c r="E550" s="2">
        <f>IFERROR(__xludf.DUMMYFUNCTION("""COMPUTED_VALUE"""),1.89)</f>
        <v>1.89</v>
      </c>
      <c r="F550" s="2">
        <f>IFERROR(__xludf.DUMMYFUNCTION("""COMPUTED_VALUE"""),838883.0)</f>
        <v>838883</v>
      </c>
    </row>
    <row r="551">
      <c r="A551" s="3">
        <f>IFERROR(__xludf.DUMMYFUNCTION("""COMPUTED_VALUE"""),41151.666666666664)</f>
        <v>41151.66667</v>
      </c>
      <c r="B551" s="2">
        <f>IFERROR(__xludf.DUMMYFUNCTION("""COMPUTED_VALUE"""),1.91)</f>
        <v>1.91</v>
      </c>
      <c r="C551" s="2">
        <f>IFERROR(__xludf.DUMMYFUNCTION("""COMPUTED_VALUE"""),1.92)</f>
        <v>1.92</v>
      </c>
      <c r="D551" s="2">
        <f>IFERROR(__xludf.DUMMYFUNCTION("""COMPUTED_VALUE"""),1.87)</f>
        <v>1.87</v>
      </c>
      <c r="E551" s="2">
        <f>IFERROR(__xludf.DUMMYFUNCTION("""COMPUTED_VALUE"""),1.89)</f>
        <v>1.89</v>
      </c>
      <c r="F551" s="2">
        <f>IFERROR(__xludf.DUMMYFUNCTION("""COMPUTED_VALUE"""),656307.0)</f>
        <v>656307</v>
      </c>
    </row>
    <row r="552">
      <c r="A552" s="3">
        <f>IFERROR(__xludf.DUMMYFUNCTION("""COMPUTED_VALUE"""),41152.666666666664)</f>
        <v>41152.66667</v>
      </c>
      <c r="B552" s="2">
        <f>IFERROR(__xludf.DUMMYFUNCTION("""COMPUTED_VALUE"""),1.91)</f>
        <v>1.91</v>
      </c>
      <c r="C552" s="2">
        <f>IFERROR(__xludf.DUMMYFUNCTION("""COMPUTED_VALUE"""),1.92)</f>
        <v>1.92</v>
      </c>
      <c r="D552" s="2">
        <f>IFERROR(__xludf.DUMMYFUNCTION("""COMPUTED_VALUE"""),1.88)</f>
        <v>1.88</v>
      </c>
      <c r="E552" s="2">
        <f>IFERROR(__xludf.DUMMYFUNCTION("""COMPUTED_VALUE"""),1.9)</f>
        <v>1.9</v>
      </c>
      <c r="F552" s="2">
        <f>IFERROR(__xludf.DUMMYFUNCTION("""COMPUTED_VALUE"""),539736.0)</f>
        <v>539736</v>
      </c>
    </row>
    <row r="553">
      <c r="A553" s="3">
        <f>IFERROR(__xludf.DUMMYFUNCTION("""COMPUTED_VALUE"""),41156.666666666664)</f>
        <v>41156.66667</v>
      </c>
      <c r="B553" s="2">
        <f>IFERROR(__xludf.DUMMYFUNCTION("""COMPUTED_VALUE"""),1.9)</f>
        <v>1.9</v>
      </c>
      <c r="C553" s="2">
        <f>IFERROR(__xludf.DUMMYFUNCTION("""COMPUTED_VALUE"""),1.93)</f>
        <v>1.93</v>
      </c>
      <c r="D553" s="2">
        <f>IFERROR(__xludf.DUMMYFUNCTION("""COMPUTED_VALUE"""),1.86)</f>
        <v>1.86</v>
      </c>
      <c r="E553" s="2">
        <f>IFERROR(__xludf.DUMMYFUNCTION("""COMPUTED_VALUE"""),1.88)</f>
        <v>1.88</v>
      </c>
      <c r="F553" s="2">
        <f>IFERROR(__xludf.DUMMYFUNCTION("""COMPUTED_VALUE"""),752496.0)</f>
        <v>752496</v>
      </c>
    </row>
    <row r="554">
      <c r="A554" s="3">
        <f>IFERROR(__xludf.DUMMYFUNCTION("""COMPUTED_VALUE"""),41157.666666666664)</f>
        <v>41157.66667</v>
      </c>
      <c r="B554" s="2">
        <f>IFERROR(__xludf.DUMMYFUNCTION("""COMPUTED_VALUE"""),1.87)</f>
        <v>1.87</v>
      </c>
      <c r="C554" s="2">
        <f>IFERROR(__xludf.DUMMYFUNCTION("""COMPUTED_VALUE"""),1.9)</f>
        <v>1.9</v>
      </c>
      <c r="D554" s="2">
        <f>IFERROR(__xludf.DUMMYFUNCTION("""COMPUTED_VALUE"""),1.85)</f>
        <v>1.85</v>
      </c>
      <c r="E554" s="2">
        <f>IFERROR(__xludf.DUMMYFUNCTION("""COMPUTED_VALUE"""),1.86)</f>
        <v>1.86</v>
      </c>
      <c r="F554" s="2">
        <f>IFERROR(__xludf.DUMMYFUNCTION("""COMPUTED_VALUE"""),639227.0)</f>
        <v>639227</v>
      </c>
    </row>
    <row r="555">
      <c r="A555" s="3">
        <f>IFERROR(__xludf.DUMMYFUNCTION("""COMPUTED_VALUE"""),41158.666666666664)</f>
        <v>41158.66667</v>
      </c>
      <c r="B555" s="2">
        <f>IFERROR(__xludf.DUMMYFUNCTION("""COMPUTED_VALUE"""),1.87)</f>
        <v>1.87</v>
      </c>
      <c r="C555" s="2">
        <f>IFERROR(__xludf.DUMMYFUNCTION("""COMPUTED_VALUE"""),1.93)</f>
        <v>1.93</v>
      </c>
      <c r="D555" s="2">
        <f>IFERROR(__xludf.DUMMYFUNCTION("""COMPUTED_VALUE"""),1.86)</f>
        <v>1.86</v>
      </c>
      <c r="E555" s="2">
        <f>IFERROR(__xludf.DUMMYFUNCTION("""COMPUTED_VALUE"""),1.9)</f>
        <v>1.9</v>
      </c>
      <c r="F555" s="2">
        <f>IFERROR(__xludf.DUMMYFUNCTION("""COMPUTED_VALUE"""),841643.0)</f>
        <v>841643</v>
      </c>
    </row>
    <row r="556">
      <c r="A556" s="3">
        <f>IFERROR(__xludf.DUMMYFUNCTION("""COMPUTED_VALUE"""),41159.666666666664)</f>
        <v>41159.66667</v>
      </c>
      <c r="B556" s="2">
        <f>IFERROR(__xludf.DUMMYFUNCTION("""COMPUTED_VALUE"""),1.9)</f>
        <v>1.9</v>
      </c>
      <c r="C556" s="2">
        <f>IFERROR(__xludf.DUMMYFUNCTION("""COMPUTED_VALUE"""),1.97)</f>
        <v>1.97</v>
      </c>
      <c r="D556" s="2">
        <f>IFERROR(__xludf.DUMMYFUNCTION("""COMPUTED_VALUE"""),1.9)</f>
        <v>1.9</v>
      </c>
      <c r="E556" s="2">
        <f>IFERROR(__xludf.DUMMYFUNCTION("""COMPUTED_VALUE"""),1.96)</f>
        <v>1.96</v>
      </c>
      <c r="F556" s="2">
        <f>IFERROR(__xludf.DUMMYFUNCTION("""COMPUTED_VALUE"""),953151.0)</f>
        <v>953151</v>
      </c>
    </row>
    <row r="557">
      <c r="A557" s="3">
        <f>IFERROR(__xludf.DUMMYFUNCTION("""COMPUTED_VALUE"""),41162.666666666664)</f>
        <v>41162.66667</v>
      </c>
      <c r="B557" s="2">
        <f>IFERROR(__xludf.DUMMYFUNCTION("""COMPUTED_VALUE"""),1.95)</f>
        <v>1.95</v>
      </c>
      <c r="C557" s="2">
        <f>IFERROR(__xludf.DUMMYFUNCTION("""COMPUTED_VALUE"""),1.96)</f>
        <v>1.96</v>
      </c>
      <c r="D557" s="2">
        <f>IFERROR(__xludf.DUMMYFUNCTION("""COMPUTED_VALUE"""),1.82)</f>
        <v>1.82</v>
      </c>
      <c r="E557" s="2">
        <f>IFERROR(__xludf.DUMMYFUNCTION("""COMPUTED_VALUE"""),1.82)</f>
        <v>1.82</v>
      </c>
      <c r="F557" s="2">
        <f>IFERROR(__xludf.DUMMYFUNCTION("""COMPUTED_VALUE"""),1484015.0)</f>
        <v>1484015</v>
      </c>
    </row>
    <row r="558">
      <c r="A558" s="3">
        <f>IFERROR(__xludf.DUMMYFUNCTION("""COMPUTED_VALUE"""),41163.666666666664)</f>
        <v>41163.66667</v>
      </c>
      <c r="B558" s="2">
        <f>IFERROR(__xludf.DUMMYFUNCTION("""COMPUTED_VALUE"""),1.85)</f>
        <v>1.85</v>
      </c>
      <c r="C558" s="2">
        <f>IFERROR(__xludf.DUMMYFUNCTION("""COMPUTED_VALUE"""),1.88)</f>
        <v>1.88</v>
      </c>
      <c r="D558" s="2">
        <f>IFERROR(__xludf.DUMMYFUNCTION("""COMPUTED_VALUE"""),1.83)</f>
        <v>1.83</v>
      </c>
      <c r="E558" s="2">
        <f>IFERROR(__xludf.DUMMYFUNCTION("""COMPUTED_VALUE"""),1.85)</f>
        <v>1.85</v>
      </c>
      <c r="F558" s="2">
        <f>IFERROR(__xludf.DUMMYFUNCTION("""COMPUTED_VALUE"""),1014871.0)</f>
        <v>1014871</v>
      </c>
    </row>
    <row r="559">
      <c r="A559" s="3">
        <f>IFERROR(__xludf.DUMMYFUNCTION("""COMPUTED_VALUE"""),41164.666666666664)</f>
        <v>41164.66667</v>
      </c>
      <c r="B559" s="2">
        <f>IFERROR(__xludf.DUMMYFUNCTION("""COMPUTED_VALUE"""),1.86)</f>
        <v>1.86</v>
      </c>
      <c r="C559" s="2">
        <f>IFERROR(__xludf.DUMMYFUNCTION("""COMPUTED_VALUE"""),1.91)</f>
        <v>1.91</v>
      </c>
      <c r="D559" s="2">
        <f>IFERROR(__xludf.DUMMYFUNCTION("""COMPUTED_VALUE"""),1.85)</f>
        <v>1.85</v>
      </c>
      <c r="E559" s="2">
        <f>IFERROR(__xludf.DUMMYFUNCTION("""COMPUTED_VALUE"""),1.89)</f>
        <v>1.89</v>
      </c>
      <c r="F559" s="2">
        <f>IFERROR(__xludf.DUMMYFUNCTION("""COMPUTED_VALUE"""),1145334.0)</f>
        <v>1145334</v>
      </c>
    </row>
    <row r="560">
      <c r="A560" s="3">
        <f>IFERROR(__xludf.DUMMYFUNCTION("""COMPUTED_VALUE"""),41165.666666666664)</f>
        <v>41165.66667</v>
      </c>
      <c r="B560" s="2">
        <f>IFERROR(__xludf.DUMMYFUNCTION("""COMPUTED_VALUE"""),1.9)</f>
        <v>1.9</v>
      </c>
      <c r="C560" s="2">
        <f>IFERROR(__xludf.DUMMYFUNCTION("""COMPUTED_VALUE"""),1.97)</f>
        <v>1.97</v>
      </c>
      <c r="D560" s="2">
        <f>IFERROR(__xludf.DUMMYFUNCTION("""COMPUTED_VALUE"""),1.9)</f>
        <v>1.9</v>
      </c>
      <c r="E560" s="2">
        <f>IFERROR(__xludf.DUMMYFUNCTION("""COMPUTED_VALUE"""),1.97)</f>
        <v>1.97</v>
      </c>
      <c r="F560" s="2">
        <f>IFERROR(__xludf.DUMMYFUNCTION("""COMPUTED_VALUE"""),1486359.0)</f>
        <v>1486359</v>
      </c>
    </row>
    <row r="561">
      <c r="A561" s="3">
        <f>IFERROR(__xludf.DUMMYFUNCTION("""COMPUTED_VALUE"""),41166.666666666664)</f>
        <v>41166.66667</v>
      </c>
      <c r="B561" s="2">
        <f>IFERROR(__xludf.DUMMYFUNCTION("""COMPUTED_VALUE"""),2.0)</f>
        <v>2</v>
      </c>
      <c r="C561" s="2">
        <f>IFERROR(__xludf.DUMMYFUNCTION("""COMPUTED_VALUE"""),2.04)</f>
        <v>2.04</v>
      </c>
      <c r="D561" s="2">
        <f>IFERROR(__xludf.DUMMYFUNCTION("""COMPUTED_VALUE"""),1.98)</f>
        <v>1.98</v>
      </c>
      <c r="E561" s="2">
        <f>IFERROR(__xludf.DUMMYFUNCTION("""COMPUTED_VALUE"""),2.03)</f>
        <v>2.03</v>
      </c>
      <c r="F561" s="2">
        <f>IFERROR(__xludf.DUMMYFUNCTION("""COMPUTED_VALUE"""),1536669.0)</f>
        <v>1536669</v>
      </c>
    </row>
    <row r="562">
      <c r="A562" s="3">
        <f>IFERROR(__xludf.DUMMYFUNCTION("""COMPUTED_VALUE"""),41169.666666666664)</f>
        <v>41169.66667</v>
      </c>
      <c r="B562" s="2">
        <f>IFERROR(__xludf.DUMMYFUNCTION("""COMPUTED_VALUE"""),2.16)</f>
        <v>2.16</v>
      </c>
      <c r="C562" s="2">
        <f>IFERROR(__xludf.DUMMYFUNCTION("""COMPUTED_VALUE"""),2.19)</f>
        <v>2.19</v>
      </c>
      <c r="D562" s="2">
        <f>IFERROR(__xludf.DUMMYFUNCTION("""COMPUTED_VALUE"""),2.1)</f>
        <v>2.1</v>
      </c>
      <c r="E562" s="2">
        <f>IFERROR(__xludf.DUMMYFUNCTION("""COMPUTED_VALUE"""),2.17)</f>
        <v>2.17</v>
      </c>
      <c r="F562" s="2">
        <f>IFERROR(__xludf.DUMMYFUNCTION("""COMPUTED_VALUE"""),3212991.0)</f>
        <v>3212991</v>
      </c>
    </row>
    <row r="563">
      <c r="A563" s="3">
        <f>IFERROR(__xludf.DUMMYFUNCTION("""COMPUTED_VALUE"""),41170.666666666664)</f>
        <v>41170.66667</v>
      </c>
      <c r="B563" s="2">
        <f>IFERROR(__xludf.DUMMYFUNCTION("""COMPUTED_VALUE"""),2.13)</f>
        <v>2.13</v>
      </c>
      <c r="C563" s="2">
        <f>IFERROR(__xludf.DUMMYFUNCTION("""COMPUTED_VALUE"""),2.13)</f>
        <v>2.13</v>
      </c>
      <c r="D563" s="2">
        <f>IFERROR(__xludf.DUMMYFUNCTION("""COMPUTED_VALUE"""),2.05)</f>
        <v>2.05</v>
      </c>
      <c r="E563" s="2">
        <f>IFERROR(__xludf.DUMMYFUNCTION("""COMPUTED_VALUE"""),2.09)</f>
        <v>2.09</v>
      </c>
      <c r="F563" s="2">
        <f>IFERROR(__xludf.DUMMYFUNCTION("""COMPUTED_VALUE"""),1788480.0)</f>
        <v>1788480</v>
      </c>
    </row>
    <row r="564">
      <c r="A564" s="3">
        <f>IFERROR(__xludf.DUMMYFUNCTION("""COMPUTED_VALUE"""),41171.666666666664)</f>
        <v>41171.66667</v>
      </c>
      <c r="B564" s="2">
        <f>IFERROR(__xludf.DUMMYFUNCTION("""COMPUTED_VALUE"""),2.07)</f>
        <v>2.07</v>
      </c>
      <c r="C564" s="2">
        <f>IFERROR(__xludf.DUMMYFUNCTION("""COMPUTED_VALUE"""),2.12)</f>
        <v>2.12</v>
      </c>
      <c r="D564" s="2">
        <f>IFERROR(__xludf.DUMMYFUNCTION("""COMPUTED_VALUE"""),2.06)</f>
        <v>2.06</v>
      </c>
      <c r="E564" s="2">
        <f>IFERROR(__xludf.DUMMYFUNCTION("""COMPUTED_VALUE"""),2.07)</f>
        <v>2.07</v>
      </c>
      <c r="F564" s="2">
        <f>IFERROR(__xludf.DUMMYFUNCTION("""COMPUTED_VALUE"""),1048457.0)</f>
        <v>1048457</v>
      </c>
    </row>
    <row r="565">
      <c r="A565" s="3">
        <f>IFERROR(__xludf.DUMMYFUNCTION("""COMPUTED_VALUE"""),41172.666666666664)</f>
        <v>41172.66667</v>
      </c>
      <c r="B565" s="2">
        <f>IFERROR(__xludf.DUMMYFUNCTION("""COMPUTED_VALUE"""),2.06)</f>
        <v>2.06</v>
      </c>
      <c r="C565" s="2">
        <f>IFERROR(__xludf.DUMMYFUNCTION("""COMPUTED_VALUE"""),2.1)</f>
        <v>2.1</v>
      </c>
      <c r="D565" s="2">
        <f>IFERROR(__xludf.DUMMYFUNCTION("""COMPUTED_VALUE"""),2.05)</f>
        <v>2.05</v>
      </c>
      <c r="E565" s="2">
        <f>IFERROR(__xludf.DUMMYFUNCTION("""COMPUTED_VALUE"""),2.06)</f>
        <v>2.06</v>
      </c>
      <c r="F565" s="2">
        <f>IFERROR(__xludf.DUMMYFUNCTION("""COMPUTED_VALUE"""),912372.0)</f>
        <v>912372</v>
      </c>
    </row>
    <row r="566">
      <c r="A566" s="3">
        <f>IFERROR(__xludf.DUMMYFUNCTION("""COMPUTED_VALUE"""),41173.666666666664)</f>
        <v>41173.66667</v>
      </c>
      <c r="B566" s="2">
        <f>IFERROR(__xludf.DUMMYFUNCTION("""COMPUTED_VALUE"""),2.07)</f>
        <v>2.07</v>
      </c>
      <c r="C566" s="2">
        <f>IFERROR(__xludf.DUMMYFUNCTION("""COMPUTED_VALUE"""),2.1)</f>
        <v>2.1</v>
      </c>
      <c r="D566" s="2">
        <f>IFERROR(__xludf.DUMMYFUNCTION("""COMPUTED_VALUE"""),1.97)</f>
        <v>1.97</v>
      </c>
      <c r="E566" s="2">
        <f>IFERROR(__xludf.DUMMYFUNCTION("""COMPUTED_VALUE"""),2.0)</f>
        <v>2</v>
      </c>
      <c r="F566" s="2">
        <f>IFERROR(__xludf.DUMMYFUNCTION("""COMPUTED_VALUE"""),1870170.0)</f>
        <v>1870170</v>
      </c>
    </row>
    <row r="567">
      <c r="A567" s="3">
        <f>IFERROR(__xludf.DUMMYFUNCTION("""COMPUTED_VALUE"""),41176.666666666664)</f>
        <v>41176.66667</v>
      </c>
      <c r="B567" s="2">
        <f>IFERROR(__xludf.DUMMYFUNCTION("""COMPUTED_VALUE"""),1.97)</f>
        <v>1.97</v>
      </c>
      <c r="C567" s="2">
        <f>IFERROR(__xludf.DUMMYFUNCTION("""COMPUTED_VALUE"""),2.07)</f>
        <v>2.07</v>
      </c>
      <c r="D567" s="2">
        <f>IFERROR(__xludf.DUMMYFUNCTION("""COMPUTED_VALUE"""),1.96)</f>
        <v>1.96</v>
      </c>
      <c r="E567" s="2">
        <f>IFERROR(__xludf.DUMMYFUNCTION("""COMPUTED_VALUE"""),2.04)</f>
        <v>2.04</v>
      </c>
      <c r="F567" s="2">
        <f>IFERROR(__xludf.DUMMYFUNCTION("""COMPUTED_VALUE"""),1302004.0)</f>
        <v>1302004</v>
      </c>
    </row>
    <row r="568">
      <c r="A568" s="3">
        <f>IFERROR(__xludf.DUMMYFUNCTION("""COMPUTED_VALUE"""),41177.666666666664)</f>
        <v>41177.66667</v>
      </c>
      <c r="B568" s="2">
        <f>IFERROR(__xludf.DUMMYFUNCTION("""COMPUTED_VALUE"""),1.91)</f>
        <v>1.91</v>
      </c>
      <c r="C568" s="2">
        <f>IFERROR(__xludf.DUMMYFUNCTION("""COMPUTED_VALUE"""),1.97)</f>
        <v>1.97</v>
      </c>
      <c r="D568" s="2">
        <f>IFERROR(__xludf.DUMMYFUNCTION("""COMPUTED_VALUE"""),1.84)</f>
        <v>1.84</v>
      </c>
      <c r="E568" s="2">
        <f>IFERROR(__xludf.DUMMYFUNCTION("""COMPUTED_VALUE"""),1.84)</f>
        <v>1.84</v>
      </c>
      <c r="F568" s="2">
        <f>IFERROR(__xludf.DUMMYFUNCTION("""COMPUTED_VALUE"""),5684952.0)</f>
        <v>5684952</v>
      </c>
    </row>
    <row r="569">
      <c r="A569" s="3">
        <f>IFERROR(__xludf.DUMMYFUNCTION("""COMPUTED_VALUE"""),41178.666666666664)</f>
        <v>41178.66667</v>
      </c>
      <c r="B569" s="2">
        <f>IFERROR(__xludf.DUMMYFUNCTION("""COMPUTED_VALUE"""),1.84)</f>
        <v>1.84</v>
      </c>
      <c r="C569" s="2">
        <f>IFERROR(__xludf.DUMMYFUNCTION("""COMPUTED_VALUE"""),1.89)</f>
        <v>1.89</v>
      </c>
      <c r="D569" s="2">
        <f>IFERROR(__xludf.DUMMYFUNCTION("""COMPUTED_VALUE"""),1.83)</f>
        <v>1.83</v>
      </c>
      <c r="E569" s="2">
        <f>IFERROR(__xludf.DUMMYFUNCTION("""COMPUTED_VALUE"""),1.84)</f>
        <v>1.84</v>
      </c>
      <c r="F569" s="2">
        <f>IFERROR(__xludf.DUMMYFUNCTION("""COMPUTED_VALUE"""),1527320.0)</f>
        <v>1527320</v>
      </c>
    </row>
    <row r="570">
      <c r="A570" s="3">
        <f>IFERROR(__xludf.DUMMYFUNCTION("""COMPUTED_VALUE"""),41179.666666666664)</f>
        <v>41179.66667</v>
      </c>
      <c r="B570" s="2">
        <f>IFERROR(__xludf.DUMMYFUNCTION("""COMPUTED_VALUE"""),1.85)</f>
        <v>1.85</v>
      </c>
      <c r="C570" s="2">
        <f>IFERROR(__xludf.DUMMYFUNCTION("""COMPUTED_VALUE"""),1.9)</f>
        <v>1.9</v>
      </c>
      <c r="D570" s="2">
        <f>IFERROR(__xludf.DUMMYFUNCTION("""COMPUTED_VALUE"""),1.84)</f>
        <v>1.84</v>
      </c>
      <c r="E570" s="2">
        <f>IFERROR(__xludf.DUMMYFUNCTION("""COMPUTED_VALUE"""),1.9)</f>
        <v>1.9</v>
      </c>
      <c r="F570" s="2">
        <f>IFERROR(__xludf.DUMMYFUNCTION("""COMPUTED_VALUE"""),1758553.0)</f>
        <v>1758553</v>
      </c>
    </row>
    <row r="571">
      <c r="A571" s="3">
        <f>IFERROR(__xludf.DUMMYFUNCTION("""COMPUTED_VALUE"""),41180.666666666664)</f>
        <v>41180.66667</v>
      </c>
      <c r="B571" s="2">
        <f>IFERROR(__xludf.DUMMYFUNCTION("""COMPUTED_VALUE"""),1.91)</f>
        <v>1.91</v>
      </c>
      <c r="C571" s="2">
        <f>IFERROR(__xludf.DUMMYFUNCTION("""COMPUTED_VALUE"""),1.99)</f>
        <v>1.99</v>
      </c>
      <c r="D571" s="2">
        <f>IFERROR(__xludf.DUMMYFUNCTION("""COMPUTED_VALUE"""),1.91)</f>
        <v>1.91</v>
      </c>
      <c r="E571" s="2">
        <f>IFERROR(__xludf.DUMMYFUNCTION("""COMPUTED_VALUE"""),1.95)</f>
        <v>1.95</v>
      </c>
      <c r="F571" s="2">
        <f>IFERROR(__xludf.DUMMYFUNCTION("""COMPUTED_VALUE"""),4343338.0)</f>
        <v>4343338</v>
      </c>
    </row>
    <row r="572">
      <c r="A572" s="3">
        <f>IFERROR(__xludf.DUMMYFUNCTION("""COMPUTED_VALUE"""),41183.666666666664)</f>
        <v>41183.66667</v>
      </c>
      <c r="B572" s="2">
        <f>IFERROR(__xludf.DUMMYFUNCTION("""COMPUTED_VALUE"""),1.97)</f>
        <v>1.97</v>
      </c>
      <c r="C572" s="2">
        <f>IFERROR(__xludf.DUMMYFUNCTION("""COMPUTED_VALUE"""),1.99)</f>
        <v>1.99</v>
      </c>
      <c r="D572" s="2">
        <f>IFERROR(__xludf.DUMMYFUNCTION("""COMPUTED_VALUE"""),1.93)</f>
        <v>1.93</v>
      </c>
      <c r="E572" s="2">
        <f>IFERROR(__xludf.DUMMYFUNCTION("""COMPUTED_VALUE"""),1.94)</f>
        <v>1.94</v>
      </c>
      <c r="F572" s="2">
        <f>IFERROR(__xludf.DUMMYFUNCTION("""COMPUTED_VALUE"""),884305.0)</f>
        <v>884305</v>
      </c>
    </row>
    <row r="573">
      <c r="A573" s="3">
        <f>IFERROR(__xludf.DUMMYFUNCTION("""COMPUTED_VALUE"""),41184.666666666664)</f>
        <v>41184.66667</v>
      </c>
      <c r="B573" s="2">
        <f>IFERROR(__xludf.DUMMYFUNCTION("""COMPUTED_VALUE"""),1.95)</f>
        <v>1.95</v>
      </c>
      <c r="C573" s="2">
        <f>IFERROR(__xludf.DUMMYFUNCTION("""COMPUTED_VALUE"""),1.99)</f>
        <v>1.99</v>
      </c>
      <c r="D573" s="2">
        <f>IFERROR(__xludf.DUMMYFUNCTION("""COMPUTED_VALUE"""),1.93)</f>
        <v>1.93</v>
      </c>
      <c r="E573" s="2">
        <f>IFERROR(__xludf.DUMMYFUNCTION("""COMPUTED_VALUE"""),1.99)</f>
        <v>1.99</v>
      </c>
      <c r="F573" s="2">
        <f>IFERROR(__xludf.DUMMYFUNCTION("""COMPUTED_VALUE"""),728969.0)</f>
        <v>728969</v>
      </c>
    </row>
    <row r="574">
      <c r="A574" s="3">
        <f>IFERROR(__xludf.DUMMYFUNCTION("""COMPUTED_VALUE"""),41185.666666666664)</f>
        <v>41185.66667</v>
      </c>
      <c r="B574" s="2">
        <f>IFERROR(__xludf.DUMMYFUNCTION("""COMPUTED_VALUE"""),1.98)</f>
        <v>1.98</v>
      </c>
      <c r="C574" s="2">
        <f>IFERROR(__xludf.DUMMYFUNCTION("""COMPUTED_VALUE"""),2.0)</f>
        <v>2</v>
      </c>
      <c r="D574" s="2">
        <f>IFERROR(__xludf.DUMMYFUNCTION("""COMPUTED_VALUE"""),1.95)</f>
        <v>1.95</v>
      </c>
      <c r="E574" s="2">
        <f>IFERROR(__xludf.DUMMYFUNCTION("""COMPUTED_VALUE"""),1.95)</f>
        <v>1.95</v>
      </c>
      <c r="F574" s="2">
        <f>IFERROR(__xludf.DUMMYFUNCTION("""COMPUTED_VALUE"""),1055288.0)</f>
        <v>1055288</v>
      </c>
    </row>
    <row r="575">
      <c r="A575" s="3">
        <f>IFERROR(__xludf.DUMMYFUNCTION("""COMPUTED_VALUE"""),41186.666666666664)</f>
        <v>41186.66667</v>
      </c>
      <c r="B575" s="2">
        <f>IFERROR(__xludf.DUMMYFUNCTION("""COMPUTED_VALUE"""),2.0)</f>
        <v>2</v>
      </c>
      <c r="C575" s="2">
        <f>IFERROR(__xludf.DUMMYFUNCTION("""COMPUTED_VALUE"""),2.01)</f>
        <v>2.01</v>
      </c>
      <c r="D575" s="2">
        <f>IFERROR(__xludf.DUMMYFUNCTION("""COMPUTED_VALUE"""),1.91)</f>
        <v>1.91</v>
      </c>
      <c r="E575" s="2">
        <f>IFERROR(__xludf.DUMMYFUNCTION("""COMPUTED_VALUE"""),1.96)</f>
        <v>1.96</v>
      </c>
      <c r="F575" s="2">
        <f>IFERROR(__xludf.DUMMYFUNCTION("""COMPUTED_VALUE"""),1541207.0)</f>
        <v>1541207</v>
      </c>
    </row>
    <row r="576">
      <c r="A576" s="3">
        <f>IFERROR(__xludf.DUMMYFUNCTION("""COMPUTED_VALUE"""),41187.666666666664)</f>
        <v>41187.66667</v>
      </c>
      <c r="B576" s="2">
        <f>IFERROR(__xludf.DUMMYFUNCTION("""COMPUTED_VALUE"""),1.98)</f>
        <v>1.98</v>
      </c>
      <c r="C576" s="2">
        <f>IFERROR(__xludf.DUMMYFUNCTION("""COMPUTED_VALUE"""),1.99)</f>
        <v>1.99</v>
      </c>
      <c r="D576" s="2">
        <f>IFERROR(__xludf.DUMMYFUNCTION("""COMPUTED_VALUE"""),1.91)</f>
        <v>1.91</v>
      </c>
      <c r="E576" s="2">
        <f>IFERROR(__xludf.DUMMYFUNCTION("""COMPUTED_VALUE"""),1.93)</f>
        <v>1.93</v>
      </c>
      <c r="F576" s="2">
        <f>IFERROR(__xludf.DUMMYFUNCTION("""COMPUTED_VALUE"""),938670.0)</f>
        <v>938670</v>
      </c>
    </row>
    <row r="577">
      <c r="A577" s="3">
        <f>IFERROR(__xludf.DUMMYFUNCTION("""COMPUTED_VALUE"""),41190.666666666664)</f>
        <v>41190.66667</v>
      </c>
      <c r="B577" s="2">
        <f>IFERROR(__xludf.DUMMYFUNCTION("""COMPUTED_VALUE"""),1.92)</f>
        <v>1.92</v>
      </c>
      <c r="C577" s="2">
        <f>IFERROR(__xludf.DUMMYFUNCTION("""COMPUTED_VALUE"""),1.96)</f>
        <v>1.96</v>
      </c>
      <c r="D577" s="2">
        <f>IFERROR(__xludf.DUMMYFUNCTION("""COMPUTED_VALUE"""),1.91)</f>
        <v>1.91</v>
      </c>
      <c r="E577" s="2">
        <f>IFERROR(__xludf.DUMMYFUNCTION("""COMPUTED_VALUE"""),1.95)</f>
        <v>1.95</v>
      </c>
      <c r="F577" s="2">
        <f>IFERROR(__xludf.DUMMYFUNCTION("""COMPUTED_VALUE"""),890006.0)</f>
        <v>890006</v>
      </c>
    </row>
    <row r="578">
      <c r="A578" s="3">
        <f>IFERROR(__xludf.DUMMYFUNCTION("""COMPUTED_VALUE"""),41191.666666666664)</f>
        <v>41191.66667</v>
      </c>
      <c r="B578" s="2">
        <f>IFERROR(__xludf.DUMMYFUNCTION("""COMPUTED_VALUE"""),1.94)</f>
        <v>1.94</v>
      </c>
      <c r="C578" s="2">
        <f>IFERROR(__xludf.DUMMYFUNCTION("""COMPUTED_VALUE"""),1.94)</f>
        <v>1.94</v>
      </c>
      <c r="D578" s="2">
        <f>IFERROR(__xludf.DUMMYFUNCTION("""COMPUTED_VALUE"""),1.88)</f>
        <v>1.88</v>
      </c>
      <c r="E578" s="2">
        <f>IFERROR(__xludf.DUMMYFUNCTION("""COMPUTED_VALUE"""),1.89)</f>
        <v>1.89</v>
      </c>
      <c r="F578" s="2">
        <f>IFERROR(__xludf.DUMMYFUNCTION("""COMPUTED_VALUE"""),1193479.0)</f>
        <v>1193479</v>
      </c>
    </row>
    <row r="579">
      <c r="A579" s="3">
        <f>IFERROR(__xludf.DUMMYFUNCTION("""COMPUTED_VALUE"""),41192.666666666664)</f>
        <v>41192.66667</v>
      </c>
      <c r="B579" s="2">
        <f>IFERROR(__xludf.DUMMYFUNCTION("""COMPUTED_VALUE"""),1.89)</f>
        <v>1.89</v>
      </c>
      <c r="C579" s="2">
        <f>IFERROR(__xludf.DUMMYFUNCTION("""COMPUTED_VALUE"""),1.91)</f>
        <v>1.91</v>
      </c>
      <c r="D579" s="2">
        <f>IFERROR(__xludf.DUMMYFUNCTION("""COMPUTED_VALUE"""),1.87)</f>
        <v>1.87</v>
      </c>
      <c r="E579" s="2">
        <f>IFERROR(__xludf.DUMMYFUNCTION("""COMPUTED_VALUE"""),1.89)</f>
        <v>1.89</v>
      </c>
      <c r="F579" s="2">
        <f>IFERROR(__xludf.DUMMYFUNCTION("""COMPUTED_VALUE"""),505063.0)</f>
        <v>505063</v>
      </c>
    </row>
    <row r="580">
      <c r="A580" s="3">
        <f>IFERROR(__xludf.DUMMYFUNCTION("""COMPUTED_VALUE"""),41193.666666666664)</f>
        <v>41193.66667</v>
      </c>
      <c r="B580" s="2">
        <f>IFERROR(__xludf.DUMMYFUNCTION("""COMPUTED_VALUE"""),1.93)</f>
        <v>1.93</v>
      </c>
      <c r="C580" s="2">
        <f>IFERROR(__xludf.DUMMYFUNCTION("""COMPUTED_VALUE"""),1.93)</f>
        <v>1.93</v>
      </c>
      <c r="D580" s="2">
        <f>IFERROR(__xludf.DUMMYFUNCTION("""COMPUTED_VALUE"""),1.88)</f>
        <v>1.88</v>
      </c>
      <c r="E580" s="2">
        <f>IFERROR(__xludf.DUMMYFUNCTION("""COMPUTED_VALUE"""),1.89)</f>
        <v>1.89</v>
      </c>
      <c r="F580" s="2">
        <f>IFERROR(__xludf.DUMMYFUNCTION("""COMPUTED_VALUE"""),450571.0)</f>
        <v>450571</v>
      </c>
    </row>
    <row r="581">
      <c r="A581" s="3">
        <f>IFERROR(__xludf.DUMMYFUNCTION("""COMPUTED_VALUE"""),41194.666666666664)</f>
        <v>41194.66667</v>
      </c>
      <c r="B581" s="2">
        <f>IFERROR(__xludf.DUMMYFUNCTION("""COMPUTED_VALUE"""),1.89)</f>
        <v>1.89</v>
      </c>
      <c r="C581" s="2">
        <f>IFERROR(__xludf.DUMMYFUNCTION("""COMPUTED_VALUE"""),1.92)</f>
        <v>1.92</v>
      </c>
      <c r="D581" s="2">
        <f>IFERROR(__xludf.DUMMYFUNCTION("""COMPUTED_VALUE"""),1.83)</f>
        <v>1.83</v>
      </c>
      <c r="E581" s="2">
        <f>IFERROR(__xludf.DUMMYFUNCTION("""COMPUTED_VALUE"""),1.84)</f>
        <v>1.84</v>
      </c>
      <c r="F581" s="2">
        <f>IFERROR(__xludf.DUMMYFUNCTION("""COMPUTED_VALUE"""),987535.0)</f>
        <v>987535</v>
      </c>
    </row>
    <row r="582">
      <c r="A582" s="3">
        <f>IFERROR(__xludf.DUMMYFUNCTION("""COMPUTED_VALUE"""),41197.666666666664)</f>
        <v>41197.66667</v>
      </c>
      <c r="B582" s="2">
        <f>IFERROR(__xludf.DUMMYFUNCTION("""COMPUTED_VALUE"""),1.87)</f>
        <v>1.87</v>
      </c>
      <c r="C582" s="2">
        <f>IFERROR(__xludf.DUMMYFUNCTION("""COMPUTED_VALUE"""),1.87)</f>
        <v>1.87</v>
      </c>
      <c r="D582" s="2">
        <f>IFERROR(__xludf.DUMMYFUNCTION("""COMPUTED_VALUE"""),1.79)</f>
        <v>1.79</v>
      </c>
      <c r="E582" s="2">
        <f>IFERROR(__xludf.DUMMYFUNCTION("""COMPUTED_VALUE"""),1.82)</f>
        <v>1.82</v>
      </c>
      <c r="F582" s="2">
        <f>IFERROR(__xludf.DUMMYFUNCTION("""COMPUTED_VALUE"""),1469167.0)</f>
        <v>1469167</v>
      </c>
    </row>
    <row r="583">
      <c r="A583" s="3">
        <f>IFERROR(__xludf.DUMMYFUNCTION("""COMPUTED_VALUE"""),41198.666666666664)</f>
        <v>41198.66667</v>
      </c>
      <c r="B583" s="2">
        <f>IFERROR(__xludf.DUMMYFUNCTION("""COMPUTED_VALUE"""),1.84)</f>
        <v>1.84</v>
      </c>
      <c r="C583" s="2">
        <f>IFERROR(__xludf.DUMMYFUNCTION("""COMPUTED_VALUE"""),1.87)</f>
        <v>1.87</v>
      </c>
      <c r="D583" s="2">
        <f>IFERROR(__xludf.DUMMYFUNCTION("""COMPUTED_VALUE"""),1.82)</f>
        <v>1.82</v>
      </c>
      <c r="E583" s="2">
        <f>IFERROR(__xludf.DUMMYFUNCTION("""COMPUTED_VALUE"""),1.87)</f>
        <v>1.87</v>
      </c>
      <c r="F583" s="2">
        <f>IFERROR(__xludf.DUMMYFUNCTION("""COMPUTED_VALUE"""),479248.0)</f>
        <v>479248</v>
      </c>
    </row>
    <row r="584">
      <c r="A584" s="3">
        <f>IFERROR(__xludf.DUMMYFUNCTION("""COMPUTED_VALUE"""),41199.666666666664)</f>
        <v>41199.66667</v>
      </c>
      <c r="B584" s="2">
        <f>IFERROR(__xludf.DUMMYFUNCTION("""COMPUTED_VALUE"""),1.88)</f>
        <v>1.88</v>
      </c>
      <c r="C584" s="2">
        <f>IFERROR(__xludf.DUMMYFUNCTION("""COMPUTED_VALUE"""),1.92)</f>
        <v>1.92</v>
      </c>
      <c r="D584" s="2">
        <f>IFERROR(__xludf.DUMMYFUNCTION("""COMPUTED_VALUE"""),1.85)</f>
        <v>1.85</v>
      </c>
      <c r="E584" s="2">
        <f>IFERROR(__xludf.DUMMYFUNCTION("""COMPUTED_VALUE"""),1.92)</f>
        <v>1.92</v>
      </c>
      <c r="F584" s="2">
        <f>IFERROR(__xludf.DUMMYFUNCTION("""COMPUTED_VALUE"""),667963.0)</f>
        <v>667963</v>
      </c>
    </row>
    <row r="585">
      <c r="A585" s="3">
        <f>IFERROR(__xludf.DUMMYFUNCTION("""COMPUTED_VALUE"""),41200.666666666664)</f>
        <v>41200.66667</v>
      </c>
      <c r="B585" s="2">
        <f>IFERROR(__xludf.DUMMYFUNCTION("""COMPUTED_VALUE"""),1.93)</f>
        <v>1.93</v>
      </c>
      <c r="C585" s="2">
        <f>IFERROR(__xludf.DUMMYFUNCTION("""COMPUTED_VALUE"""),1.93)</f>
        <v>1.93</v>
      </c>
      <c r="D585" s="2">
        <f>IFERROR(__xludf.DUMMYFUNCTION("""COMPUTED_VALUE"""),1.85)</f>
        <v>1.85</v>
      </c>
      <c r="E585" s="2">
        <f>IFERROR(__xludf.DUMMYFUNCTION("""COMPUTED_VALUE"""),1.87)</f>
        <v>1.87</v>
      </c>
      <c r="F585" s="2">
        <f>IFERROR(__xludf.DUMMYFUNCTION("""COMPUTED_VALUE"""),740947.0)</f>
        <v>740947</v>
      </c>
    </row>
    <row r="586">
      <c r="A586" s="3">
        <f>IFERROR(__xludf.DUMMYFUNCTION("""COMPUTED_VALUE"""),41201.666666666664)</f>
        <v>41201.66667</v>
      </c>
      <c r="B586" s="2">
        <f>IFERROR(__xludf.DUMMYFUNCTION("""COMPUTED_VALUE"""),1.86)</f>
        <v>1.86</v>
      </c>
      <c r="C586" s="2">
        <f>IFERROR(__xludf.DUMMYFUNCTION("""COMPUTED_VALUE"""),1.88)</f>
        <v>1.88</v>
      </c>
      <c r="D586" s="2">
        <f>IFERROR(__xludf.DUMMYFUNCTION("""COMPUTED_VALUE"""),1.82)</f>
        <v>1.82</v>
      </c>
      <c r="E586" s="2">
        <f>IFERROR(__xludf.DUMMYFUNCTION("""COMPUTED_VALUE"""),1.85)</f>
        <v>1.85</v>
      </c>
      <c r="F586" s="2">
        <f>IFERROR(__xludf.DUMMYFUNCTION("""COMPUTED_VALUE"""),1027302.0)</f>
        <v>1027302</v>
      </c>
    </row>
    <row r="587">
      <c r="A587" s="3">
        <f>IFERROR(__xludf.DUMMYFUNCTION("""COMPUTED_VALUE"""),41204.666666666664)</f>
        <v>41204.66667</v>
      </c>
      <c r="B587" s="2">
        <f>IFERROR(__xludf.DUMMYFUNCTION("""COMPUTED_VALUE"""),1.87)</f>
        <v>1.87</v>
      </c>
      <c r="C587" s="2">
        <f>IFERROR(__xludf.DUMMYFUNCTION("""COMPUTED_VALUE"""),1.87)</f>
        <v>1.87</v>
      </c>
      <c r="D587" s="2">
        <f>IFERROR(__xludf.DUMMYFUNCTION("""COMPUTED_VALUE"""),1.82)</f>
        <v>1.82</v>
      </c>
      <c r="E587" s="2">
        <f>IFERROR(__xludf.DUMMYFUNCTION("""COMPUTED_VALUE"""),1.86)</f>
        <v>1.86</v>
      </c>
      <c r="F587" s="2">
        <f>IFERROR(__xludf.DUMMYFUNCTION("""COMPUTED_VALUE"""),470198.0)</f>
        <v>470198</v>
      </c>
    </row>
    <row r="588">
      <c r="A588" s="3">
        <f>IFERROR(__xludf.DUMMYFUNCTION("""COMPUTED_VALUE"""),41205.666666666664)</f>
        <v>41205.66667</v>
      </c>
      <c r="B588" s="2">
        <f>IFERROR(__xludf.DUMMYFUNCTION("""COMPUTED_VALUE"""),1.83)</f>
        <v>1.83</v>
      </c>
      <c r="C588" s="2">
        <f>IFERROR(__xludf.DUMMYFUNCTION("""COMPUTED_VALUE"""),1.9)</f>
        <v>1.9</v>
      </c>
      <c r="D588" s="2">
        <f>IFERROR(__xludf.DUMMYFUNCTION("""COMPUTED_VALUE"""),1.82)</f>
        <v>1.82</v>
      </c>
      <c r="E588" s="2">
        <f>IFERROR(__xludf.DUMMYFUNCTION("""COMPUTED_VALUE"""),1.89)</f>
        <v>1.89</v>
      </c>
      <c r="F588" s="2">
        <f>IFERROR(__xludf.DUMMYFUNCTION("""COMPUTED_VALUE"""),749273.0)</f>
        <v>749273</v>
      </c>
    </row>
    <row r="589">
      <c r="A589" s="3">
        <f>IFERROR(__xludf.DUMMYFUNCTION("""COMPUTED_VALUE"""),41206.666666666664)</f>
        <v>41206.66667</v>
      </c>
      <c r="B589" s="2">
        <f>IFERROR(__xludf.DUMMYFUNCTION("""COMPUTED_VALUE"""),1.9)</f>
        <v>1.9</v>
      </c>
      <c r="C589" s="2">
        <f>IFERROR(__xludf.DUMMYFUNCTION("""COMPUTED_VALUE"""),1.9)</f>
        <v>1.9</v>
      </c>
      <c r="D589" s="2">
        <f>IFERROR(__xludf.DUMMYFUNCTION("""COMPUTED_VALUE"""),1.82)</f>
        <v>1.82</v>
      </c>
      <c r="E589" s="2">
        <f>IFERROR(__xludf.DUMMYFUNCTION("""COMPUTED_VALUE"""),1.83)</f>
        <v>1.83</v>
      </c>
      <c r="F589" s="2">
        <f>IFERROR(__xludf.DUMMYFUNCTION("""COMPUTED_VALUE"""),1016368.0)</f>
        <v>1016368</v>
      </c>
    </row>
    <row r="590">
      <c r="A590" s="3">
        <f>IFERROR(__xludf.DUMMYFUNCTION("""COMPUTED_VALUE"""),41207.666666666664)</f>
        <v>41207.66667</v>
      </c>
      <c r="B590" s="2">
        <f>IFERROR(__xludf.DUMMYFUNCTION("""COMPUTED_VALUE"""),1.85)</f>
        <v>1.85</v>
      </c>
      <c r="C590" s="2">
        <f>IFERROR(__xludf.DUMMYFUNCTION("""COMPUTED_VALUE"""),1.85)</f>
        <v>1.85</v>
      </c>
      <c r="D590" s="2">
        <f>IFERROR(__xludf.DUMMYFUNCTION("""COMPUTED_VALUE"""),1.83)</f>
        <v>1.83</v>
      </c>
      <c r="E590" s="2">
        <f>IFERROR(__xludf.DUMMYFUNCTION("""COMPUTED_VALUE"""),1.83)</f>
        <v>1.83</v>
      </c>
      <c r="F590" s="2">
        <f>IFERROR(__xludf.DUMMYFUNCTION("""COMPUTED_VALUE"""),577686.0)</f>
        <v>577686</v>
      </c>
    </row>
    <row r="591">
      <c r="A591" s="3">
        <f>IFERROR(__xludf.DUMMYFUNCTION("""COMPUTED_VALUE"""),41208.666666666664)</f>
        <v>41208.66667</v>
      </c>
      <c r="B591" s="2">
        <f>IFERROR(__xludf.DUMMYFUNCTION("""COMPUTED_VALUE"""),1.84)</f>
        <v>1.84</v>
      </c>
      <c r="C591" s="2">
        <f>IFERROR(__xludf.DUMMYFUNCTION("""COMPUTED_VALUE"""),1.85)</f>
        <v>1.85</v>
      </c>
      <c r="D591" s="2">
        <f>IFERROR(__xludf.DUMMYFUNCTION("""COMPUTED_VALUE"""),1.8)</f>
        <v>1.8</v>
      </c>
      <c r="E591" s="2">
        <f>IFERROR(__xludf.DUMMYFUNCTION("""COMPUTED_VALUE"""),1.83)</f>
        <v>1.83</v>
      </c>
      <c r="F591" s="2">
        <f>IFERROR(__xludf.DUMMYFUNCTION("""COMPUTED_VALUE"""),477305.0)</f>
        <v>477305</v>
      </c>
    </row>
    <row r="592">
      <c r="A592" s="3">
        <f>IFERROR(__xludf.DUMMYFUNCTION("""COMPUTED_VALUE"""),41213.666666666664)</f>
        <v>41213.66667</v>
      </c>
      <c r="B592" s="2">
        <f>IFERROR(__xludf.DUMMYFUNCTION("""COMPUTED_VALUE"""),1.85)</f>
        <v>1.85</v>
      </c>
      <c r="C592" s="2">
        <f>IFERROR(__xludf.DUMMYFUNCTION("""COMPUTED_VALUE"""),1.89)</f>
        <v>1.89</v>
      </c>
      <c r="D592" s="2">
        <f>IFERROR(__xludf.DUMMYFUNCTION("""COMPUTED_VALUE"""),1.82)</f>
        <v>1.82</v>
      </c>
      <c r="E592" s="2">
        <f>IFERROR(__xludf.DUMMYFUNCTION("""COMPUTED_VALUE"""),1.88)</f>
        <v>1.88</v>
      </c>
      <c r="F592" s="2">
        <f>IFERROR(__xludf.DUMMYFUNCTION("""COMPUTED_VALUE"""),775142.0)</f>
        <v>775142</v>
      </c>
    </row>
    <row r="593">
      <c r="A593" s="3">
        <f>IFERROR(__xludf.DUMMYFUNCTION("""COMPUTED_VALUE"""),41214.666666666664)</f>
        <v>41214.66667</v>
      </c>
      <c r="B593" s="2">
        <f>IFERROR(__xludf.DUMMYFUNCTION("""COMPUTED_VALUE"""),1.88)</f>
        <v>1.88</v>
      </c>
      <c r="C593" s="2">
        <f>IFERROR(__xludf.DUMMYFUNCTION("""COMPUTED_VALUE"""),1.97)</f>
        <v>1.97</v>
      </c>
      <c r="D593" s="2">
        <f>IFERROR(__xludf.DUMMYFUNCTION("""COMPUTED_VALUE"""),1.88)</f>
        <v>1.88</v>
      </c>
      <c r="E593" s="2">
        <f>IFERROR(__xludf.DUMMYFUNCTION("""COMPUTED_VALUE"""),1.95)</f>
        <v>1.95</v>
      </c>
      <c r="F593" s="2">
        <f>IFERROR(__xludf.DUMMYFUNCTION("""COMPUTED_VALUE"""),1024054.0)</f>
        <v>1024054</v>
      </c>
    </row>
    <row r="594">
      <c r="A594" s="3">
        <f>IFERROR(__xludf.DUMMYFUNCTION("""COMPUTED_VALUE"""),41215.666666666664)</f>
        <v>41215.66667</v>
      </c>
      <c r="B594" s="2">
        <f>IFERROR(__xludf.DUMMYFUNCTION("""COMPUTED_VALUE"""),1.95)</f>
        <v>1.95</v>
      </c>
      <c r="C594" s="2">
        <f>IFERROR(__xludf.DUMMYFUNCTION("""COMPUTED_VALUE"""),1.97)</f>
        <v>1.97</v>
      </c>
      <c r="D594" s="2">
        <f>IFERROR(__xludf.DUMMYFUNCTION("""COMPUTED_VALUE"""),1.9)</f>
        <v>1.9</v>
      </c>
      <c r="E594" s="2">
        <f>IFERROR(__xludf.DUMMYFUNCTION("""COMPUTED_VALUE"""),1.93)</f>
        <v>1.93</v>
      </c>
      <c r="F594" s="2">
        <f>IFERROR(__xludf.DUMMYFUNCTION("""COMPUTED_VALUE"""),1030265.0)</f>
        <v>1030265</v>
      </c>
    </row>
    <row r="595">
      <c r="A595" s="3">
        <f>IFERROR(__xludf.DUMMYFUNCTION("""COMPUTED_VALUE"""),41218.666666666664)</f>
        <v>41218.66667</v>
      </c>
      <c r="B595" s="2">
        <f>IFERROR(__xludf.DUMMYFUNCTION("""COMPUTED_VALUE"""),1.99)</f>
        <v>1.99</v>
      </c>
      <c r="C595" s="2">
        <f>IFERROR(__xludf.DUMMYFUNCTION("""COMPUTED_VALUE"""),2.11)</f>
        <v>2.11</v>
      </c>
      <c r="D595" s="2">
        <f>IFERROR(__xludf.DUMMYFUNCTION("""COMPUTED_VALUE"""),1.96)</f>
        <v>1.96</v>
      </c>
      <c r="E595" s="2">
        <f>IFERROR(__xludf.DUMMYFUNCTION("""COMPUTED_VALUE"""),2.1)</f>
        <v>2.1</v>
      </c>
      <c r="F595" s="2">
        <f>IFERROR(__xludf.DUMMYFUNCTION("""COMPUTED_VALUE"""),2049118.0)</f>
        <v>2049118</v>
      </c>
    </row>
    <row r="596">
      <c r="A596" s="3">
        <f>IFERROR(__xludf.DUMMYFUNCTION("""COMPUTED_VALUE"""),41219.666666666664)</f>
        <v>41219.66667</v>
      </c>
      <c r="B596" s="2">
        <f>IFERROR(__xludf.DUMMYFUNCTION("""COMPUTED_VALUE"""),2.04)</f>
        <v>2.04</v>
      </c>
      <c r="C596" s="2">
        <f>IFERROR(__xludf.DUMMYFUNCTION("""COMPUTED_VALUE"""),2.08)</f>
        <v>2.08</v>
      </c>
      <c r="D596" s="2">
        <f>IFERROR(__xludf.DUMMYFUNCTION("""COMPUTED_VALUE"""),2.0)</f>
        <v>2</v>
      </c>
      <c r="E596" s="2">
        <f>IFERROR(__xludf.DUMMYFUNCTION("""COMPUTED_VALUE"""),2.08)</f>
        <v>2.08</v>
      </c>
      <c r="F596" s="2">
        <f>IFERROR(__xludf.DUMMYFUNCTION("""COMPUTED_VALUE"""),2323943.0)</f>
        <v>2323943</v>
      </c>
    </row>
    <row r="597">
      <c r="A597" s="3">
        <f>IFERROR(__xludf.DUMMYFUNCTION("""COMPUTED_VALUE"""),41220.666666666664)</f>
        <v>41220.66667</v>
      </c>
      <c r="B597" s="2">
        <f>IFERROR(__xludf.DUMMYFUNCTION("""COMPUTED_VALUE"""),2.07)</f>
        <v>2.07</v>
      </c>
      <c r="C597" s="2">
        <f>IFERROR(__xludf.DUMMYFUNCTION("""COMPUTED_VALUE"""),2.14)</f>
        <v>2.14</v>
      </c>
      <c r="D597" s="2">
        <f>IFERROR(__xludf.DUMMYFUNCTION("""COMPUTED_VALUE"""),2.05)</f>
        <v>2.05</v>
      </c>
      <c r="E597" s="2">
        <f>IFERROR(__xludf.DUMMYFUNCTION("""COMPUTED_VALUE"""),2.1)</f>
        <v>2.1</v>
      </c>
      <c r="F597" s="2">
        <f>IFERROR(__xludf.DUMMYFUNCTION("""COMPUTED_VALUE"""),1715417.0)</f>
        <v>1715417</v>
      </c>
    </row>
    <row r="598">
      <c r="A598" s="3">
        <f>IFERROR(__xludf.DUMMYFUNCTION("""COMPUTED_VALUE"""),41221.666666666664)</f>
        <v>41221.66667</v>
      </c>
      <c r="B598" s="2">
        <f>IFERROR(__xludf.DUMMYFUNCTION("""COMPUTED_VALUE"""),2.07)</f>
        <v>2.07</v>
      </c>
      <c r="C598" s="2">
        <f>IFERROR(__xludf.DUMMYFUNCTION("""COMPUTED_VALUE"""),2.13)</f>
        <v>2.13</v>
      </c>
      <c r="D598" s="2">
        <f>IFERROR(__xludf.DUMMYFUNCTION("""COMPUTED_VALUE"""),2.06)</f>
        <v>2.06</v>
      </c>
      <c r="E598" s="2">
        <f>IFERROR(__xludf.DUMMYFUNCTION("""COMPUTED_VALUE"""),2.09)</f>
        <v>2.09</v>
      </c>
      <c r="F598" s="2">
        <f>IFERROR(__xludf.DUMMYFUNCTION("""COMPUTED_VALUE"""),1273986.0)</f>
        <v>1273986</v>
      </c>
    </row>
    <row r="599">
      <c r="A599" s="3">
        <f>IFERROR(__xludf.DUMMYFUNCTION("""COMPUTED_VALUE"""),41222.666666666664)</f>
        <v>41222.66667</v>
      </c>
      <c r="B599" s="2">
        <f>IFERROR(__xludf.DUMMYFUNCTION("""COMPUTED_VALUE"""),2.04)</f>
        <v>2.04</v>
      </c>
      <c r="C599" s="2">
        <f>IFERROR(__xludf.DUMMYFUNCTION("""COMPUTED_VALUE"""),2.06)</f>
        <v>2.06</v>
      </c>
      <c r="D599" s="2">
        <f>IFERROR(__xludf.DUMMYFUNCTION("""COMPUTED_VALUE"""),1.99)</f>
        <v>1.99</v>
      </c>
      <c r="E599" s="2">
        <f>IFERROR(__xludf.DUMMYFUNCTION("""COMPUTED_VALUE"""),2.02)</f>
        <v>2.02</v>
      </c>
      <c r="F599" s="2">
        <f>IFERROR(__xludf.DUMMYFUNCTION("""COMPUTED_VALUE"""),863028.0)</f>
        <v>863028</v>
      </c>
    </row>
    <row r="600">
      <c r="A600" s="3">
        <f>IFERROR(__xludf.DUMMYFUNCTION("""COMPUTED_VALUE"""),41225.666666666664)</f>
        <v>41225.66667</v>
      </c>
      <c r="B600" s="2">
        <f>IFERROR(__xludf.DUMMYFUNCTION("""COMPUTED_VALUE"""),2.02)</f>
        <v>2.02</v>
      </c>
      <c r="C600" s="2">
        <f>IFERROR(__xludf.DUMMYFUNCTION("""COMPUTED_VALUE"""),2.09)</f>
        <v>2.09</v>
      </c>
      <c r="D600" s="2">
        <f>IFERROR(__xludf.DUMMYFUNCTION("""COMPUTED_VALUE"""),2.01)</f>
        <v>2.01</v>
      </c>
      <c r="E600" s="2">
        <f>IFERROR(__xludf.DUMMYFUNCTION("""COMPUTED_VALUE"""),2.07)</f>
        <v>2.07</v>
      </c>
      <c r="F600" s="2">
        <f>IFERROR(__xludf.DUMMYFUNCTION("""COMPUTED_VALUE"""),557651.0)</f>
        <v>557651</v>
      </c>
    </row>
    <row r="601">
      <c r="A601" s="3">
        <f>IFERROR(__xludf.DUMMYFUNCTION("""COMPUTED_VALUE"""),41226.666666666664)</f>
        <v>41226.66667</v>
      </c>
      <c r="B601" s="2">
        <f>IFERROR(__xludf.DUMMYFUNCTION("""COMPUTED_VALUE"""),2.09)</f>
        <v>2.09</v>
      </c>
      <c r="C601" s="2">
        <f>IFERROR(__xludf.DUMMYFUNCTION("""COMPUTED_VALUE"""),2.13)</f>
        <v>2.13</v>
      </c>
      <c r="D601" s="2">
        <f>IFERROR(__xludf.DUMMYFUNCTION("""COMPUTED_VALUE"""),2.05)</f>
        <v>2.05</v>
      </c>
      <c r="E601" s="2">
        <f>IFERROR(__xludf.DUMMYFUNCTION("""COMPUTED_VALUE"""),2.11)</f>
        <v>2.11</v>
      </c>
      <c r="F601" s="2">
        <f>IFERROR(__xludf.DUMMYFUNCTION("""COMPUTED_VALUE"""),998263.0)</f>
        <v>998263</v>
      </c>
    </row>
    <row r="602">
      <c r="A602" s="3">
        <f>IFERROR(__xludf.DUMMYFUNCTION("""COMPUTED_VALUE"""),41227.666666666664)</f>
        <v>41227.66667</v>
      </c>
      <c r="B602" s="2">
        <f>IFERROR(__xludf.DUMMYFUNCTION("""COMPUTED_VALUE"""),2.13)</f>
        <v>2.13</v>
      </c>
      <c r="C602" s="2">
        <f>IFERROR(__xludf.DUMMYFUNCTION("""COMPUTED_VALUE"""),2.14)</f>
        <v>2.14</v>
      </c>
      <c r="D602" s="2">
        <f>IFERROR(__xludf.DUMMYFUNCTION("""COMPUTED_VALUE"""),2.08)</f>
        <v>2.08</v>
      </c>
      <c r="E602" s="2">
        <f>IFERROR(__xludf.DUMMYFUNCTION("""COMPUTED_VALUE"""),2.09)</f>
        <v>2.09</v>
      </c>
      <c r="F602" s="2">
        <f>IFERROR(__xludf.DUMMYFUNCTION("""COMPUTED_VALUE"""),871315.0)</f>
        <v>871315</v>
      </c>
    </row>
    <row r="603">
      <c r="A603" s="3">
        <f>IFERROR(__xludf.DUMMYFUNCTION("""COMPUTED_VALUE"""),41228.666666666664)</f>
        <v>41228.66667</v>
      </c>
      <c r="B603" s="2">
        <f>IFERROR(__xludf.DUMMYFUNCTION("""COMPUTED_VALUE"""),2.09)</f>
        <v>2.09</v>
      </c>
      <c r="C603" s="2">
        <f>IFERROR(__xludf.DUMMYFUNCTION("""COMPUTED_VALUE"""),2.1)</f>
        <v>2.1</v>
      </c>
      <c r="D603" s="2">
        <f>IFERROR(__xludf.DUMMYFUNCTION("""COMPUTED_VALUE"""),2.03)</f>
        <v>2.03</v>
      </c>
      <c r="E603" s="2">
        <f>IFERROR(__xludf.DUMMYFUNCTION("""COMPUTED_VALUE"""),2.05)</f>
        <v>2.05</v>
      </c>
      <c r="F603" s="2">
        <f>IFERROR(__xludf.DUMMYFUNCTION("""COMPUTED_VALUE"""),983941.0)</f>
        <v>983941</v>
      </c>
    </row>
    <row r="604">
      <c r="A604" s="3">
        <f>IFERROR(__xludf.DUMMYFUNCTION("""COMPUTED_VALUE"""),41229.666666666664)</f>
        <v>41229.66667</v>
      </c>
      <c r="B604" s="2">
        <f>IFERROR(__xludf.DUMMYFUNCTION("""COMPUTED_VALUE"""),2.08)</f>
        <v>2.08</v>
      </c>
      <c r="C604" s="2">
        <f>IFERROR(__xludf.DUMMYFUNCTION("""COMPUTED_VALUE"""),2.13)</f>
        <v>2.13</v>
      </c>
      <c r="D604" s="2">
        <f>IFERROR(__xludf.DUMMYFUNCTION("""COMPUTED_VALUE"""),2.04)</f>
        <v>2.04</v>
      </c>
      <c r="E604" s="2">
        <f>IFERROR(__xludf.DUMMYFUNCTION("""COMPUTED_VALUE"""),2.12)</f>
        <v>2.12</v>
      </c>
      <c r="F604" s="2">
        <f>IFERROR(__xludf.DUMMYFUNCTION("""COMPUTED_VALUE"""),908650.0)</f>
        <v>908650</v>
      </c>
    </row>
    <row r="605">
      <c r="A605" s="3">
        <f>IFERROR(__xludf.DUMMYFUNCTION("""COMPUTED_VALUE"""),41232.666666666664)</f>
        <v>41232.66667</v>
      </c>
      <c r="B605" s="2">
        <f>IFERROR(__xludf.DUMMYFUNCTION("""COMPUTED_VALUE"""),2.14)</f>
        <v>2.14</v>
      </c>
      <c r="C605" s="2">
        <f>IFERROR(__xludf.DUMMYFUNCTION("""COMPUTED_VALUE"""),2.22)</f>
        <v>2.22</v>
      </c>
      <c r="D605" s="2">
        <f>IFERROR(__xludf.DUMMYFUNCTION("""COMPUTED_VALUE"""),2.12)</f>
        <v>2.12</v>
      </c>
      <c r="E605" s="2">
        <f>IFERROR(__xludf.DUMMYFUNCTION("""COMPUTED_VALUE"""),2.19)</f>
        <v>2.19</v>
      </c>
      <c r="F605" s="2">
        <f>IFERROR(__xludf.DUMMYFUNCTION("""COMPUTED_VALUE"""),1392548.0)</f>
        <v>1392548</v>
      </c>
    </row>
    <row r="606">
      <c r="A606" s="3">
        <f>IFERROR(__xludf.DUMMYFUNCTION("""COMPUTED_VALUE"""),41233.666666666664)</f>
        <v>41233.66667</v>
      </c>
      <c r="B606" s="2">
        <f>IFERROR(__xludf.DUMMYFUNCTION("""COMPUTED_VALUE"""),2.19)</f>
        <v>2.19</v>
      </c>
      <c r="C606" s="2">
        <f>IFERROR(__xludf.DUMMYFUNCTION("""COMPUTED_VALUE"""),2.21)</f>
        <v>2.21</v>
      </c>
      <c r="D606" s="2">
        <f>IFERROR(__xludf.DUMMYFUNCTION("""COMPUTED_VALUE"""),2.13)</f>
        <v>2.13</v>
      </c>
      <c r="E606" s="2">
        <f>IFERROR(__xludf.DUMMYFUNCTION("""COMPUTED_VALUE"""),2.2)</f>
        <v>2.2</v>
      </c>
      <c r="F606" s="2">
        <f>IFERROR(__xludf.DUMMYFUNCTION("""COMPUTED_VALUE"""),922427.0)</f>
        <v>922427</v>
      </c>
    </row>
    <row r="607">
      <c r="A607" s="3">
        <f>IFERROR(__xludf.DUMMYFUNCTION("""COMPUTED_VALUE"""),41234.666666666664)</f>
        <v>41234.66667</v>
      </c>
      <c r="B607" s="2">
        <f>IFERROR(__xludf.DUMMYFUNCTION("""COMPUTED_VALUE"""),2.17)</f>
        <v>2.17</v>
      </c>
      <c r="C607" s="2">
        <f>IFERROR(__xludf.DUMMYFUNCTION("""COMPUTED_VALUE"""),2.23)</f>
        <v>2.23</v>
      </c>
      <c r="D607" s="2">
        <f>IFERROR(__xludf.DUMMYFUNCTION("""COMPUTED_VALUE"""),2.15)</f>
        <v>2.15</v>
      </c>
      <c r="E607" s="2">
        <f>IFERROR(__xludf.DUMMYFUNCTION("""COMPUTED_VALUE"""),2.16)</f>
        <v>2.16</v>
      </c>
      <c r="F607" s="2">
        <f>IFERROR(__xludf.DUMMYFUNCTION("""COMPUTED_VALUE"""),963133.0)</f>
        <v>963133</v>
      </c>
    </row>
    <row r="608">
      <c r="A608" s="3">
        <f>IFERROR(__xludf.DUMMYFUNCTION("""COMPUTED_VALUE"""),41236.666666666664)</f>
        <v>41236.66667</v>
      </c>
      <c r="B608" s="2">
        <f>IFERROR(__xludf.DUMMYFUNCTION("""COMPUTED_VALUE"""),2.17)</f>
        <v>2.17</v>
      </c>
      <c r="C608" s="2">
        <f>IFERROR(__xludf.DUMMYFUNCTION("""COMPUTED_VALUE"""),2.19)</f>
        <v>2.19</v>
      </c>
      <c r="D608" s="2">
        <f>IFERROR(__xludf.DUMMYFUNCTION("""COMPUTED_VALUE"""),2.11)</f>
        <v>2.11</v>
      </c>
      <c r="E608" s="2">
        <f>IFERROR(__xludf.DUMMYFUNCTION("""COMPUTED_VALUE"""),2.14)</f>
        <v>2.14</v>
      </c>
      <c r="F608" s="2">
        <f>IFERROR(__xludf.DUMMYFUNCTION("""COMPUTED_VALUE"""),430212.0)</f>
        <v>430212</v>
      </c>
    </row>
    <row r="609">
      <c r="A609" s="3">
        <f>IFERROR(__xludf.DUMMYFUNCTION("""COMPUTED_VALUE"""),41239.666666666664)</f>
        <v>41239.66667</v>
      </c>
      <c r="B609" s="2">
        <f>IFERROR(__xludf.DUMMYFUNCTION("""COMPUTED_VALUE"""),2.14)</f>
        <v>2.14</v>
      </c>
      <c r="C609" s="2">
        <f>IFERROR(__xludf.DUMMYFUNCTION("""COMPUTED_VALUE"""),2.15)</f>
        <v>2.15</v>
      </c>
      <c r="D609" s="2">
        <f>IFERROR(__xludf.DUMMYFUNCTION("""COMPUTED_VALUE"""),2.11)</f>
        <v>2.11</v>
      </c>
      <c r="E609" s="2">
        <f>IFERROR(__xludf.DUMMYFUNCTION("""COMPUTED_VALUE"""),2.15)</f>
        <v>2.15</v>
      </c>
      <c r="F609" s="2">
        <f>IFERROR(__xludf.DUMMYFUNCTION("""COMPUTED_VALUE"""),496219.0)</f>
        <v>496219</v>
      </c>
    </row>
    <row r="610">
      <c r="A610" s="3">
        <f>IFERROR(__xludf.DUMMYFUNCTION("""COMPUTED_VALUE"""),41240.666666666664)</f>
        <v>41240.66667</v>
      </c>
      <c r="B610" s="2">
        <f>IFERROR(__xludf.DUMMYFUNCTION("""COMPUTED_VALUE"""),2.14)</f>
        <v>2.14</v>
      </c>
      <c r="C610" s="2">
        <f>IFERROR(__xludf.DUMMYFUNCTION("""COMPUTED_VALUE"""),2.18)</f>
        <v>2.18</v>
      </c>
      <c r="D610" s="2">
        <f>IFERROR(__xludf.DUMMYFUNCTION("""COMPUTED_VALUE"""),2.1)</f>
        <v>2.1</v>
      </c>
      <c r="E610" s="2">
        <f>IFERROR(__xludf.DUMMYFUNCTION("""COMPUTED_VALUE"""),2.14)</f>
        <v>2.14</v>
      </c>
      <c r="F610" s="2">
        <f>IFERROR(__xludf.DUMMYFUNCTION("""COMPUTED_VALUE"""),910770.0)</f>
        <v>910770</v>
      </c>
    </row>
    <row r="611">
      <c r="A611" s="3">
        <f>IFERROR(__xludf.DUMMYFUNCTION("""COMPUTED_VALUE"""),41241.666666666664)</f>
        <v>41241.66667</v>
      </c>
      <c r="B611" s="2">
        <f>IFERROR(__xludf.DUMMYFUNCTION("""COMPUTED_VALUE"""),2.13)</f>
        <v>2.13</v>
      </c>
      <c r="C611" s="2">
        <f>IFERROR(__xludf.DUMMYFUNCTION("""COMPUTED_VALUE"""),2.29)</f>
        <v>2.29</v>
      </c>
      <c r="D611" s="2">
        <f>IFERROR(__xludf.DUMMYFUNCTION("""COMPUTED_VALUE"""),2.13)</f>
        <v>2.13</v>
      </c>
      <c r="E611" s="2">
        <f>IFERROR(__xludf.DUMMYFUNCTION("""COMPUTED_VALUE"""),2.22)</f>
        <v>2.22</v>
      </c>
      <c r="F611" s="2">
        <f>IFERROR(__xludf.DUMMYFUNCTION("""COMPUTED_VALUE"""),1525299.0)</f>
        <v>1525299</v>
      </c>
    </row>
    <row r="612">
      <c r="A612" s="3">
        <f>IFERROR(__xludf.DUMMYFUNCTION("""COMPUTED_VALUE"""),41242.666666666664)</f>
        <v>41242.66667</v>
      </c>
      <c r="B612" s="2">
        <f>IFERROR(__xludf.DUMMYFUNCTION("""COMPUTED_VALUE"""),2.23)</f>
        <v>2.23</v>
      </c>
      <c r="C612" s="2">
        <f>IFERROR(__xludf.DUMMYFUNCTION("""COMPUTED_VALUE"""),2.27)</f>
        <v>2.27</v>
      </c>
      <c r="D612" s="2">
        <f>IFERROR(__xludf.DUMMYFUNCTION("""COMPUTED_VALUE"""),2.19)</f>
        <v>2.19</v>
      </c>
      <c r="E612" s="2">
        <f>IFERROR(__xludf.DUMMYFUNCTION("""COMPUTED_VALUE"""),2.25)</f>
        <v>2.25</v>
      </c>
      <c r="F612" s="2">
        <f>IFERROR(__xludf.DUMMYFUNCTION("""COMPUTED_VALUE"""),1103315.0)</f>
        <v>1103315</v>
      </c>
    </row>
    <row r="613">
      <c r="A613" s="3">
        <f>IFERROR(__xludf.DUMMYFUNCTION("""COMPUTED_VALUE"""),41243.666666666664)</f>
        <v>41243.66667</v>
      </c>
      <c r="B613" s="2">
        <f>IFERROR(__xludf.DUMMYFUNCTION("""COMPUTED_VALUE"""),2.24)</f>
        <v>2.24</v>
      </c>
      <c r="C613" s="2">
        <f>IFERROR(__xludf.DUMMYFUNCTION("""COMPUTED_VALUE"""),2.29)</f>
        <v>2.29</v>
      </c>
      <c r="D613" s="2">
        <f>IFERROR(__xludf.DUMMYFUNCTION("""COMPUTED_VALUE"""),2.2)</f>
        <v>2.2</v>
      </c>
      <c r="E613" s="2">
        <f>IFERROR(__xludf.DUMMYFUNCTION("""COMPUTED_VALUE"""),2.25)</f>
        <v>2.25</v>
      </c>
      <c r="F613" s="2">
        <f>IFERROR(__xludf.DUMMYFUNCTION("""COMPUTED_VALUE"""),1420284.0)</f>
        <v>1420284</v>
      </c>
    </row>
    <row r="614">
      <c r="A614" s="3">
        <f>IFERROR(__xludf.DUMMYFUNCTION("""COMPUTED_VALUE"""),41246.666666666664)</f>
        <v>41246.66667</v>
      </c>
      <c r="B614" s="2">
        <f>IFERROR(__xludf.DUMMYFUNCTION("""COMPUTED_VALUE"""),2.26)</f>
        <v>2.26</v>
      </c>
      <c r="C614" s="2">
        <f>IFERROR(__xludf.DUMMYFUNCTION("""COMPUTED_VALUE"""),2.33)</f>
        <v>2.33</v>
      </c>
      <c r="D614" s="2">
        <f>IFERROR(__xludf.DUMMYFUNCTION("""COMPUTED_VALUE"""),2.23)</f>
        <v>2.23</v>
      </c>
      <c r="E614" s="2">
        <f>IFERROR(__xludf.DUMMYFUNCTION("""COMPUTED_VALUE"""),2.31)</f>
        <v>2.31</v>
      </c>
      <c r="F614" s="2">
        <f>IFERROR(__xludf.DUMMYFUNCTION("""COMPUTED_VALUE"""),2085753.0)</f>
        <v>2085753</v>
      </c>
    </row>
    <row r="615">
      <c r="A615" s="3">
        <f>IFERROR(__xludf.DUMMYFUNCTION("""COMPUTED_VALUE"""),41247.666666666664)</f>
        <v>41247.66667</v>
      </c>
      <c r="B615" s="2">
        <f>IFERROR(__xludf.DUMMYFUNCTION("""COMPUTED_VALUE"""),2.27)</f>
        <v>2.27</v>
      </c>
      <c r="C615" s="2">
        <f>IFERROR(__xludf.DUMMYFUNCTION("""COMPUTED_VALUE"""),2.32)</f>
        <v>2.32</v>
      </c>
      <c r="D615" s="2">
        <f>IFERROR(__xludf.DUMMYFUNCTION("""COMPUTED_VALUE"""),2.24)</f>
        <v>2.24</v>
      </c>
      <c r="E615" s="2">
        <f>IFERROR(__xludf.DUMMYFUNCTION("""COMPUTED_VALUE"""),2.26)</f>
        <v>2.26</v>
      </c>
      <c r="F615" s="2">
        <f>IFERROR(__xludf.DUMMYFUNCTION("""COMPUTED_VALUE"""),1264211.0)</f>
        <v>1264211</v>
      </c>
    </row>
    <row r="616">
      <c r="A616" s="3">
        <f>IFERROR(__xludf.DUMMYFUNCTION("""COMPUTED_VALUE"""),41248.666666666664)</f>
        <v>41248.66667</v>
      </c>
      <c r="B616" s="2">
        <f>IFERROR(__xludf.DUMMYFUNCTION("""COMPUTED_VALUE"""),2.25)</f>
        <v>2.25</v>
      </c>
      <c r="C616" s="2">
        <f>IFERROR(__xludf.DUMMYFUNCTION("""COMPUTED_VALUE"""),2.28)</f>
        <v>2.28</v>
      </c>
      <c r="D616" s="2">
        <f>IFERROR(__xludf.DUMMYFUNCTION("""COMPUTED_VALUE"""),2.24)</f>
        <v>2.24</v>
      </c>
      <c r="E616" s="2">
        <f>IFERROR(__xludf.DUMMYFUNCTION("""COMPUTED_VALUE"""),2.25)</f>
        <v>2.25</v>
      </c>
      <c r="F616" s="2">
        <f>IFERROR(__xludf.DUMMYFUNCTION("""COMPUTED_VALUE"""),661486.0)</f>
        <v>661486</v>
      </c>
    </row>
    <row r="617">
      <c r="A617" s="3">
        <f>IFERROR(__xludf.DUMMYFUNCTION("""COMPUTED_VALUE"""),41249.666666666664)</f>
        <v>41249.66667</v>
      </c>
      <c r="B617" s="2">
        <f>IFERROR(__xludf.DUMMYFUNCTION("""COMPUTED_VALUE"""),2.25)</f>
        <v>2.25</v>
      </c>
      <c r="C617" s="2">
        <f>IFERROR(__xludf.DUMMYFUNCTION("""COMPUTED_VALUE"""),2.32)</f>
        <v>2.32</v>
      </c>
      <c r="D617" s="2">
        <f>IFERROR(__xludf.DUMMYFUNCTION("""COMPUTED_VALUE"""),2.23)</f>
        <v>2.23</v>
      </c>
      <c r="E617" s="2">
        <f>IFERROR(__xludf.DUMMYFUNCTION("""COMPUTED_VALUE"""),2.26)</f>
        <v>2.26</v>
      </c>
      <c r="F617" s="2">
        <f>IFERROR(__xludf.DUMMYFUNCTION("""COMPUTED_VALUE"""),660397.0)</f>
        <v>660397</v>
      </c>
    </row>
    <row r="618">
      <c r="A618" s="3">
        <f>IFERROR(__xludf.DUMMYFUNCTION("""COMPUTED_VALUE"""),41250.666666666664)</f>
        <v>41250.66667</v>
      </c>
      <c r="B618" s="2">
        <f>IFERROR(__xludf.DUMMYFUNCTION("""COMPUTED_VALUE"""),2.29)</f>
        <v>2.29</v>
      </c>
      <c r="C618" s="2">
        <f>IFERROR(__xludf.DUMMYFUNCTION("""COMPUTED_VALUE"""),2.3)</f>
        <v>2.3</v>
      </c>
      <c r="D618" s="2">
        <f>IFERROR(__xludf.DUMMYFUNCTION("""COMPUTED_VALUE"""),2.26)</f>
        <v>2.26</v>
      </c>
      <c r="E618" s="2">
        <f>IFERROR(__xludf.DUMMYFUNCTION("""COMPUTED_VALUE"""),2.28)</f>
        <v>2.28</v>
      </c>
      <c r="F618" s="2">
        <f>IFERROR(__xludf.DUMMYFUNCTION("""COMPUTED_VALUE"""),664586.0)</f>
        <v>664586</v>
      </c>
    </row>
    <row r="619">
      <c r="A619" s="3">
        <f>IFERROR(__xludf.DUMMYFUNCTION("""COMPUTED_VALUE"""),41253.666666666664)</f>
        <v>41253.66667</v>
      </c>
      <c r="B619" s="2">
        <f>IFERROR(__xludf.DUMMYFUNCTION("""COMPUTED_VALUE"""),2.3)</f>
        <v>2.3</v>
      </c>
      <c r="C619" s="2">
        <f>IFERROR(__xludf.DUMMYFUNCTION("""COMPUTED_VALUE"""),2.32)</f>
        <v>2.32</v>
      </c>
      <c r="D619" s="2">
        <f>IFERROR(__xludf.DUMMYFUNCTION("""COMPUTED_VALUE"""),2.28)</f>
        <v>2.28</v>
      </c>
      <c r="E619" s="2">
        <f>IFERROR(__xludf.DUMMYFUNCTION("""COMPUTED_VALUE"""),2.3)</f>
        <v>2.3</v>
      </c>
      <c r="F619" s="2">
        <f>IFERROR(__xludf.DUMMYFUNCTION("""COMPUTED_VALUE"""),929751.0)</f>
        <v>929751</v>
      </c>
    </row>
    <row r="620">
      <c r="A620" s="3">
        <f>IFERROR(__xludf.DUMMYFUNCTION("""COMPUTED_VALUE"""),41254.666666666664)</f>
        <v>41254.66667</v>
      </c>
      <c r="B620" s="2">
        <f>IFERROR(__xludf.DUMMYFUNCTION("""COMPUTED_VALUE"""),2.31)</f>
        <v>2.31</v>
      </c>
      <c r="C620" s="2">
        <f>IFERROR(__xludf.DUMMYFUNCTION("""COMPUTED_VALUE"""),2.37)</f>
        <v>2.37</v>
      </c>
      <c r="D620" s="2">
        <f>IFERROR(__xludf.DUMMYFUNCTION("""COMPUTED_VALUE"""),2.3)</f>
        <v>2.3</v>
      </c>
      <c r="E620" s="2">
        <f>IFERROR(__xludf.DUMMYFUNCTION("""COMPUTED_VALUE"""),2.35)</f>
        <v>2.35</v>
      </c>
      <c r="F620" s="2">
        <f>IFERROR(__xludf.DUMMYFUNCTION("""COMPUTED_VALUE"""),1572591.0)</f>
        <v>1572591</v>
      </c>
    </row>
    <row r="621">
      <c r="A621" s="3">
        <f>IFERROR(__xludf.DUMMYFUNCTION("""COMPUTED_VALUE"""),41255.666666666664)</f>
        <v>41255.66667</v>
      </c>
      <c r="B621" s="2">
        <f>IFERROR(__xludf.DUMMYFUNCTION("""COMPUTED_VALUE"""),2.35)</f>
        <v>2.35</v>
      </c>
      <c r="C621" s="2">
        <f>IFERROR(__xludf.DUMMYFUNCTION("""COMPUTED_VALUE"""),2.39)</f>
        <v>2.39</v>
      </c>
      <c r="D621" s="2">
        <f>IFERROR(__xludf.DUMMYFUNCTION("""COMPUTED_VALUE"""),2.33)</f>
        <v>2.33</v>
      </c>
      <c r="E621" s="2">
        <f>IFERROR(__xludf.DUMMYFUNCTION("""COMPUTED_VALUE"""),2.35)</f>
        <v>2.35</v>
      </c>
      <c r="F621" s="2">
        <f>IFERROR(__xludf.DUMMYFUNCTION("""COMPUTED_VALUE"""),2063877.0)</f>
        <v>2063877</v>
      </c>
    </row>
    <row r="622">
      <c r="A622" s="3">
        <f>IFERROR(__xludf.DUMMYFUNCTION("""COMPUTED_VALUE"""),41256.666666666664)</f>
        <v>41256.66667</v>
      </c>
      <c r="B622" s="2">
        <f>IFERROR(__xludf.DUMMYFUNCTION("""COMPUTED_VALUE"""),2.35)</f>
        <v>2.35</v>
      </c>
      <c r="C622" s="2">
        <f>IFERROR(__xludf.DUMMYFUNCTION("""COMPUTED_VALUE"""),2.35)</f>
        <v>2.35</v>
      </c>
      <c r="D622" s="2">
        <f>IFERROR(__xludf.DUMMYFUNCTION("""COMPUTED_VALUE"""),2.18)</f>
        <v>2.18</v>
      </c>
      <c r="E622" s="2">
        <f>IFERROR(__xludf.DUMMYFUNCTION("""COMPUTED_VALUE"""),2.24)</f>
        <v>2.24</v>
      </c>
      <c r="F622" s="2">
        <f>IFERROR(__xludf.DUMMYFUNCTION("""COMPUTED_VALUE"""),2151224.0)</f>
        <v>2151224</v>
      </c>
    </row>
    <row r="623">
      <c r="A623" s="3">
        <f>IFERROR(__xludf.DUMMYFUNCTION("""COMPUTED_VALUE"""),41257.666666666664)</f>
        <v>41257.66667</v>
      </c>
      <c r="B623" s="2">
        <f>IFERROR(__xludf.DUMMYFUNCTION("""COMPUTED_VALUE"""),2.26)</f>
        <v>2.26</v>
      </c>
      <c r="C623" s="2">
        <f>IFERROR(__xludf.DUMMYFUNCTION("""COMPUTED_VALUE"""),2.29)</f>
        <v>2.29</v>
      </c>
      <c r="D623" s="2">
        <f>IFERROR(__xludf.DUMMYFUNCTION("""COMPUTED_VALUE"""),2.24)</f>
        <v>2.24</v>
      </c>
      <c r="E623" s="2">
        <f>IFERROR(__xludf.DUMMYFUNCTION("""COMPUTED_VALUE"""),2.25)</f>
        <v>2.25</v>
      </c>
      <c r="F623" s="2">
        <f>IFERROR(__xludf.DUMMYFUNCTION("""COMPUTED_VALUE"""),1022943.0)</f>
        <v>1022943</v>
      </c>
    </row>
    <row r="624">
      <c r="A624" s="3">
        <f>IFERROR(__xludf.DUMMYFUNCTION("""COMPUTED_VALUE"""),41260.666666666664)</f>
        <v>41260.66667</v>
      </c>
      <c r="B624" s="2">
        <f>IFERROR(__xludf.DUMMYFUNCTION("""COMPUTED_VALUE"""),2.25)</f>
        <v>2.25</v>
      </c>
      <c r="C624" s="2">
        <f>IFERROR(__xludf.DUMMYFUNCTION("""COMPUTED_VALUE"""),2.3)</f>
        <v>2.3</v>
      </c>
      <c r="D624" s="2">
        <f>IFERROR(__xludf.DUMMYFUNCTION("""COMPUTED_VALUE"""),2.25)</f>
        <v>2.25</v>
      </c>
      <c r="E624" s="2">
        <f>IFERROR(__xludf.DUMMYFUNCTION("""COMPUTED_VALUE"""),2.29)</f>
        <v>2.29</v>
      </c>
      <c r="F624" s="2">
        <f>IFERROR(__xludf.DUMMYFUNCTION("""COMPUTED_VALUE"""),824809.0)</f>
        <v>824809</v>
      </c>
    </row>
    <row r="625">
      <c r="A625" s="3">
        <f>IFERROR(__xludf.DUMMYFUNCTION("""COMPUTED_VALUE"""),41261.666666666664)</f>
        <v>41261.66667</v>
      </c>
      <c r="B625" s="2">
        <f>IFERROR(__xludf.DUMMYFUNCTION("""COMPUTED_VALUE"""),2.28)</f>
        <v>2.28</v>
      </c>
      <c r="C625" s="2">
        <f>IFERROR(__xludf.DUMMYFUNCTION("""COMPUTED_VALUE"""),2.34)</f>
        <v>2.34</v>
      </c>
      <c r="D625" s="2">
        <f>IFERROR(__xludf.DUMMYFUNCTION("""COMPUTED_VALUE"""),2.28)</f>
        <v>2.28</v>
      </c>
      <c r="E625" s="2">
        <f>IFERROR(__xludf.DUMMYFUNCTION("""COMPUTED_VALUE"""),2.31)</f>
        <v>2.31</v>
      </c>
      <c r="F625" s="2">
        <f>IFERROR(__xludf.DUMMYFUNCTION("""COMPUTED_VALUE"""),1554436.0)</f>
        <v>1554436</v>
      </c>
    </row>
    <row r="626">
      <c r="A626" s="3">
        <f>IFERROR(__xludf.DUMMYFUNCTION("""COMPUTED_VALUE"""),41262.666666666664)</f>
        <v>41262.66667</v>
      </c>
      <c r="B626" s="2">
        <f>IFERROR(__xludf.DUMMYFUNCTION("""COMPUTED_VALUE"""),2.32)</f>
        <v>2.32</v>
      </c>
      <c r="C626" s="2">
        <f>IFERROR(__xludf.DUMMYFUNCTION("""COMPUTED_VALUE"""),2.35)</f>
        <v>2.35</v>
      </c>
      <c r="D626" s="2">
        <f>IFERROR(__xludf.DUMMYFUNCTION("""COMPUTED_VALUE"""),2.3)</f>
        <v>2.3</v>
      </c>
      <c r="E626" s="2">
        <f>IFERROR(__xludf.DUMMYFUNCTION("""COMPUTED_VALUE"""),2.31)</f>
        <v>2.31</v>
      </c>
      <c r="F626" s="2">
        <f>IFERROR(__xludf.DUMMYFUNCTION("""COMPUTED_VALUE"""),1298731.0)</f>
        <v>1298731</v>
      </c>
    </row>
    <row r="627">
      <c r="A627" s="3">
        <f>IFERROR(__xludf.DUMMYFUNCTION("""COMPUTED_VALUE"""),41263.666666666664)</f>
        <v>41263.66667</v>
      </c>
      <c r="B627" s="2">
        <f>IFERROR(__xludf.DUMMYFUNCTION("""COMPUTED_VALUE"""),2.3)</f>
        <v>2.3</v>
      </c>
      <c r="C627" s="2">
        <f>IFERROR(__xludf.DUMMYFUNCTION("""COMPUTED_VALUE"""),2.32)</f>
        <v>2.32</v>
      </c>
      <c r="D627" s="2">
        <f>IFERROR(__xludf.DUMMYFUNCTION("""COMPUTED_VALUE"""),2.27)</f>
        <v>2.27</v>
      </c>
      <c r="E627" s="2">
        <f>IFERROR(__xludf.DUMMYFUNCTION("""COMPUTED_VALUE"""),2.3)</f>
        <v>2.3</v>
      </c>
      <c r="F627" s="2">
        <f>IFERROR(__xludf.DUMMYFUNCTION("""COMPUTED_VALUE"""),921194.0)</f>
        <v>921194</v>
      </c>
    </row>
    <row r="628">
      <c r="A628" s="3">
        <f>IFERROR(__xludf.DUMMYFUNCTION("""COMPUTED_VALUE"""),41264.666666666664)</f>
        <v>41264.66667</v>
      </c>
      <c r="B628" s="2">
        <f>IFERROR(__xludf.DUMMYFUNCTION("""COMPUTED_VALUE"""),2.26)</f>
        <v>2.26</v>
      </c>
      <c r="C628" s="2">
        <f>IFERROR(__xludf.DUMMYFUNCTION("""COMPUTED_VALUE"""),2.28)</f>
        <v>2.28</v>
      </c>
      <c r="D628" s="2">
        <f>IFERROR(__xludf.DUMMYFUNCTION("""COMPUTED_VALUE"""),2.24)</f>
        <v>2.24</v>
      </c>
      <c r="E628" s="2">
        <f>IFERROR(__xludf.DUMMYFUNCTION("""COMPUTED_VALUE"""),2.27)</f>
        <v>2.27</v>
      </c>
      <c r="F628" s="2">
        <f>IFERROR(__xludf.DUMMYFUNCTION("""COMPUTED_VALUE"""),1492306.0)</f>
        <v>1492306</v>
      </c>
    </row>
    <row r="629">
      <c r="A629" s="3">
        <f>IFERROR(__xludf.DUMMYFUNCTION("""COMPUTED_VALUE"""),41267.666666666664)</f>
        <v>41267.66667</v>
      </c>
      <c r="B629" s="2">
        <f>IFERROR(__xludf.DUMMYFUNCTION("""COMPUTED_VALUE"""),2.24)</f>
        <v>2.24</v>
      </c>
      <c r="C629" s="2">
        <f>IFERROR(__xludf.DUMMYFUNCTION("""COMPUTED_VALUE"""),2.29)</f>
        <v>2.29</v>
      </c>
      <c r="D629" s="2">
        <f>IFERROR(__xludf.DUMMYFUNCTION("""COMPUTED_VALUE"""),2.24)</f>
        <v>2.24</v>
      </c>
      <c r="E629" s="2">
        <f>IFERROR(__xludf.DUMMYFUNCTION("""COMPUTED_VALUE"""),2.29)</f>
        <v>2.29</v>
      </c>
      <c r="F629" s="2">
        <f>IFERROR(__xludf.DUMMYFUNCTION("""COMPUTED_VALUE"""),375796.0)</f>
        <v>375796</v>
      </c>
    </row>
    <row r="630">
      <c r="A630" s="3">
        <f>IFERROR(__xludf.DUMMYFUNCTION("""COMPUTED_VALUE"""),41269.666666666664)</f>
        <v>41269.66667</v>
      </c>
      <c r="B630" s="2">
        <f>IFERROR(__xludf.DUMMYFUNCTION("""COMPUTED_VALUE"""),2.26)</f>
        <v>2.26</v>
      </c>
      <c r="C630" s="2">
        <f>IFERROR(__xludf.DUMMYFUNCTION("""COMPUTED_VALUE"""),2.3)</f>
        <v>2.3</v>
      </c>
      <c r="D630" s="2">
        <f>IFERROR(__xludf.DUMMYFUNCTION("""COMPUTED_VALUE"""),2.23)</f>
        <v>2.23</v>
      </c>
      <c r="E630" s="2">
        <f>IFERROR(__xludf.DUMMYFUNCTION("""COMPUTED_VALUE"""),2.24)</f>
        <v>2.24</v>
      </c>
      <c r="F630" s="2">
        <f>IFERROR(__xludf.DUMMYFUNCTION("""COMPUTED_VALUE"""),601784.0)</f>
        <v>601784</v>
      </c>
    </row>
    <row r="631">
      <c r="A631" s="3">
        <f>IFERROR(__xludf.DUMMYFUNCTION("""COMPUTED_VALUE"""),41270.666666666664)</f>
        <v>41270.66667</v>
      </c>
      <c r="B631" s="2">
        <f>IFERROR(__xludf.DUMMYFUNCTION("""COMPUTED_VALUE"""),2.23)</f>
        <v>2.23</v>
      </c>
      <c r="C631" s="2">
        <f>IFERROR(__xludf.DUMMYFUNCTION("""COMPUTED_VALUE"""),2.26)</f>
        <v>2.26</v>
      </c>
      <c r="D631" s="2">
        <f>IFERROR(__xludf.DUMMYFUNCTION("""COMPUTED_VALUE"""),2.2)</f>
        <v>2.2</v>
      </c>
      <c r="E631" s="2">
        <f>IFERROR(__xludf.DUMMYFUNCTION("""COMPUTED_VALUE"""),2.25)</f>
        <v>2.25</v>
      </c>
      <c r="F631" s="2">
        <f>IFERROR(__xludf.DUMMYFUNCTION("""COMPUTED_VALUE"""),561085.0)</f>
        <v>561085</v>
      </c>
    </row>
    <row r="632">
      <c r="A632" s="3">
        <f>IFERROR(__xludf.DUMMYFUNCTION("""COMPUTED_VALUE"""),41271.666666666664)</f>
        <v>41271.66667</v>
      </c>
      <c r="B632" s="2">
        <f>IFERROR(__xludf.DUMMYFUNCTION("""COMPUTED_VALUE"""),2.23)</f>
        <v>2.23</v>
      </c>
      <c r="C632" s="2">
        <f>IFERROR(__xludf.DUMMYFUNCTION("""COMPUTED_VALUE"""),2.24)</f>
        <v>2.24</v>
      </c>
      <c r="D632" s="2">
        <f>IFERROR(__xludf.DUMMYFUNCTION("""COMPUTED_VALUE"""),2.2)</f>
        <v>2.2</v>
      </c>
      <c r="E632" s="2">
        <f>IFERROR(__xludf.DUMMYFUNCTION("""COMPUTED_VALUE"""),2.21)</f>
        <v>2.21</v>
      </c>
      <c r="F632" s="2">
        <f>IFERROR(__xludf.DUMMYFUNCTION("""COMPUTED_VALUE"""),414135.0)</f>
        <v>414135</v>
      </c>
    </row>
    <row r="633">
      <c r="A633" s="3">
        <f>IFERROR(__xludf.DUMMYFUNCTION("""COMPUTED_VALUE"""),41274.666666666664)</f>
        <v>41274.66667</v>
      </c>
      <c r="B633" s="2">
        <f>IFERROR(__xludf.DUMMYFUNCTION("""COMPUTED_VALUE"""),2.2)</f>
        <v>2.2</v>
      </c>
      <c r="C633" s="2">
        <f>IFERROR(__xludf.DUMMYFUNCTION("""COMPUTED_VALUE"""),2.26)</f>
        <v>2.26</v>
      </c>
      <c r="D633" s="2">
        <f>IFERROR(__xludf.DUMMYFUNCTION("""COMPUTED_VALUE"""),2.2)</f>
        <v>2.2</v>
      </c>
      <c r="E633" s="2">
        <f>IFERROR(__xludf.DUMMYFUNCTION("""COMPUTED_VALUE"""),2.26)</f>
        <v>2.26</v>
      </c>
      <c r="F633" s="2">
        <f>IFERROR(__xludf.DUMMYFUNCTION("""COMPUTED_VALUE"""),594846.0)</f>
        <v>594846</v>
      </c>
    </row>
    <row r="634">
      <c r="A634" s="3">
        <f>IFERROR(__xludf.DUMMYFUNCTION("""COMPUTED_VALUE"""),41276.666666666664)</f>
        <v>41276.66667</v>
      </c>
      <c r="B634" s="2">
        <f>IFERROR(__xludf.DUMMYFUNCTION("""COMPUTED_VALUE"""),2.33)</f>
        <v>2.33</v>
      </c>
      <c r="C634" s="2">
        <f>IFERROR(__xludf.DUMMYFUNCTION("""COMPUTED_VALUE"""),2.36)</f>
        <v>2.36</v>
      </c>
      <c r="D634" s="2">
        <f>IFERROR(__xludf.DUMMYFUNCTION("""COMPUTED_VALUE"""),2.31)</f>
        <v>2.31</v>
      </c>
      <c r="E634" s="2">
        <f>IFERROR(__xludf.DUMMYFUNCTION("""COMPUTED_VALUE"""),2.36)</f>
        <v>2.36</v>
      </c>
      <c r="F634" s="2">
        <f>IFERROR(__xludf.DUMMYFUNCTION("""COMPUTED_VALUE"""),1194710.0)</f>
        <v>1194710</v>
      </c>
    </row>
    <row r="635">
      <c r="A635" s="3">
        <f>IFERROR(__xludf.DUMMYFUNCTION("""COMPUTED_VALUE"""),41277.666666666664)</f>
        <v>41277.66667</v>
      </c>
      <c r="B635" s="2">
        <f>IFERROR(__xludf.DUMMYFUNCTION("""COMPUTED_VALUE"""),2.35)</f>
        <v>2.35</v>
      </c>
      <c r="C635" s="2">
        <f>IFERROR(__xludf.DUMMYFUNCTION("""COMPUTED_VALUE"""),2.36)</f>
        <v>2.36</v>
      </c>
      <c r="D635" s="2">
        <f>IFERROR(__xludf.DUMMYFUNCTION("""COMPUTED_VALUE"""),2.32)</f>
        <v>2.32</v>
      </c>
      <c r="E635" s="2">
        <f>IFERROR(__xludf.DUMMYFUNCTION("""COMPUTED_VALUE"""),2.32)</f>
        <v>2.32</v>
      </c>
      <c r="F635" s="2">
        <f>IFERROR(__xludf.DUMMYFUNCTION("""COMPUTED_VALUE"""),741941.0)</f>
        <v>741941</v>
      </c>
    </row>
    <row r="636">
      <c r="A636" s="3">
        <f>IFERROR(__xludf.DUMMYFUNCTION("""COMPUTED_VALUE"""),41278.666666666664)</f>
        <v>41278.66667</v>
      </c>
      <c r="B636" s="2">
        <f>IFERROR(__xludf.DUMMYFUNCTION("""COMPUTED_VALUE"""),2.32)</f>
        <v>2.32</v>
      </c>
      <c r="C636" s="2">
        <f>IFERROR(__xludf.DUMMYFUNCTION("""COMPUTED_VALUE"""),2.32)</f>
        <v>2.32</v>
      </c>
      <c r="D636" s="2">
        <f>IFERROR(__xludf.DUMMYFUNCTION("""COMPUTED_VALUE"""),2.26)</f>
        <v>2.26</v>
      </c>
      <c r="E636" s="2">
        <f>IFERROR(__xludf.DUMMYFUNCTION("""COMPUTED_VALUE"""),2.29)</f>
        <v>2.29</v>
      </c>
      <c r="F636" s="2">
        <f>IFERROR(__xludf.DUMMYFUNCTION("""COMPUTED_VALUE"""),673993.0)</f>
        <v>673993</v>
      </c>
    </row>
    <row r="637">
      <c r="A637" s="3">
        <f>IFERROR(__xludf.DUMMYFUNCTION("""COMPUTED_VALUE"""),41281.666666666664)</f>
        <v>41281.66667</v>
      </c>
      <c r="B637" s="2">
        <f>IFERROR(__xludf.DUMMYFUNCTION("""COMPUTED_VALUE"""),2.32)</f>
        <v>2.32</v>
      </c>
      <c r="C637" s="2">
        <f>IFERROR(__xludf.DUMMYFUNCTION("""COMPUTED_VALUE"""),2.32)</f>
        <v>2.32</v>
      </c>
      <c r="D637" s="2">
        <f>IFERROR(__xludf.DUMMYFUNCTION("""COMPUTED_VALUE"""),2.26)</f>
        <v>2.26</v>
      </c>
      <c r="E637" s="2">
        <f>IFERROR(__xludf.DUMMYFUNCTION("""COMPUTED_VALUE"""),2.29)</f>
        <v>2.29</v>
      </c>
      <c r="F637" s="2">
        <f>IFERROR(__xludf.DUMMYFUNCTION("""COMPUTED_VALUE"""),441909.0)</f>
        <v>441909</v>
      </c>
    </row>
    <row r="638">
      <c r="A638" s="3">
        <f>IFERROR(__xludf.DUMMYFUNCTION("""COMPUTED_VALUE"""),41282.666666666664)</f>
        <v>41282.66667</v>
      </c>
      <c r="B638" s="2">
        <f>IFERROR(__xludf.DUMMYFUNCTION("""COMPUTED_VALUE"""),2.3)</f>
        <v>2.3</v>
      </c>
      <c r="C638" s="2">
        <f>IFERROR(__xludf.DUMMYFUNCTION("""COMPUTED_VALUE"""),2.3)</f>
        <v>2.3</v>
      </c>
      <c r="D638" s="2">
        <f>IFERROR(__xludf.DUMMYFUNCTION("""COMPUTED_VALUE"""),2.21)</f>
        <v>2.21</v>
      </c>
      <c r="E638" s="2">
        <f>IFERROR(__xludf.DUMMYFUNCTION("""COMPUTED_VALUE"""),2.25)</f>
        <v>2.25</v>
      </c>
      <c r="F638" s="2">
        <f>IFERROR(__xludf.DUMMYFUNCTION("""COMPUTED_VALUE"""),1283985.0)</f>
        <v>1283985</v>
      </c>
    </row>
    <row r="639">
      <c r="A639" s="3">
        <f>IFERROR(__xludf.DUMMYFUNCTION("""COMPUTED_VALUE"""),41283.666666666664)</f>
        <v>41283.66667</v>
      </c>
      <c r="B639" s="2">
        <f>IFERROR(__xludf.DUMMYFUNCTION("""COMPUTED_VALUE"""),2.27)</f>
        <v>2.27</v>
      </c>
      <c r="C639" s="2">
        <f>IFERROR(__xludf.DUMMYFUNCTION("""COMPUTED_VALUE"""),2.28)</f>
        <v>2.28</v>
      </c>
      <c r="D639" s="2">
        <f>IFERROR(__xludf.DUMMYFUNCTION("""COMPUTED_VALUE"""),2.23)</f>
        <v>2.23</v>
      </c>
      <c r="E639" s="2">
        <f>IFERROR(__xludf.DUMMYFUNCTION("""COMPUTED_VALUE"""),2.24)</f>
        <v>2.24</v>
      </c>
      <c r="F639" s="2">
        <f>IFERROR(__xludf.DUMMYFUNCTION("""COMPUTED_VALUE"""),697979.0)</f>
        <v>697979</v>
      </c>
    </row>
    <row r="640">
      <c r="A640" s="3">
        <f>IFERROR(__xludf.DUMMYFUNCTION("""COMPUTED_VALUE"""),41284.666666666664)</f>
        <v>41284.66667</v>
      </c>
      <c r="B640" s="2">
        <f>IFERROR(__xludf.DUMMYFUNCTION("""COMPUTED_VALUE"""),2.26)</f>
        <v>2.26</v>
      </c>
      <c r="C640" s="2">
        <f>IFERROR(__xludf.DUMMYFUNCTION("""COMPUTED_VALUE"""),2.27)</f>
        <v>2.27</v>
      </c>
      <c r="D640" s="2">
        <f>IFERROR(__xludf.DUMMYFUNCTION("""COMPUTED_VALUE"""),2.23)</f>
        <v>2.23</v>
      </c>
      <c r="E640" s="2">
        <f>IFERROR(__xludf.DUMMYFUNCTION("""COMPUTED_VALUE"""),2.24)</f>
        <v>2.24</v>
      </c>
      <c r="F640" s="2">
        <f>IFERROR(__xludf.DUMMYFUNCTION("""COMPUTED_VALUE"""),922405.0)</f>
        <v>922405</v>
      </c>
    </row>
    <row r="641">
      <c r="A641" s="3">
        <f>IFERROR(__xludf.DUMMYFUNCTION("""COMPUTED_VALUE"""),41285.666666666664)</f>
        <v>41285.66667</v>
      </c>
      <c r="B641" s="2">
        <f>IFERROR(__xludf.DUMMYFUNCTION("""COMPUTED_VALUE"""),2.27)</f>
        <v>2.27</v>
      </c>
      <c r="C641" s="2">
        <f>IFERROR(__xludf.DUMMYFUNCTION("""COMPUTED_VALUE"""),2.27)</f>
        <v>2.27</v>
      </c>
      <c r="D641" s="2">
        <f>IFERROR(__xludf.DUMMYFUNCTION("""COMPUTED_VALUE"""),2.14)</f>
        <v>2.14</v>
      </c>
      <c r="E641" s="2">
        <f>IFERROR(__xludf.DUMMYFUNCTION("""COMPUTED_VALUE"""),2.19)</f>
        <v>2.19</v>
      </c>
      <c r="F641" s="2">
        <f>IFERROR(__xludf.DUMMYFUNCTION("""COMPUTED_VALUE"""),1563274.0)</f>
        <v>1563274</v>
      </c>
    </row>
    <row r="642">
      <c r="A642" s="3">
        <f>IFERROR(__xludf.DUMMYFUNCTION("""COMPUTED_VALUE"""),41288.666666666664)</f>
        <v>41288.66667</v>
      </c>
      <c r="B642" s="2">
        <f>IFERROR(__xludf.DUMMYFUNCTION("""COMPUTED_VALUE"""),2.21)</f>
        <v>2.21</v>
      </c>
      <c r="C642" s="2">
        <f>IFERROR(__xludf.DUMMYFUNCTION("""COMPUTED_VALUE"""),2.23)</f>
        <v>2.23</v>
      </c>
      <c r="D642" s="2">
        <f>IFERROR(__xludf.DUMMYFUNCTION("""COMPUTED_VALUE"""),2.19)</f>
        <v>2.19</v>
      </c>
      <c r="E642" s="2">
        <f>IFERROR(__xludf.DUMMYFUNCTION("""COMPUTED_VALUE"""),2.22)</f>
        <v>2.22</v>
      </c>
      <c r="F642" s="2">
        <f>IFERROR(__xludf.DUMMYFUNCTION("""COMPUTED_VALUE"""),925018.0)</f>
        <v>925018</v>
      </c>
    </row>
    <row r="643">
      <c r="A643" s="3">
        <f>IFERROR(__xludf.DUMMYFUNCTION("""COMPUTED_VALUE"""),41289.666666666664)</f>
        <v>41289.66667</v>
      </c>
      <c r="B643" s="2">
        <f>IFERROR(__xludf.DUMMYFUNCTION("""COMPUTED_VALUE"""),2.21)</f>
        <v>2.21</v>
      </c>
      <c r="C643" s="2">
        <f>IFERROR(__xludf.DUMMYFUNCTION("""COMPUTED_VALUE"""),2.28)</f>
        <v>2.28</v>
      </c>
      <c r="D643" s="2">
        <f>IFERROR(__xludf.DUMMYFUNCTION("""COMPUTED_VALUE"""),2.21)</f>
        <v>2.21</v>
      </c>
      <c r="E643" s="2">
        <f>IFERROR(__xludf.DUMMYFUNCTION("""COMPUTED_VALUE"""),2.26)</f>
        <v>2.26</v>
      </c>
      <c r="F643" s="2">
        <f>IFERROR(__xludf.DUMMYFUNCTION("""COMPUTED_VALUE"""),1624389.0)</f>
        <v>1624389</v>
      </c>
    </row>
    <row r="644">
      <c r="A644" s="3">
        <f>IFERROR(__xludf.DUMMYFUNCTION("""COMPUTED_VALUE"""),41290.666666666664)</f>
        <v>41290.66667</v>
      </c>
      <c r="B644" s="2">
        <f>IFERROR(__xludf.DUMMYFUNCTION("""COMPUTED_VALUE"""),2.26)</f>
        <v>2.26</v>
      </c>
      <c r="C644" s="2">
        <f>IFERROR(__xludf.DUMMYFUNCTION("""COMPUTED_VALUE"""),2.28)</f>
        <v>2.28</v>
      </c>
      <c r="D644" s="2">
        <f>IFERROR(__xludf.DUMMYFUNCTION("""COMPUTED_VALUE"""),2.25)</f>
        <v>2.25</v>
      </c>
      <c r="E644" s="2">
        <f>IFERROR(__xludf.DUMMYFUNCTION("""COMPUTED_VALUE"""),2.27)</f>
        <v>2.27</v>
      </c>
      <c r="F644" s="2">
        <f>IFERROR(__xludf.DUMMYFUNCTION("""COMPUTED_VALUE"""),1378138.0)</f>
        <v>1378138</v>
      </c>
    </row>
    <row r="645">
      <c r="A645" s="3">
        <f>IFERROR(__xludf.DUMMYFUNCTION("""COMPUTED_VALUE"""),41291.666666666664)</f>
        <v>41291.66667</v>
      </c>
      <c r="B645" s="2">
        <f>IFERROR(__xludf.DUMMYFUNCTION("""COMPUTED_VALUE"""),2.28)</f>
        <v>2.28</v>
      </c>
      <c r="C645" s="2">
        <f>IFERROR(__xludf.DUMMYFUNCTION("""COMPUTED_VALUE"""),2.32)</f>
        <v>2.32</v>
      </c>
      <c r="D645" s="2">
        <f>IFERROR(__xludf.DUMMYFUNCTION("""COMPUTED_VALUE"""),2.26)</f>
        <v>2.26</v>
      </c>
      <c r="E645" s="2">
        <f>IFERROR(__xludf.DUMMYFUNCTION("""COMPUTED_VALUE"""),2.29)</f>
        <v>2.29</v>
      </c>
      <c r="F645" s="2">
        <f>IFERROR(__xludf.DUMMYFUNCTION("""COMPUTED_VALUE"""),1436604.0)</f>
        <v>1436604</v>
      </c>
    </row>
    <row r="646">
      <c r="A646" s="3">
        <f>IFERROR(__xludf.DUMMYFUNCTION("""COMPUTED_VALUE"""),41292.666666666664)</f>
        <v>41292.66667</v>
      </c>
      <c r="B646" s="2">
        <f>IFERROR(__xludf.DUMMYFUNCTION("""COMPUTED_VALUE"""),2.32)</f>
        <v>2.32</v>
      </c>
      <c r="C646" s="2">
        <f>IFERROR(__xludf.DUMMYFUNCTION("""COMPUTED_VALUE"""),2.32)</f>
        <v>2.32</v>
      </c>
      <c r="D646" s="2">
        <f>IFERROR(__xludf.DUMMYFUNCTION("""COMPUTED_VALUE"""),2.25)</f>
        <v>2.25</v>
      </c>
      <c r="E646" s="2">
        <f>IFERROR(__xludf.DUMMYFUNCTION("""COMPUTED_VALUE"""),2.3)</f>
        <v>2.3</v>
      </c>
      <c r="F646" s="2">
        <f>IFERROR(__xludf.DUMMYFUNCTION("""COMPUTED_VALUE"""),3555074.0)</f>
        <v>3555074</v>
      </c>
    </row>
    <row r="647">
      <c r="A647" s="3">
        <f>IFERROR(__xludf.DUMMYFUNCTION("""COMPUTED_VALUE"""),41296.666666666664)</f>
        <v>41296.66667</v>
      </c>
      <c r="B647" s="2">
        <f>IFERROR(__xludf.DUMMYFUNCTION("""COMPUTED_VALUE"""),2.3)</f>
        <v>2.3</v>
      </c>
      <c r="C647" s="2">
        <f>IFERROR(__xludf.DUMMYFUNCTION("""COMPUTED_VALUE"""),2.37)</f>
        <v>2.37</v>
      </c>
      <c r="D647" s="2">
        <f>IFERROR(__xludf.DUMMYFUNCTION("""COMPUTED_VALUE"""),2.28)</f>
        <v>2.28</v>
      </c>
      <c r="E647" s="2">
        <f>IFERROR(__xludf.DUMMYFUNCTION("""COMPUTED_VALUE"""),2.35)</f>
        <v>2.35</v>
      </c>
      <c r="F647" s="2">
        <f>IFERROR(__xludf.DUMMYFUNCTION("""COMPUTED_VALUE"""),1920131.0)</f>
        <v>1920131</v>
      </c>
    </row>
    <row r="648">
      <c r="A648" s="3">
        <f>IFERROR(__xludf.DUMMYFUNCTION("""COMPUTED_VALUE"""),41297.666666666664)</f>
        <v>41297.66667</v>
      </c>
      <c r="B648" s="2">
        <f>IFERROR(__xludf.DUMMYFUNCTION("""COMPUTED_VALUE"""),2.33)</f>
        <v>2.33</v>
      </c>
      <c r="C648" s="2">
        <f>IFERROR(__xludf.DUMMYFUNCTION("""COMPUTED_VALUE"""),2.42)</f>
        <v>2.42</v>
      </c>
      <c r="D648" s="2">
        <f>IFERROR(__xludf.DUMMYFUNCTION("""COMPUTED_VALUE"""),2.33)</f>
        <v>2.33</v>
      </c>
      <c r="E648" s="2">
        <f>IFERROR(__xludf.DUMMYFUNCTION("""COMPUTED_VALUE"""),2.4)</f>
        <v>2.4</v>
      </c>
      <c r="F648" s="2">
        <f>IFERROR(__xludf.DUMMYFUNCTION("""COMPUTED_VALUE"""),1564206.0)</f>
        <v>1564206</v>
      </c>
    </row>
    <row r="649">
      <c r="A649" s="3">
        <f>IFERROR(__xludf.DUMMYFUNCTION("""COMPUTED_VALUE"""),41298.666666666664)</f>
        <v>41298.66667</v>
      </c>
      <c r="B649" s="2">
        <f>IFERROR(__xludf.DUMMYFUNCTION("""COMPUTED_VALUE"""),2.4)</f>
        <v>2.4</v>
      </c>
      <c r="C649" s="2">
        <f>IFERROR(__xludf.DUMMYFUNCTION("""COMPUTED_VALUE"""),2.51)</f>
        <v>2.51</v>
      </c>
      <c r="D649" s="2">
        <f>IFERROR(__xludf.DUMMYFUNCTION("""COMPUTED_VALUE"""),2.39)</f>
        <v>2.39</v>
      </c>
      <c r="E649" s="2">
        <f>IFERROR(__xludf.DUMMYFUNCTION("""COMPUTED_VALUE"""),2.47)</f>
        <v>2.47</v>
      </c>
      <c r="F649" s="2">
        <f>IFERROR(__xludf.DUMMYFUNCTION("""COMPUTED_VALUE"""),1970389.0)</f>
        <v>1970389</v>
      </c>
    </row>
    <row r="650">
      <c r="A650" s="3">
        <f>IFERROR(__xludf.DUMMYFUNCTION("""COMPUTED_VALUE"""),41299.666666666664)</f>
        <v>41299.66667</v>
      </c>
      <c r="B650" s="2">
        <f>IFERROR(__xludf.DUMMYFUNCTION("""COMPUTED_VALUE"""),2.47)</f>
        <v>2.47</v>
      </c>
      <c r="C650" s="2">
        <f>IFERROR(__xludf.DUMMYFUNCTION("""COMPUTED_VALUE"""),2.5)</f>
        <v>2.5</v>
      </c>
      <c r="D650" s="2">
        <f>IFERROR(__xludf.DUMMYFUNCTION("""COMPUTED_VALUE"""),2.45)</f>
        <v>2.45</v>
      </c>
      <c r="E650" s="2">
        <f>IFERROR(__xludf.DUMMYFUNCTION("""COMPUTED_VALUE"""),2.47)</f>
        <v>2.47</v>
      </c>
      <c r="F650" s="2">
        <f>IFERROR(__xludf.DUMMYFUNCTION("""COMPUTED_VALUE"""),1287703.0)</f>
        <v>1287703</v>
      </c>
    </row>
    <row r="651">
      <c r="A651" s="3">
        <f>IFERROR(__xludf.DUMMYFUNCTION("""COMPUTED_VALUE"""),41302.666666666664)</f>
        <v>41302.66667</v>
      </c>
      <c r="B651" s="2">
        <f>IFERROR(__xludf.DUMMYFUNCTION("""COMPUTED_VALUE"""),2.46)</f>
        <v>2.46</v>
      </c>
      <c r="C651" s="2">
        <f>IFERROR(__xludf.DUMMYFUNCTION("""COMPUTED_VALUE"""),2.58)</f>
        <v>2.58</v>
      </c>
      <c r="D651" s="2">
        <f>IFERROR(__xludf.DUMMYFUNCTION("""COMPUTED_VALUE"""),2.46)</f>
        <v>2.46</v>
      </c>
      <c r="E651" s="2">
        <f>IFERROR(__xludf.DUMMYFUNCTION("""COMPUTED_VALUE"""),2.54)</f>
        <v>2.54</v>
      </c>
      <c r="F651" s="2">
        <f>IFERROR(__xludf.DUMMYFUNCTION("""COMPUTED_VALUE"""),1985992.0)</f>
        <v>1985992</v>
      </c>
    </row>
    <row r="652">
      <c r="A652" s="3">
        <f>IFERROR(__xludf.DUMMYFUNCTION("""COMPUTED_VALUE"""),41303.666666666664)</f>
        <v>41303.66667</v>
      </c>
      <c r="B652" s="2">
        <f>IFERROR(__xludf.DUMMYFUNCTION("""COMPUTED_VALUE"""),2.53)</f>
        <v>2.53</v>
      </c>
      <c r="C652" s="2">
        <f>IFERROR(__xludf.DUMMYFUNCTION("""COMPUTED_VALUE"""),2.56)</f>
        <v>2.56</v>
      </c>
      <c r="D652" s="2">
        <f>IFERROR(__xludf.DUMMYFUNCTION("""COMPUTED_VALUE"""),2.48)</f>
        <v>2.48</v>
      </c>
      <c r="E652" s="2">
        <f>IFERROR(__xludf.DUMMYFUNCTION("""COMPUTED_VALUE"""),2.53)</f>
        <v>2.53</v>
      </c>
      <c r="F652" s="2">
        <f>IFERROR(__xludf.DUMMYFUNCTION("""COMPUTED_VALUE"""),1426503.0)</f>
        <v>1426503</v>
      </c>
    </row>
    <row r="653">
      <c r="A653" s="3">
        <f>IFERROR(__xludf.DUMMYFUNCTION("""COMPUTED_VALUE"""),41304.666666666664)</f>
        <v>41304.66667</v>
      </c>
      <c r="B653" s="2">
        <f>IFERROR(__xludf.DUMMYFUNCTION("""COMPUTED_VALUE"""),2.52)</f>
        <v>2.52</v>
      </c>
      <c r="C653" s="2">
        <f>IFERROR(__xludf.DUMMYFUNCTION("""COMPUTED_VALUE"""),2.53)</f>
        <v>2.53</v>
      </c>
      <c r="D653" s="2">
        <f>IFERROR(__xludf.DUMMYFUNCTION("""COMPUTED_VALUE"""),2.5)</f>
        <v>2.5</v>
      </c>
      <c r="E653" s="2">
        <f>IFERROR(__xludf.DUMMYFUNCTION("""COMPUTED_VALUE"""),2.5)</f>
        <v>2.5</v>
      </c>
      <c r="F653" s="2">
        <f>IFERROR(__xludf.DUMMYFUNCTION("""COMPUTED_VALUE"""),968098.0)</f>
        <v>968098</v>
      </c>
    </row>
    <row r="654">
      <c r="A654" s="3">
        <f>IFERROR(__xludf.DUMMYFUNCTION("""COMPUTED_VALUE"""),41305.666666666664)</f>
        <v>41305.66667</v>
      </c>
      <c r="B654" s="2">
        <f>IFERROR(__xludf.DUMMYFUNCTION("""COMPUTED_VALUE"""),2.52)</f>
        <v>2.52</v>
      </c>
      <c r="C654" s="2">
        <f>IFERROR(__xludf.DUMMYFUNCTION("""COMPUTED_VALUE"""),2.52)</f>
        <v>2.52</v>
      </c>
      <c r="D654" s="2">
        <f>IFERROR(__xludf.DUMMYFUNCTION("""COMPUTED_VALUE"""),2.46)</f>
        <v>2.46</v>
      </c>
      <c r="E654" s="2">
        <f>IFERROR(__xludf.DUMMYFUNCTION("""COMPUTED_VALUE"""),2.5)</f>
        <v>2.5</v>
      </c>
      <c r="F654" s="2">
        <f>IFERROR(__xludf.DUMMYFUNCTION("""COMPUTED_VALUE"""),901318.0)</f>
        <v>901318</v>
      </c>
    </row>
    <row r="655">
      <c r="A655" s="3">
        <f>IFERROR(__xludf.DUMMYFUNCTION("""COMPUTED_VALUE"""),41306.666666666664)</f>
        <v>41306.66667</v>
      </c>
      <c r="B655" s="2">
        <f>IFERROR(__xludf.DUMMYFUNCTION("""COMPUTED_VALUE"""),2.54)</f>
        <v>2.54</v>
      </c>
      <c r="C655" s="2">
        <f>IFERROR(__xludf.DUMMYFUNCTION("""COMPUTED_VALUE"""),2.57)</f>
        <v>2.57</v>
      </c>
      <c r="D655" s="2">
        <f>IFERROR(__xludf.DUMMYFUNCTION("""COMPUTED_VALUE"""),2.51)</f>
        <v>2.51</v>
      </c>
      <c r="E655" s="2">
        <f>IFERROR(__xludf.DUMMYFUNCTION("""COMPUTED_VALUE"""),2.55)</f>
        <v>2.55</v>
      </c>
      <c r="F655" s="2">
        <f>IFERROR(__xludf.DUMMYFUNCTION("""COMPUTED_VALUE"""),1100590.0)</f>
        <v>1100590</v>
      </c>
    </row>
    <row r="656">
      <c r="A656" s="3">
        <f>IFERROR(__xludf.DUMMYFUNCTION("""COMPUTED_VALUE"""),41309.666666666664)</f>
        <v>41309.66667</v>
      </c>
      <c r="B656" s="2">
        <f>IFERROR(__xludf.DUMMYFUNCTION("""COMPUTED_VALUE"""),2.56)</f>
        <v>2.56</v>
      </c>
      <c r="C656" s="2">
        <f>IFERROR(__xludf.DUMMYFUNCTION("""COMPUTED_VALUE"""),2.56)</f>
        <v>2.56</v>
      </c>
      <c r="D656" s="2">
        <f>IFERROR(__xludf.DUMMYFUNCTION("""COMPUTED_VALUE"""),2.51)</f>
        <v>2.51</v>
      </c>
      <c r="E656" s="2">
        <f>IFERROR(__xludf.DUMMYFUNCTION("""COMPUTED_VALUE"""),2.52)</f>
        <v>2.52</v>
      </c>
      <c r="F656" s="2">
        <f>IFERROR(__xludf.DUMMYFUNCTION("""COMPUTED_VALUE"""),1127989.0)</f>
        <v>1127989</v>
      </c>
    </row>
    <row r="657">
      <c r="A657" s="3">
        <f>IFERROR(__xludf.DUMMYFUNCTION("""COMPUTED_VALUE"""),41310.666666666664)</f>
        <v>41310.66667</v>
      </c>
      <c r="B657" s="2">
        <f>IFERROR(__xludf.DUMMYFUNCTION("""COMPUTED_VALUE"""),2.53)</f>
        <v>2.53</v>
      </c>
      <c r="C657" s="2">
        <f>IFERROR(__xludf.DUMMYFUNCTION("""COMPUTED_VALUE"""),2.58)</f>
        <v>2.58</v>
      </c>
      <c r="D657" s="2">
        <f>IFERROR(__xludf.DUMMYFUNCTION("""COMPUTED_VALUE"""),2.51)</f>
        <v>2.51</v>
      </c>
      <c r="E657" s="2">
        <f>IFERROR(__xludf.DUMMYFUNCTION("""COMPUTED_VALUE"""),2.54)</f>
        <v>2.54</v>
      </c>
      <c r="F657" s="2">
        <f>IFERROR(__xludf.DUMMYFUNCTION("""COMPUTED_VALUE"""),1310192.0)</f>
        <v>1310192</v>
      </c>
    </row>
    <row r="658">
      <c r="A658" s="3">
        <f>IFERROR(__xludf.DUMMYFUNCTION("""COMPUTED_VALUE"""),41311.666666666664)</f>
        <v>41311.66667</v>
      </c>
      <c r="B658" s="2">
        <f>IFERROR(__xludf.DUMMYFUNCTION("""COMPUTED_VALUE"""),2.54)</f>
        <v>2.54</v>
      </c>
      <c r="C658" s="2">
        <f>IFERROR(__xludf.DUMMYFUNCTION("""COMPUTED_VALUE"""),2.63)</f>
        <v>2.63</v>
      </c>
      <c r="D658" s="2">
        <f>IFERROR(__xludf.DUMMYFUNCTION("""COMPUTED_VALUE"""),2.53)</f>
        <v>2.53</v>
      </c>
      <c r="E658" s="2">
        <f>IFERROR(__xludf.DUMMYFUNCTION("""COMPUTED_VALUE"""),2.61)</f>
        <v>2.61</v>
      </c>
      <c r="F658" s="2">
        <f>IFERROR(__xludf.DUMMYFUNCTION("""COMPUTED_VALUE"""),1893148.0)</f>
        <v>1893148</v>
      </c>
    </row>
    <row r="659">
      <c r="A659" s="3">
        <f>IFERROR(__xludf.DUMMYFUNCTION("""COMPUTED_VALUE"""),41312.666666666664)</f>
        <v>41312.66667</v>
      </c>
      <c r="B659" s="2">
        <f>IFERROR(__xludf.DUMMYFUNCTION("""COMPUTED_VALUE"""),2.61)</f>
        <v>2.61</v>
      </c>
      <c r="C659" s="2">
        <f>IFERROR(__xludf.DUMMYFUNCTION("""COMPUTED_VALUE"""),2.65)</f>
        <v>2.65</v>
      </c>
      <c r="D659" s="2">
        <f>IFERROR(__xludf.DUMMYFUNCTION("""COMPUTED_VALUE"""),2.6)</f>
        <v>2.6</v>
      </c>
      <c r="E659" s="2">
        <f>IFERROR(__xludf.DUMMYFUNCTION("""COMPUTED_VALUE"""),2.63)</f>
        <v>2.63</v>
      </c>
      <c r="F659" s="2">
        <f>IFERROR(__xludf.DUMMYFUNCTION("""COMPUTED_VALUE"""),1197521.0)</f>
        <v>1197521</v>
      </c>
    </row>
    <row r="660">
      <c r="A660" s="3">
        <f>IFERROR(__xludf.DUMMYFUNCTION("""COMPUTED_VALUE"""),41313.666666666664)</f>
        <v>41313.66667</v>
      </c>
      <c r="B660" s="2">
        <f>IFERROR(__xludf.DUMMYFUNCTION("""COMPUTED_VALUE"""),2.63)</f>
        <v>2.63</v>
      </c>
      <c r="C660" s="2">
        <f>IFERROR(__xludf.DUMMYFUNCTION("""COMPUTED_VALUE"""),2.67)</f>
        <v>2.67</v>
      </c>
      <c r="D660" s="2">
        <f>IFERROR(__xludf.DUMMYFUNCTION("""COMPUTED_VALUE"""),2.61)</f>
        <v>2.61</v>
      </c>
      <c r="E660" s="2">
        <f>IFERROR(__xludf.DUMMYFUNCTION("""COMPUTED_VALUE"""),2.62)</f>
        <v>2.62</v>
      </c>
      <c r="F660" s="2">
        <f>IFERROR(__xludf.DUMMYFUNCTION("""COMPUTED_VALUE"""),1139733.0)</f>
        <v>1139733</v>
      </c>
    </row>
    <row r="661">
      <c r="A661" s="3">
        <f>IFERROR(__xludf.DUMMYFUNCTION("""COMPUTED_VALUE"""),41316.666666666664)</f>
        <v>41316.66667</v>
      </c>
      <c r="B661" s="2">
        <f>IFERROR(__xludf.DUMMYFUNCTION("""COMPUTED_VALUE"""),2.53)</f>
        <v>2.53</v>
      </c>
      <c r="C661" s="2">
        <f>IFERROR(__xludf.DUMMYFUNCTION("""COMPUTED_VALUE"""),2.61)</f>
        <v>2.61</v>
      </c>
      <c r="D661" s="2">
        <f>IFERROR(__xludf.DUMMYFUNCTION("""COMPUTED_VALUE"""),2.5)</f>
        <v>2.5</v>
      </c>
      <c r="E661" s="2">
        <f>IFERROR(__xludf.DUMMYFUNCTION("""COMPUTED_VALUE"""),2.56)</f>
        <v>2.56</v>
      </c>
      <c r="F661" s="2">
        <f>IFERROR(__xludf.DUMMYFUNCTION("""COMPUTED_VALUE"""),3266248.0)</f>
        <v>3266248</v>
      </c>
    </row>
    <row r="662">
      <c r="A662" s="3">
        <f>IFERROR(__xludf.DUMMYFUNCTION("""COMPUTED_VALUE"""),41317.666666666664)</f>
        <v>41317.66667</v>
      </c>
      <c r="B662" s="2">
        <f>IFERROR(__xludf.DUMMYFUNCTION("""COMPUTED_VALUE"""),2.56)</f>
        <v>2.56</v>
      </c>
      <c r="C662" s="2">
        <f>IFERROR(__xludf.DUMMYFUNCTION("""COMPUTED_VALUE"""),2.59)</f>
        <v>2.59</v>
      </c>
      <c r="D662" s="2">
        <f>IFERROR(__xludf.DUMMYFUNCTION("""COMPUTED_VALUE"""),2.49)</f>
        <v>2.49</v>
      </c>
      <c r="E662" s="2">
        <f>IFERROR(__xludf.DUMMYFUNCTION("""COMPUTED_VALUE"""),2.53)</f>
        <v>2.53</v>
      </c>
      <c r="F662" s="2">
        <f>IFERROR(__xludf.DUMMYFUNCTION("""COMPUTED_VALUE"""),2261246.0)</f>
        <v>2261246</v>
      </c>
    </row>
    <row r="663">
      <c r="A663" s="3">
        <f>IFERROR(__xludf.DUMMYFUNCTION("""COMPUTED_VALUE"""),41318.666666666664)</f>
        <v>41318.66667</v>
      </c>
      <c r="B663" s="2">
        <f>IFERROR(__xludf.DUMMYFUNCTION("""COMPUTED_VALUE"""),2.55)</f>
        <v>2.55</v>
      </c>
      <c r="C663" s="2">
        <f>IFERROR(__xludf.DUMMYFUNCTION("""COMPUTED_VALUE"""),2.6)</f>
        <v>2.6</v>
      </c>
      <c r="D663" s="2">
        <f>IFERROR(__xludf.DUMMYFUNCTION("""COMPUTED_VALUE"""),2.54)</f>
        <v>2.54</v>
      </c>
      <c r="E663" s="2">
        <f>IFERROR(__xludf.DUMMYFUNCTION("""COMPUTED_VALUE"""),2.56)</f>
        <v>2.56</v>
      </c>
      <c r="F663" s="2">
        <f>IFERROR(__xludf.DUMMYFUNCTION("""COMPUTED_VALUE"""),967102.0)</f>
        <v>967102</v>
      </c>
    </row>
    <row r="664">
      <c r="A664" s="3">
        <f>IFERROR(__xludf.DUMMYFUNCTION("""COMPUTED_VALUE"""),41319.666666666664)</f>
        <v>41319.66667</v>
      </c>
      <c r="B664" s="2">
        <f>IFERROR(__xludf.DUMMYFUNCTION("""COMPUTED_VALUE"""),2.58)</f>
        <v>2.58</v>
      </c>
      <c r="C664" s="2">
        <f>IFERROR(__xludf.DUMMYFUNCTION("""COMPUTED_VALUE"""),2.58)</f>
        <v>2.58</v>
      </c>
      <c r="D664" s="2">
        <f>IFERROR(__xludf.DUMMYFUNCTION("""COMPUTED_VALUE"""),2.55)</f>
        <v>2.55</v>
      </c>
      <c r="E664" s="2">
        <f>IFERROR(__xludf.DUMMYFUNCTION("""COMPUTED_VALUE"""),2.55)</f>
        <v>2.55</v>
      </c>
      <c r="F664" s="2">
        <f>IFERROR(__xludf.DUMMYFUNCTION("""COMPUTED_VALUE"""),990640.0)</f>
        <v>990640</v>
      </c>
    </row>
    <row r="665">
      <c r="A665" s="3">
        <f>IFERROR(__xludf.DUMMYFUNCTION("""COMPUTED_VALUE"""),41320.666666666664)</f>
        <v>41320.66667</v>
      </c>
      <c r="B665" s="2">
        <f>IFERROR(__xludf.DUMMYFUNCTION("""COMPUTED_VALUE"""),2.57)</f>
        <v>2.57</v>
      </c>
      <c r="C665" s="2">
        <f>IFERROR(__xludf.DUMMYFUNCTION("""COMPUTED_VALUE"""),2.57)</f>
        <v>2.57</v>
      </c>
      <c r="D665" s="2">
        <f>IFERROR(__xludf.DUMMYFUNCTION("""COMPUTED_VALUE"""),2.46)</f>
        <v>2.46</v>
      </c>
      <c r="E665" s="2">
        <f>IFERROR(__xludf.DUMMYFUNCTION("""COMPUTED_VALUE"""),2.47)</f>
        <v>2.47</v>
      </c>
      <c r="F665" s="2">
        <f>IFERROR(__xludf.DUMMYFUNCTION("""COMPUTED_VALUE"""),2018269.0)</f>
        <v>2018269</v>
      </c>
    </row>
    <row r="666">
      <c r="A666" s="3">
        <f>IFERROR(__xludf.DUMMYFUNCTION("""COMPUTED_VALUE"""),41324.666666666664)</f>
        <v>41324.66667</v>
      </c>
      <c r="B666" s="2">
        <f>IFERROR(__xludf.DUMMYFUNCTION("""COMPUTED_VALUE"""),2.49)</f>
        <v>2.49</v>
      </c>
      <c r="C666" s="2">
        <f>IFERROR(__xludf.DUMMYFUNCTION("""COMPUTED_VALUE"""),2.62)</f>
        <v>2.62</v>
      </c>
      <c r="D666" s="2">
        <f>IFERROR(__xludf.DUMMYFUNCTION("""COMPUTED_VALUE"""),2.49)</f>
        <v>2.49</v>
      </c>
      <c r="E666" s="2">
        <f>IFERROR(__xludf.DUMMYFUNCTION("""COMPUTED_VALUE"""),2.62)</f>
        <v>2.62</v>
      </c>
      <c r="F666" s="2">
        <f>IFERROR(__xludf.DUMMYFUNCTION("""COMPUTED_VALUE"""),2701340.0)</f>
        <v>2701340</v>
      </c>
    </row>
    <row r="667">
      <c r="A667" s="3">
        <f>IFERROR(__xludf.DUMMYFUNCTION("""COMPUTED_VALUE"""),41325.666666666664)</f>
        <v>41325.66667</v>
      </c>
      <c r="B667" s="2">
        <f>IFERROR(__xludf.DUMMYFUNCTION("""COMPUTED_VALUE"""),2.62)</f>
        <v>2.62</v>
      </c>
      <c r="C667" s="2">
        <f>IFERROR(__xludf.DUMMYFUNCTION("""COMPUTED_VALUE"""),2.64)</f>
        <v>2.64</v>
      </c>
      <c r="D667" s="2">
        <f>IFERROR(__xludf.DUMMYFUNCTION("""COMPUTED_VALUE"""),2.56)</f>
        <v>2.56</v>
      </c>
      <c r="E667" s="2">
        <f>IFERROR(__xludf.DUMMYFUNCTION("""COMPUTED_VALUE"""),2.57)</f>
        <v>2.57</v>
      </c>
      <c r="F667" s="2">
        <f>IFERROR(__xludf.DUMMYFUNCTION("""COMPUTED_VALUE"""),3121910.0)</f>
        <v>3121910</v>
      </c>
    </row>
    <row r="668">
      <c r="A668" s="3">
        <f>IFERROR(__xludf.DUMMYFUNCTION("""COMPUTED_VALUE"""),41326.666666666664)</f>
        <v>41326.66667</v>
      </c>
      <c r="B668" s="2">
        <f>IFERROR(__xludf.DUMMYFUNCTION("""COMPUTED_VALUE"""),2.43)</f>
        <v>2.43</v>
      </c>
      <c r="C668" s="2">
        <f>IFERROR(__xludf.DUMMYFUNCTION("""COMPUTED_VALUE"""),2.49)</f>
        <v>2.49</v>
      </c>
      <c r="D668" s="2">
        <f>IFERROR(__xludf.DUMMYFUNCTION("""COMPUTED_VALUE"""),2.3)</f>
        <v>2.3</v>
      </c>
      <c r="E668" s="2">
        <f>IFERROR(__xludf.DUMMYFUNCTION("""COMPUTED_VALUE"""),2.34)</f>
        <v>2.34</v>
      </c>
      <c r="F668" s="2">
        <f>IFERROR(__xludf.DUMMYFUNCTION("""COMPUTED_VALUE"""),9038212.0)</f>
        <v>9038212</v>
      </c>
    </row>
    <row r="669">
      <c r="A669" s="3">
        <f>IFERROR(__xludf.DUMMYFUNCTION("""COMPUTED_VALUE"""),41327.666666666664)</f>
        <v>41327.66667</v>
      </c>
      <c r="B669" s="2">
        <f>IFERROR(__xludf.DUMMYFUNCTION("""COMPUTED_VALUE"""),2.38)</f>
        <v>2.38</v>
      </c>
      <c r="C669" s="2">
        <f>IFERROR(__xludf.DUMMYFUNCTION("""COMPUTED_VALUE"""),2.43)</f>
        <v>2.43</v>
      </c>
      <c r="D669" s="2">
        <f>IFERROR(__xludf.DUMMYFUNCTION("""COMPUTED_VALUE"""),2.37)</f>
        <v>2.37</v>
      </c>
      <c r="E669" s="2">
        <f>IFERROR(__xludf.DUMMYFUNCTION("""COMPUTED_VALUE"""),2.41)</f>
        <v>2.41</v>
      </c>
      <c r="F669" s="2">
        <f>IFERROR(__xludf.DUMMYFUNCTION("""COMPUTED_VALUE"""),2547831.0)</f>
        <v>2547831</v>
      </c>
    </row>
    <row r="670">
      <c r="A670" s="3">
        <f>IFERROR(__xludf.DUMMYFUNCTION("""COMPUTED_VALUE"""),41330.666666666664)</f>
        <v>41330.66667</v>
      </c>
      <c r="B670" s="2">
        <f>IFERROR(__xludf.DUMMYFUNCTION("""COMPUTED_VALUE"""),2.41)</f>
        <v>2.41</v>
      </c>
      <c r="C670" s="2">
        <f>IFERROR(__xludf.DUMMYFUNCTION("""COMPUTED_VALUE"""),2.45)</f>
        <v>2.45</v>
      </c>
      <c r="D670" s="2">
        <f>IFERROR(__xludf.DUMMYFUNCTION("""COMPUTED_VALUE"""),2.29)</f>
        <v>2.29</v>
      </c>
      <c r="E670" s="2">
        <f>IFERROR(__xludf.DUMMYFUNCTION("""COMPUTED_VALUE"""),2.29)</f>
        <v>2.29</v>
      </c>
      <c r="F670" s="2">
        <f>IFERROR(__xludf.DUMMYFUNCTION("""COMPUTED_VALUE"""),2890772.0)</f>
        <v>2890772</v>
      </c>
    </row>
    <row r="671">
      <c r="A671" s="3">
        <f>IFERROR(__xludf.DUMMYFUNCTION("""COMPUTED_VALUE"""),41331.666666666664)</f>
        <v>41331.66667</v>
      </c>
      <c r="B671" s="2">
        <f>IFERROR(__xludf.DUMMYFUNCTION("""COMPUTED_VALUE"""),2.3)</f>
        <v>2.3</v>
      </c>
      <c r="C671" s="2">
        <f>IFERROR(__xludf.DUMMYFUNCTION("""COMPUTED_VALUE"""),2.33)</f>
        <v>2.33</v>
      </c>
      <c r="D671" s="2">
        <f>IFERROR(__xludf.DUMMYFUNCTION("""COMPUTED_VALUE"""),2.25)</f>
        <v>2.25</v>
      </c>
      <c r="E671" s="2">
        <f>IFERROR(__xludf.DUMMYFUNCTION("""COMPUTED_VALUE"""),2.3)</f>
        <v>2.3</v>
      </c>
      <c r="F671" s="2">
        <f>IFERROR(__xludf.DUMMYFUNCTION("""COMPUTED_VALUE"""),2763050.0)</f>
        <v>2763050</v>
      </c>
    </row>
    <row r="672">
      <c r="A672" s="3">
        <f>IFERROR(__xludf.DUMMYFUNCTION("""COMPUTED_VALUE"""),41332.666666666664)</f>
        <v>41332.66667</v>
      </c>
      <c r="B672" s="2">
        <f>IFERROR(__xludf.DUMMYFUNCTION("""COMPUTED_VALUE"""),2.29)</f>
        <v>2.29</v>
      </c>
      <c r="C672" s="2">
        <f>IFERROR(__xludf.DUMMYFUNCTION("""COMPUTED_VALUE"""),2.36)</f>
        <v>2.36</v>
      </c>
      <c r="D672" s="2">
        <f>IFERROR(__xludf.DUMMYFUNCTION("""COMPUTED_VALUE"""),2.29)</f>
        <v>2.29</v>
      </c>
      <c r="E672" s="2">
        <f>IFERROR(__xludf.DUMMYFUNCTION("""COMPUTED_VALUE"""),2.34)</f>
        <v>2.34</v>
      </c>
      <c r="F672" s="2">
        <f>IFERROR(__xludf.DUMMYFUNCTION("""COMPUTED_VALUE"""),1959129.0)</f>
        <v>1959129</v>
      </c>
    </row>
    <row r="673">
      <c r="A673" s="3">
        <f>IFERROR(__xludf.DUMMYFUNCTION("""COMPUTED_VALUE"""),41333.666666666664)</f>
        <v>41333.66667</v>
      </c>
      <c r="B673" s="2">
        <f>IFERROR(__xludf.DUMMYFUNCTION("""COMPUTED_VALUE"""),2.39)</f>
        <v>2.39</v>
      </c>
      <c r="C673" s="2">
        <f>IFERROR(__xludf.DUMMYFUNCTION("""COMPUTED_VALUE"""),2.41)</f>
        <v>2.41</v>
      </c>
      <c r="D673" s="2">
        <f>IFERROR(__xludf.DUMMYFUNCTION("""COMPUTED_VALUE"""),2.29)</f>
        <v>2.29</v>
      </c>
      <c r="E673" s="2">
        <f>IFERROR(__xludf.DUMMYFUNCTION("""COMPUTED_VALUE"""),2.32)</f>
        <v>2.32</v>
      </c>
      <c r="F673" s="2">
        <f>IFERROR(__xludf.DUMMYFUNCTION("""COMPUTED_VALUE"""),1964893.0)</f>
        <v>1964893</v>
      </c>
    </row>
    <row r="674">
      <c r="A674" s="3">
        <f>IFERROR(__xludf.DUMMYFUNCTION("""COMPUTED_VALUE"""),41334.666666666664)</f>
        <v>41334.66667</v>
      </c>
      <c r="B674" s="2">
        <f>IFERROR(__xludf.DUMMYFUNCTION("""COMPUTED_VALUE"""),2.33)</f>
        <v>2.33</v>
      </c>
      <c r="C674" s="2">
        <f>IFERROR(__xludf.DUMMYFUNCTION("""COMPUTED_VALUE"""),2.34)</f>
        <v>2.34</v>
      </c>
      <c r="D674" s="2">
        <f>IFERROR(__xludf.DUMMYFUNCTION("""COMPUTED_VALUE"""),2.28)</f>
        <v>2.28</v>
      </c>
      <c r="E674" s="2">
        <f>IFERROR(__xludf.DUMMYFUNCTION("""COMPUTED_VALUE"""),2.31)</f>
        <v>2.31</v>
      </c>
      <c r="F674" s="2">
        <f>IFERROR(__xludf.DUMMYFUNCTION("""COMPUTED_VALUE"""),1546600.0)</f>
        <v>1546600</v>
      </c>
    </row>
    <row r="675">
      <c r="A675" s="3">
        <f>IFERROR(__xludf.DUMMYFUNCTION("""COMPUTED_VALUE"""),41337.666666666664)</f>
        <v>41337.66667</v>
      </c>
      <c r="B675" s="2">
        <f>IFERROR(__xludf.DUMMYFUNCTION("""COMPUTED_VALUE"""),2.32)</f>
        <v>2.32</v>
      </c>
      <c r="C675" s="2">
        <f>IFERROR(__xludf.DUMMYFUNCTION("""COMPUTED_VALUE"""),2.39)</f>
        <v>2.39</v>
      </c>
      <c r="D675" s="2">
        <f>IFERROR(__xludf.DUMMYFUNCTION("""COMPUTED_VALUE"""),2.31)</f>
        <v>2.31</v>
      </c>
      <c r="E675" s="2">
        <f>IFERROR(__xludf.DUMMYFUNCTION("""COMPUTED_VALUE"""),2.37)</f>
        <v>2.37</v>
      </c>
      <c r="F675" s="2">
        <f>IFERROR(__xludf.DUMMYFUNCTION("""COMPUTED_VALUE"""),1757660.0)</f>
        <v>1757660</v>
      </c>
    </row>
    <row r="676">
      <c r="A676" s="3">
        <f>IFERROR(__xludf.DUMMYFUNCTION("""COMPUTED_VALUE"""),41338.666666666664)</f>
        <v>41338.66667</v>
      </c>
      <c r="B676" s="2">
        <f>IFERROR(__xludf.DUMMYFUNCTION("""COMPUTED_VALUE"""),2.4)</f>
        <v>2.4</v>
      </c>
      <c r="C676" s="2">
        <f>IFERROR(__xludf.DUMMYFUNCTION("""COMPUTED_VALUE"""),2.46)</f>
        <v>2.46</v>
      </c>
      <c r="D676" s="2">
        <f>IFERROR(__xludf.DUMMYFUNCTION("""COMPUTED_VALUE"""),2.39)</f>
        <v>2.39</v>
      </c>
      <c r="E676" s="2">
        <f>IFERROR(__xludf.DUMMYFUNCTION("""COMPUTED_VALUE"""),2.44)</f>
        <v>2.44</v>
      </c>
      <c r="F676" s="2">
        <f>IFERROR(__xludf.DUMMYFUNCTION("""COMPUTED_VALUE"""),2086969.0)</f>
        <v>2086969</v>
      </c>
    </row>
    <row r="677">
      <c r="A677" s="3">
        <f>IFERROR(__xludf.DUMMYFUNCTION("""COMPUTED_VALUE"""),41339.666666666664)</f>
        <v>41339.66667</v>
      </c>
      <c r="B677" s="2">
        <f>IFERROR(__xludf.DUMMYFUNCTION("""COMPUTED_VALUE"""),2.47)</f>
        <v>2.47</v>
      </c>
      <c r="C677" s="2">
        <f>IFERROR(__xludf.DUMMYFUNCTION("""COMPUTED_VALUE"""),2.53)</f>
        <v>2.53</v>
      </c>
      <c r="D677" s="2">
        <f>IFERROR(__xludf.DUMMYFUNCTION("""COMPUTED_VALUE"""),2.46)</f>
        <v>2.46</v>
      </c>
      <c r="E677" s="2">
        <f>IFERROR(__xludf.DUMMYFUNCTION("""COMPUTED_VALUE"""),2.51)</f>
        <v>2.51</v>
      </c>
      <c r="F677" s="2">
        <f>IFERROR(__xludf.DUMMYFUNCTION("""COMPUTED_VALUE"""),1149925.0)</f>
        <v>1149925</v>
      </c>
    </row>
    <row r="678">
      <c r="A678" s="3">
        <f>IFERROR(__xludf.DUMMYFUNCTION("""COMPUTED_VALUE"""),41340.666666666664)</f>
        <v>41340.66667</v>
      </c>
      <c r="B678" s="2">
        <f>IFERROR(__xludf.DUMMYFUNCTION("""COMPUTED_VALUE"""),2.52)</f>
        <v>2.52</v>
      </c>
      <c r="C678" s="2">
        <f>IFERROR(__xludf.DUMMYFUNCTION("""COMPUTED_VALUE"""),2.58)</f>
        <v>2.58</v>
      </c>
      <c r="D678" s="2">
        <f>IFERROR(__xludf.DUMMYFUNCTION("""COMPUTED_VALUE"""),2.46)</f>
        <v>2.46</v>
      </c>
      <c r="E678" s="2">
        <f>IFERROR(__xludf.DUMMYFUNCTION("""COMPUTED_VALUE"""),2.55)</f>
        <v>2.55</v>
      </c>
      <c r="F678" s="2">
        <f>IFERROR(__xludf.DUMMYFUNCTION("""COMPUTED_VALUE"""),1158354.0)</f>
        <v>1158354</v>
      </c>
    </row>
    <row r="679">
      <c r="A679" s="3">
        <f>IFERROR(__xludf.DUMMYFUNCTION("""COMPUTED_VALUE"""),41341.666666666664)</f>
        <v>41341.66667</v>
      </c>
      <c r="B679" s="2">
        <f>IFERROR(__xludf.DUMMYFUNCTION("""COMPUTED_VALUE"""),2.54)</f>
        <v>2.54</v>
      </c>
      <c r="C679" s="2">
        <f>IFERROR(__xludf.DUMMYFUNCTION("""COMPUTED_VALUE"""),2.63)</f>
        <v>2.63</v>
      </c>
      <c r="D679" s="2">
        <f>IFERROR(__xludf.DUMMYFUNCTION("""COMPUTED_VALUE"""),2.49)</f>
        <v>2.49</v>
      </c>
      <c r="E679" s="2">
        <f>IFERROR(__xludf.DUMMYFUNCTION("""COMPUTED_VALUE"""),2.56)</f>
        <v>2.56</v>
      </c>
      <c r="F679" s="2">
        <f>IFERROR(__xludf.DUMMYFUNCTION("""COMPUTED_VALUE"""),912052.0)</f>
        <v>912052</v>
      </c>
    </row>
    <row r="680">
      <c r="A680" s="3">
        <f>IFERROR(__xludf.DUMMYFUNCTION("""COMPUTED_VALUE"""),41344.666666666664)</f>
        <v>41344.66667</v>
      </c>
      <c r="B680" s="2">
        <f>IFERROR(__xludf.DUMMYFUNCTION("""COMPUTED_VALUE"""),2.59)</f>
        <v>2.59</v>
      </c>
      <c r="C680" s="2">
        <f>IFERROR(__xludf.DUMMYFUNCTION("""COMPUTED_VALUE"""),2.63)</f>
        <v>2.63</v>
      </c>
      <c r="D680" s="2">
        <f>IFERROR(__xludf.DUMMYFUNCTION("""COMPUTED_VALUE"""),2.58)</f>
        <v>2.58</v>
      </c>
      <c r="E680" s="2">
        <f>IFERROR(__xludf.DUMMYFUNCTION("""COMPUTED_VALUE"""),2.61)</f>
        <v>2.61</v>
      </c>
      <c r="F680" s="2">
        <f>IFERROR(__xludf.DUMMYFUNCTION("""COMPUTED_VALUE"""),1579440.0)</f>
        <v>1579440</v>
      </c>
    </row>
    <row r="681">
      <c r="A681" s="3">
        <f>IFERROR(__xludf.DUMMYFUNCTION("""COMPUTED_VALUE"""),41345.666666666664)</f>
        <v>41345.66667</v>
      </c>
      <c r="B681" s="2">
        <f>IFERROR(__xludf.DUMMYFUNCTION("""COMPUTED_VALUE"""),2.59)</f>
        <v>2.59</v>
      </c>
      <c r="C681" s="2">
        <f>IFERROR(__xludf.DUMMYFUNCTION("""COMPUTED_VALUE"""),2.63)</f>
        <v>2.63</v>
      </c>
      <c r="D681" s="2">
        <f>IFERROR(__xludf.DUMMYFUNCTION("""COMPUTED_VALUE"""),2.59)</f>
        <v>2.59</v>
      </c>
      <c r="E681" s="2">
        <f>IFERROR(__xludf.DUMMYFUNCTION("""COMPUTED_VALUE"""),2.61)</f>
        <v>2.61</v>
      </c>
      <c r="F681" s="2">
        <f>IFERROR(__xludf.DUMMYFUNCTION("""COMPUTED_VALUE"""),1275062.0)</f>
        <v>1275062</v>
      </c>
    </row>
    <row r="682">
      <c r="A682" s="3">
        <f>IFERROR(__xludf.DUMMYFUNCTION("""COMPUTED_VALUE"""),41346.666666666664)</f>
        <v>41346.66667</v>
      </c>
      <c r="B682" s="2">
        <f>IFERROR(__xludf.DUMMYFUNCTION("""COMPUTED_VALUE"""),2.6)</f>
        <v>2.6</v>
      </c>
      <c r="C682" s="2">
        <f>IFERROR(__xludf.DUMMYFUNCTION("""COMPUTED_VALUE"""),2.63)</f>
        <v>2.63</v>
      </c>
      <c r="D682" s="2">
        <f>IFERROR(__xludf.DUMMYFUNCTION("""COMPUTED_VALUE"""),2.59)</f>
        <v>2.59</v>
      </c>
      <c r="E682" s="2">
        <f>IFERROR(__xludf.DUMMYFUNCTION("""COMPUTED_VALUE"""),2.6)</f>
        <v>2.6</v>
      </c>
      <c r="F682" s="2">
        <f>IFERROR(__xludf.DUMMYFUNCTION("""COMPUTED_VALUE"""),821986.0)</f>
        <v>821986</v>
      </c>
    </row>
    <row r="683">
      <c r="A683" s="3">
        <f>IFERROR(__xludf.DUMMYFUNCTION("""COMPUTED_VALUE"""),41347.666666666664)</f>
        <v>41347.66667</v>
      </c>
      <c r="B683" s="2">
        <f>IFERROR(__xludf.DUMMYFUNCTION("""COMPUTED_VALUE"""),2.59)</f>
        <v>2.59</v>
      </c>
      <c r="C683" s="2">
        <f>IFERROR(__xludf.DUMMYFUNCTION("""COMPUTED_VALUE"""),2.59)</f>
        <v>2.59</v>
      </c>
      <c r="D683" s="2">
        <f>IFERROR(__xludf.DUMMYFUNCTION("""COMPUTED_VALUE"""),2.45)</f>
        <v>2.45</v>
      </c>
      <c r="E683" s="2">
        <f>IFERROR(__xludf.DUMMYFUNCTION("""COMPUTED_VALUE"""),2.46)</f>
        <v>2.46</v>
      </c>
      <c r="F683" s="2">
        <f>IFERROR(__xludf.DUMMYFUNCTION("""COMPUTED_VALUE"""),2024459.0)</f>
        <v>2024459</v>
      </c>
    </row>
    <row r="684">
      <c r="A684" s="3">
        <f>IFERROR(__xludf.DUMMYFUNCTION("""COMPUTED_VALUE"""),41348.666666666664)</f>
        <v>41348.66667</v>
      </c>
      <c r="B684" s="2">
        <f>IFERROR(__xludf.DUMMYFUNCTION("""COMPUTED_VALUE"""),2.44)</f>
        <v>2.44</v>
      </c>
      <c r="C684" s="2">
        <f>IFERROR(__xludf.DUMMYFUNCTION("""COMPUTED_VALUE"""),2.44)</f>
        <v>2.44</v>
      </c>
      <c r="D684" s="2">
        <f>IFERROR(__xludf.DUMMYFUNCTION("""COMPUTED_VALUE"""),2.35)</f>
        <v>2.35</v>
      </c>
      <c r="E684" s="2">
        <f>IFERROR(__xludf.DUMMYFUNCTION("""COMPUTED_VALUE"""),2.35)</f>
        <v>2.35</v>
      </c>
      <c r="F684" s="2">
        <f>IFERROR(__xludf.DUMMYFUNCTION("""COMPUTED_VALUE"""),3279777.0)</f>
        <v>3279777</v>
      </c>
    </row>
    <row r="685">
      <c r="A685" s="3">
        <f>IFERROR(__xludf.DUMMYFUNCTION("""COMPUTED_VALUE"""),41351.666666666664)</f>
        <v>41351.66667</v>
      </c>
      <c r="B685" s="2">
        <f>IFERROR(__xludf.DUMMYFUNCTION("""COMPUTED_VALUE"""),2.35)</f>
        <v>2.35</v>
      </c>
      <c r="C685" s="2">
        <f>IFERROR(__xludf.DUMMYFUNCTION("""COMPUTED_VALUE"""),2.4)</f>
        <v>2.4</v>
      </c>
      <c r="D685" s="2">
        <f>IFERROR(__xludf.DUMMYFUNCTION("""COMPUTED_VALUE"""),2.33)</f>
        <v>2.33</v>
      </c>
      <c r="E685" s="2">
        <f>IFERROR(__xludf.DUMMYFUNCTION("""COMPUTED_VALUE"""),2.34)</f>
        <v>2.34</v>
      </c>
      <c r="F685" s="2">
        <f>IFERROR(__xludf.DUMMYFUNCTION("""COMPUTED_VALUE"""),1316336.0)</f>
        <v>1316336</v>
      </c>
    </row>
    <row r="686">
      <c r="A686" s="3">
        <f>IFERROR(__xludf.DUMMYFUNCTION("""COMPUTED_VALUE"""),41352.666666666664)</f>
        <v>41352.66667</v>
      </c>
      <c r="B686" s="2">
        <f>IFERROR(__xludf.DUMMYFUNCTION("""COMPUTED_VALUE"""),2.35)</f>
        <v>2.35</v>
      </c>
      <c r="C686" s="2">
        <f>IFERROR(__xludf.DUMMYFUNCTION("""COMPUTED_VALUE"""),2.37)</f>
        <v>2.37</v>
      </c>
      <c r="D686" s="2">
        <f>IFERROR(__xludf.DUMMYFUNCTION("""COMPUTED_VALUE"""),2.33)</f>
        <v>2.33</v>
      </c>
      <c r="E686" s="2">
        <f>IFERROR(__xludf.DUMMYFUNCTION("""COMPUTED_VALUE"""),2.34)</f>
        <v>2.34</v>
      </c>
      <c r="F686" s="2">
        <f>IFERROR(__xludf.DUMMYFUNCTION("""COMPUTED_VALUE"""),1098475.0)</f>
        <v>1098475</v>
      </c>
    </row>
    <row r="687">
      <c r="A687" s="3">
        <f>IFERROR(__xludf.DUMMYFUNCTION("""COMPUTED_VALUE"""),41353.666666666664)</f>
        <v>41353.66667</v>
      </c>
      <c r="B687" s="2">
        <f>IFERROR(__xludf.DUMMYFUNCTION("""COMPUTED_VALUE"""),2.35)</f>
        <v>2.35</v>
      </c>
      <c r="C687" s="2">
        <f>IFERROR(__xludf.DUMMYFUNCTION("""COMPUTED_VALUE"""),2.4)</f>
        <v>2.4</v>
      </c>
      <c r="D687" s="2">
        <f>IFERROR(__xludf.DUMMYFUNCTION("""COMPUTED_VALUE"""),2.34)</f>
        <v>2.34</v>
      </c>
      <c r="E687" s="2">
        <f>IFERROR(__xludf.DUMMYFUNCTION("""COMPUTED_VALUE"""),2.4)</f>
        <v>2.4</v>
      </c>
      <c r="F687" s="2">
        <f>IFERROR(__xludf.DUMMYFUNCTION("""COMPUTED_VALUE"""),1423684.0)</f>
        <v>1423684</v>
      </c>
    </row>
    <row r="688">
      <c r="A688" s="3">
        <f>IFERROR(__xludf.DUMMYFUNCTION("""COMPUTED_VALUE"""),41354.666666666664)</f>
        <v>41354.66667</v>
      </c>
      <c r="B688" s="2">
        <f>IFERROR(__xludf.DUMMYFUNCTION("""COMPUTED_VALUE"""),2.4)</f>
        <v>2.4</v>
      </c>
      <c r="C688" s="2">
        <f>IFERROR(__xludf.DUMMYFUNCTION("""COMPUTED_VALUE"""),2.47)</f>
        <v>2.47</v>
      </c>
      <c r="D688" s="2">
        <f>IFERROR(__xludf.DUMMYFUNCTION("""COMPUTED_VALUE"""),2.38)</f>
        <v>2.38</v>
      </c>
      <c r="E688" s="2">
        <f>IFERROR(__xludf.DUMMYFUNCTION("""COMPUTED_VALUE"""),2.4)</f>
        <v>2.4</v>
      </c>
      <c r="F688" s="2">
        <f>IFERROR(__xludf.DUMMYFUNCTION("""COMPUTED_VALUE"""),1146287.0)</f>
        <v>1146287</v>
      </c>
    </row>
    <row r="689">
      <c r="A689" s="3">
        <f>IFERROR(__xludf.DUMMYFUNCTION("""COMPUTED_VALUE"""),41355.666666666664)</f>
        <v>41355.66667</v>
      </c>
      <c r="B689" s="2">
        <f>IFERROR(__xludf.DUMMYFUNCTION("""COMPUTED_VALUE"""),2.41)</f>
        <v>2.41</v>
      </c>
      <c r="C689" s="2">
        <f>IFERROR(__xludf.DUMMYFUNCTION("""COMPUTED_VALUE"""),2.45)</f>
        <v>2.45</v>
      </c>
      <c r="D689" s="2">
        <f>IFERROR(__xludf.DUMMYFUNCTION("""COMPUTED_VALUE"""),2.41)</f>
        <v>2.41</v>
      </c>
      <c r="E689" s="2">
        <f>IFERROR(__xludf.DUMMYFUNCTION("""COMPUTED_VALUE"""),2.44)</f>
        <v>2.44</v>
      </c>
      <c r="F689" s="2">
        <f>IFERROR(__xludf.DUMMYFUNCTION("""COMPUTED_VALUE"""),446235.0)</f>
        <v>446235</v>
      </c>
    </row>
    <row r="690">
      <c r="A690" s="3">
        <f>IFERROR(__xludf.DUMMYFUNCTION("""COMPUTED_VALUE"""),41358.666666666664)</f>
        <v>41358.66667</v>
      </c>
      <c r="B690" s="2">
        <f>IFERROR(__xludf.DUMMYFUNCTION("""COMPUTED_VALUE"""),2.47)</f>
        <v>2.47</v>
      </c>
      <c r="C690" s="2">
        <f>IFERROR(__xludf.DUMMYFUNCTION("""COMPUTED_VALUE"""),2.57)</f>
        <v>2.57</v>
      </c>
      <c r="D690" s="2">
        <f>IFERROR(__xludf.DUMMYFUNCTION("""COMPUTED_VALUE"""),2.45)</f>
        <v>2.45</v>
      </c>
      <c r="E690" s="2">
        <f>IFERROR(__xludf.DUMMYFUNCTION("""COMPUTED_VALUE"""),2.5)</f>
        <v>2.5</v>
      </c>
      <c r="F690" s="2">
        <f>IFERROR(__xludf.DUMMYFUNCTION("""COMPUTED_VALUE"""),2379354.0)</f>
        <v>2379354</v>
      </c>
    </row>
    <row r="691">
      <c r="A691" s="3">
        <f>IFERROR(__xludf.DUMMYFUNCTION("""COMPUTED_VALUE"""),41359.666666666664)</f>
        <v>41359.66667</v>
      </c>
      <c r="B691" s="2">
        <f>IFERROR(__xludf.DUMMYFUNCTION("""COMPUTED_VALUE"""),2.53)</f>
        <v>2.53</v>
      </c>
      <c r="C691" s="2">
        <f>IFERROR(__xludf.DUMMYFUNCTION("""COMPUTED_VALUE"""),2.55)</f>
        <v>2.55</v>
      </c>
      <c r="D691" s="2">
        <f>IFERROR(__xludf.DUMMYFUNCTION("""COMPUTED_VALUE"""),2.51)</f>
        <v>2.51</v>
      </c>
      <c r="E691" s="2">
        <f>IFERROR(__xludf.DUMMYFUNCTION("""COMPUTED_VALUE"""),2.52)</f>
        <v>2.52</v>
      </c>
      <c r="F691" s="2">
        <f>IFERROR(__xludf.DUMMYFUNCTION("""COMPUTED_VALUE"""),1808137.0)</f>
        <v>1808137</v>
      </c>
    </row>
    <row r="692">
      <c r="A692" s="3">
        <f>IFERROR(__xludf.DUMMYFUNCTION("""COMPUTED_VALUE"""),41360.666666666664)</f>
        <v>41360.66667</v>
      </c>
      <c r="B692" s="2">
        <f>IFERROR(__xludf.DUMMYFUNCTION("""COMPUTED_VALUE"""),2.53)</f>
        <v>2.53</v>
      </c>
      <c r="C692" s="2">
        <f>IFERROR(__xludf.DUMMYFUNCTION("""COMPUTED_VALUE"""),2.56)</f>
        <v>2.56</v>
      </c>
      <c r="D692" s="2">
        <f>IFERROR(__xludf.DUMMYFUNCTION("""COMPUTED_VALUE"""),2.49)</f>
        <v>2.49</v>
      </c>
      <c r="E692" s="2">
        <f>IFERROR(__xludf.DUMMYFUNCTION("""COMPUTED_VALUE"""),2.54)</f>
        <v>2.54</v>
      </c>
      <c r="F692" s="2">
        <f>IFERROR(__xludf.DUMMYFUNCTION("""COMPUTED_VALUE"""),1296283.0)</f>
        <v>1296283</v>
      </c>
    </row>
    <row r="693">
      <c r="A693" s="3">
        <f>IFERROR(__xludf.DUMMYFUNCTION("""COMPUTED_VALUE"""),41361.666666666664)</f>
        <v>41361.66667</v>
      </c>
      <c r="B693" s="2">
        <f>IFERROR(__xludf.DUMMYFUNCTION("""COMPUTED_VALUE"""),2.55)</f>
        <v>2.55</v>
      </c>
      <c r="C693" s="2">
        <f>IFERROR(__xludf.DUMMYFUNCTION("""COMPUTED_VALUE"""),2.55)</f>
        <v>2.55</v>
      </c>
      <c r="D693" s="2">
        <f>IFERROR(__xludf.DUMMYFUNCTION("""COMPUTED_VALUE"""),2.52)</f>
        <v>2.52</v>
      </c>
      <c r="E693" s="2">
        <f>IFERROR(__xludf.DUMMYFUNCTION("""COMPUTED_VALUE"""),2.53)</f>
        <v>2.53</v>
      </c>
      <c r="F693" s="2">
        <f>IFERROR(__xludf.DUMMYFUNCTION("""COMPUTED_VALUE"""),1158652.0)</f>
        <v>1158652</v>
      </c>
    </row>
    <row r="694">
      <c r="A694" s="3">
        <f>IFERROR(__xludf.DUMMYFUNCTION("""COMPUTED_VALUE"""),41365.666666666664)</f>
        <v>41365.66667</v>
      </c>
      <c r="B694" s="2">
        <f>IFERROR(__xludf.DUMMYFUNCTION("""COMPUTED_VALUE"""),2.82)</f>
        <v>2.82</v>
      </c>
      <c r="C694" s="2">
        <f>IFERROR(__xludf.DUMMYFUNCTION("""COMPUTED_VALUE"""),3.11)</f>
        <v>3.11</v>
      </c>
      <c r="D694" s="2">
        <f>IFERROR(__xludf.DUMMYFUNCTION("""COMPUTED_VALUE"""),2.78)</f>
        <v>2.78</v>
      </c>
      <c r="E694" s="2">
        <f>IFERROR(__xludf.DUMMYFUNCTION("""COMPUTED_VALUE"""),2.93)</f>
        <v>2.93</v>
      </c>
      <c r="F694" s="2">
        <f>IFERROR(__xludf.DUMMYFUNCTION("""COMPUTED_VALUE"""),1.4105873E7)</f>
        <v>14105873</v>
      </c>
    </row>
    <row r="695">
      <c r="A695" s="3">
        <f>IFERROR(__xludf.DUMMYFUNCTION("""COMPUTED_VALUE"""),41366.666666666664)</f>
        <v>41366.66667</v>
      </c>
      <c r="B695" s="2">
        <f>IFERROR(__xludf.DUMMYFUNCTION("""COMPUTED_VALUE"""),2.91)</f>
        <v>2.91</v>
      </c>
      <c r="C695" s="2">
        <f>IFERROR(__xludf.DUMMYFUNCTION("""COMPUTED_VALUE"""),3.03)</f>
        <v>3.03</v>
      </c>
      <c r="D695" s="2">
        <f>IFERROR(__xludf.DUMMYFUNCTION("""COMPUTED_VALUE"""),2.9)</f>
        <v>2.9</v>
      </c>
      <c r="E695" s="2">
        <f>IFERROR(__xludf.DUMMYFUNCTION("""COMPUTED_VALUE"""),2.96)</f>
        <v>2.96</v>
      </c>
      <c r="F695" s="2">
        <f>IFERROR(__xludf.DUMMYFUNCTION("""COMPUTED_VALUE"""),6652374.0)</f>
        <v>6652374</v>
      </c>
    </row>
    <row r="696">
      <c r="A696" s="3">
        <f>IFERROR(__xludf.DUMMYFUNCTION("""COMPUTED_VALUE"""),41367.666666666664)</f>
        <v>41367.66667</v>
      </c>
      <c r="B696" s="2">
        <f>IFERROR(__xludf.DUMMYFUNCTION("""COMPUTED_VALUE"""),2.87)</f>
        <v>2.87</v>
      </c>
      <c r="C696" s="2">
        <f>IFERROR(__xludf.DUMMYFUNCTION("""COMPUTED_VALUE"""),2.9)</f>
        <v>2.9</v>
      </c>
      <c r="D696" s="2">
        <f>IFERROR(__xludf.DUMMYFUNCTION("""COMPUTED_VALUE"""),2.68)</f>
        <v>2.68</v>
      </c>
      <c r="E696" s="2">
        <f>IFERROR(__xludf.DUMMYFUNCTION("""COMPUTED_VALUE"""),2.74)</f>
        <v>2.74</v>
      </c>
      <c r="F696" s="2">
        <f>IFERROR(__xludf.DUMMYFUNCTION("""COMPUTED_VALUE"""),5644995.0)</f>
        <v>5644995</v>
      </c>
    </row>
    <row r="697">
      <c r="A697" s="3">
        <f>IFERROR(__xludf.DUMMYFUNCTION("""COMPUTED_VALUE"""),41368.666666666664)</f>
        <v>41368.66667</v>
      </c>
      <c r="B697" s="2">
        <f>IFERROR(__xludf.DUMMYFUNCTION("""COMPUTED_VALUE"""),2.74)</f>
        <v>2.74</v>
      </c>
      <c r="C697" s="2">
        <f>IFERROR(__xludf.DUMMYFUNCTION("""COMPUTED_VALUE"""),2.82)</f>
        <v>2.82</v>
      </c>
      <c r="D697" s="2">
        <f>IFERROR(__xludf.DUMMYFUNCTION("""COMPUTED_VALUE"""),2.72)</f>
        <v>2.72</v>
      </c>
      <c r="E697" s="2">
        <f>IFERROR(__xludf.DUMMYFUNCTION("""COMPUTED_VALUE"""),2.8)</f>
        <v>2.8</v>
      </c>
      <c r="F697" s="2">
        <f>IFERROR(__xludf.DUMMYFUNCTION("""COMPUTED_VALUE"""),2264867.0)</f>
        <v>2264867</v>
      </c>
    </row>
    <row r="698">
      <c r="A698" s="3">
        <f>IFERROR(__xludf.DUMMYFUNCTION("""COMPUTED_VALUE"""),41369.666666666664)</f>
        <v>41369.66667</v>
      </c>
      <c r="B698" s="2">
        <f>IFERROR(__xludf.DUMMYFUNCTION("""COMPUTED_VALUE"""),2.77)</f>
        <v>2.77</v>
      </c>
      <c r="C698" s="2">
        <f>IFERROR(__xludf.DUMMYFUNCTION("""COMPUTED_VALUE"""),2.8)</f>
        <v>2.8</v>
      </c>
      <c r="D698" s="2">
        <f>IFERROR(__xludf.DUMMYFUNCTION("""COMPUTED_VALUE"""),2.7)</f>
        <v>2.7</v>
      </c>
      <c r="E698" s="2">
        <f>IFERROR(__xludf.DUMMYFUNCTION("""COMPUTED_VALUE"""),2.76)</f>
        <v>2.76</v>
      </c>
      <c r="F698" s="2">
        <f>IFERROR(__xludf.DUMMYFUNCTION("""COMPUTED_VALUE"""),1552389.0)</f>
        <v>1552389</v>
      </c>
    </row>
    <row r="699">
      <c r="A699" s="3">
        <f>IFERROR(__xludf.DUMMYFUNCTION("""COMPUTED_VALUE"""),41372.666666666664)</f>
        <v>41372.66667</v>
      </c>
      <c r="B699" s="2">
        <f>IFERROR(__xludf.DUMMYFUNCTION("""COMPUTED_VALUE"""),2.8)</f>
        <v>2.8</v>
      </c>
      <c r="C699" s="2">
        <f>IFERROR(__xludf.DUMMYFUNCTION("""COMPUTED_VALUE"""),2.84)</f>
        <v>2.84</v>
      </c>
      <c r="D699" s="2">
        <f>IFERROR(__xludf.DUMMYFUNCTION("""COMPUTED_VALUE"""),2.77)</f>
        <v>2.77</v>
      </c>
      <c r="E699" s="2">
        <f>IFERROR(__xludf.DUMMYFUNCTION("""COMPUTED_VALUE"""),2.79)</f>
        <v>2.79</v>
      </c>
      <c r="F699" s="2">
        <f>IFERROR(__xludf.DUMMYFUNCTION("""COMPUTED_VALUE"""),1679001.0)</f>
        <v>1679001</v>
      </c>
    </row>
    <row r="700">
      <c r="A700" s="3">
        <f>IFERROR(__xludf.DUMMYFUNCTION("""COMPUTED_VALUE"""),41373.666666666664)</f>
        <v>41373.66667</v>
      </c>
      <c r="B700" s="2">
        <f>IFERROR(__xludf.DUMMYFUNCTION("""COMPUTED_VALUE"""),2.79)</f>
        <v>2.79</v>
      </c>
      <c r="C700" s="2">
        <f>IFERROR(__xludf.DUMMYFUNCTION("""COMPUTED_VALUE"""),2.79)</f>
        <v>2.79</v>
      </c>
      <c r="D700" s="2">
        <f>IFERROR(__xludf.DUMMYFUNCTION("""COMPUTED_VALUE"""),2.69)</f>
        <v>2.69</v>
      </c>
      <c r="E700" s="2">
        <f>IFERROR(__xludf.DUMMYFUNCTION("""COMPUTED_VALUE"""),2.7)</f>
        <v>2.7</v>
      </c>
      <c r="F700" s="2">
        <f>IFERROR(__xludf.DUMMYFUNCTION("""COMPUTED_VALUE"""),1696036.0)</f>
        <v>1696036</v>
      </c>
    </row>
    <row r="701">
      <c r="A701" s="3">
        <f>IFERROR(__xludf.DUMMYFUNCTION("""COMPUTED_VALUE"""),41374.666666666664)</f>
        <v>41374.66667</v>
      </c>
      <c r="B701" s="2">
        <f>IFERROR(__xludf.DUMMYFUNCTION("""COMPUTED_VALUE"""),2.71)</f>
        <v>2.71</v>
      </c>
      <c r="C701" s="2">
        <f>IFERROR(__xludf.DUMMYFUNCTION("""COMPUTED_VALUE"""),2.8)</f>
        <v>2.8</v>
      </c>
      <c r="D701" s="2">
        <f>IFERROR(__xludf.DUMMYFUNCTION("""COMPUTED_VALUE"""),2.71)</f>
        <v>2.71</v>
      </c>
      <c r="E701" s="2">
        <f>IFERROR(__xludf.DUMMYFUNCTION("""COMPUTED_VALUE"""),2.79)</f>
        <v>2.79</v>
      </c>
      <c r="F701" s="2">
        <f>IFERROR(__xludf.DUMMYFUNCTION("""COMPUTED_VALUE"""),2121088.0)</f>
        <v>2121088</v>
      </c>
    </row>
    <row r="702">
      <c r="A702" s="3">
        <f>IFERROR(__xludf.DUMMYFUNCTION("""COMPUTED_VALUE"""),41375.666666666664)</f>
        <v>41375.66667</v>
      </c>
      <c r="B702" s="2">
        <f>IFERROR(__xludf.DUMMYFUNCTION("""COMPUTED_VALUE"""),2.8)</f>
        <v>2.8</v>
      </c>
      <c r="C702" s="2">
        <f>IFERROR(__xludf.DUMMYFUNCTION("""COMPUTED_VALUE"""),2.97)</f>
        <v>2.97</v>
      </c>
      <c r="D702" s="2">
        <f>IFERROR(__xludf.DUMMYFUNCTION("""COMPUTED_VALUE"""),2.78)</f>
        <v>2.78</v>
      </c>
      <c r="E702" s="2">
        <f>IFERROR(__xludf.DUMMYFUNCTION("""COMPUTED_VALUE"""),2.91)</f>
        <v>2.91</v>
      </c>
      <c r="F702" s="2">
        <f>IFERROR(__xludf.DUMMYFUNCTION("""COMPUTED_VALUE"""),3448081.0)</f>
        <v>3448081</v>
      </c>
    </row>
    <row r="703">
      <c r="A703" s="3">
        <f>IFERROR(__xludf.DUMMYFUNCTION("""COMPUTED_VALUE"""),41376.666666666664)</f>
        <v>41376.66667</v>
      </c>
      <c r="B703" s="2">
        <f>IFERROR(__xludf.DUMMYFUNCTION("""COMPUTED_VALUE"""),2.88)</f>
        <v>2.88</v>
      </c>
      <c r="C703" s="2">
        <f>IFERROR(__xludf.DUMMYFUNCTION("""COMPUTED_VALUE"""),3.01)</f>
        <v>3.01</v>
      </c>
      <c r="D703" s="2">
        <f>IFERROR(__xludf.DUMMYFUNCTION("""COMPUTED_VALUE"""),2.87)</f>
        <v>2.87</v>
      </c>
      <c r="E703" s="2">
        <f>IFERROR(__xludf.DUMMYFUNCTION("""COMPUTED_VALUE"""),2.92)</f>
        <v>2.92</v>
      </c>
      <c r="F703" s="2">
        <f>IFERROR(__xludf.DUMMYFUNCTION("""COMPUTED_VALUE"""),3149372.0)</f>
        <v>3149372</v>
      </c>
    </row>
    <row r="704">
      <c r="A704" s="3">
        <f>IFERROR(__xludf.DUMMYFUNCTION("""COMPUTED_VALUE"""),41379.666666666664)</f>
        <v>41379.66667</v>
      </c>
      <c r="B704" s="2">
        <f>IFERROR(__xludf.DUMMYFUNCTION("""COMPUTED_VALUE"""),2.9)</f>
        <v>2.9</v>
      </c>
      <c r="C704" s="2">
        <f>IFERROR(__xludf.DUMMYFUNCTION("""COMPUTED_VALUE"""),2.92)</f>
        <v>2.92</v>
      </c>
      <c r="D704" s="2">
        <f>IFERROR(__xludf.DUMMYFUNCTION("""COMPUTED_VALUE"""),2.83)</f>
        <v>2.83</v>
      </c>
      <c r="E704" s="2">
        <f>IFERROR(__xludf.DUMMYFUNCTION("""COMPUTED_VALUE"""),2.89)</f>
        <v>2.89</v>
      </c>
      <c r="F704" s="2">
        <f>IFERROR(__xludf.DUMMYFUNCTION("""COMPUTED_VALUE"""),1685984.0)</f>
        <v>1685984</v>
      </c>
    </row>
    <row r="705">
      <c r="A705" s="3">
        <f>IFERROR(__xludf.DUMMYFUNCTION("""COMPUTED_VALUE"""),41380.666666666664)</f>
        <v>41380.66667</v>
      </c>
      <c r="B705" s="2">
        <f>IFERROR(__xludf.DUMMYFUNCTION("""COMPUTED_VALUE"""),2.95)</f>
        <v>2.95</v>
      </c>
      <c r="C705" s="2">
        <f>IFERROR(__xludf.DUMMYFUNCTION("""COMPUTED_VALUE"""),3.08)</f>
        <v>3.08</v>
      </c>
      <c r="D705" s="2">
        <f>IFERROR(__xludf.DUMMYFUNCTION("""COMPUTED_VALUE"""),2.93)</f>
        <v>2.93</v>
      </c>
      <c r="E705" s="2">
        <f>IFERROR(__xludf.DUMMYFUNCTION("""COMPUTED_VALUE"""),3.04)</f>
        <v>3.04</v>
      </c>
      <c r="F705" s="2">
        <f>IFERROR(__xludf.DUMMYFUNCTION("""COMPUTED_VALUE"""),3180438.0)</f>
        <v>3180438</v>
      </c>
    </row>
    <row r="706">
      <c r="A706" s="3">
        <f>IFERROR(__xludf.DUMMYFUNCTION("""COMPUTED_VALUE"""),41381.666666666664)</f>
        <v>41381.66667</v>
      </c>
      <c r="B706" s="2">
        <f>IFERROR(__xludf.DUMMYFUNCTION("""COMPUTED_VALUE"""),3.03)</f>
        <v>3.03</v>
      </c>
      <c r="C706" s="2">
        <f>IFERROR(__xludf.DUMMYFUNCTION("""COMPUTED_VALUE"""),3.06)</f>
        <v>3.06</v>
      </c>
      <c r="D706" s="2">
        <f>IFERROR(__xludf.DUMMYFUNCTION("""COMPUTED_VALUE"""),2.97)</f>
        <v>2.97</v>
      </c>
      <c r="E706" s="2">
        <f>IFERROR(__xludf.DUMMYFUNCTION("""COMPUTED_VALUE"""),3.03)</f>
        <v>3.03</v>
      </c>
      <c r="F706" s="2">
        <f>IFERROR(__xludf.DUMMYFUNCTION("""COMPUTED_VALUE"""),2118428.0)</f>
        <v>2118428</v>
      </c>
    </row>
    <row r="707">
      <c r="A707" s="3">
        <f>IFERROR(__xludf.DUMMYFUNCTION("""COMPUTED_VALUE"""),41382.666666666664)</f>
        <v>41382.66667</v>
      </c>
      <c r="B707" s="2">
        <f>IFERROR(__xludf.DUMMYFUNCTION("""COMPUTED_VALUE"""),3.07)</f>
        <v>3.07</v>
      </c>
      <c r="C707" s="2">
        <f>IFERROR(__xludf.DUMMYFUNCTION("""COMPUTED_VALUE"""),3.17)</f>
        <v>3.17</v>
      </c>
      <c r="D707" s="2">
        <f>IFERROR(__xludf.DUMMYFUNCTION("""COMPUTED_VALUE"""),3.03)</f>
        <v>3.03</v>
      </c>
      <c r="E707" s="2">
        <f>IFERROR(__xludf.DUMMYFUNCTION("""COMPUTED_VALUE"""),3.13)</f>
        <v>3.13</v>
      </c>
      <c r="F707" s="2">
        <f>IFERROR(__xludf.DUMMYFUNCTION("""COMPUTED_VALUE"""),3368700.0)</f>
        <v>3368700</v>
      </c>
    </row>
    <row r="708">
      <c r="A708" s="3">
        <f>IFERROR(__xludf.DUMMYFUNCTION("""COMPUTED_VALUE"""),41383.666666666664)</f>
        <v>41383.66667</v>
      </c>
      <c r="B708" s="2">
        <f>IFERROR(__xludf.DUMMYFUNCTION("""COMPUTED_VALUE"""),3.2)</f>
        <v>3.2</v>
      </c>
      <c r="C708" s="2">
        <f>IFERROR(__xludf.DUMMYFUNCTION("""COMPUTED_VALUE"""),3.33)</f>
        <v>3.33</v>
      </c>
      <c r="D708" s="2">
        <f>IFERROR(__xludf.DUMMYFUNCTION("""COMPUTED_VALUE"""),3.14)</f>
        <v>3.14</v>
      </c>
      <c r="E708" s="2">
        <f>IFERROR(__xludf.DUMMYFUNCTION("""COMPUTED_VALUE"""),3.19)</f>
        <v>3.19</v>
      </c>
      <c r="F708" s="2">
        <f>IFERROR(__xludf.DUMMYFUNCTION("""COMPUTED_VALUE"""),3012136.0)</f>
        <v>3012136</v>
      </c>
    </row>
    <row r="709">
      <c r="A709" s="3">
        <f>IFERROR(__xludf.DUMMYFUNCTION("""COMPUTED_VALUE"""),41386.666666666664)</f>
        <v>41386.66667</v>
      </c>
      <c r="B709" s="2">
        <f>IFERROR(__xludf.DUMMYFUNCTION("""COMPUTED_VALUE"""),3.24)</f>
        <v>3.24</v>
      </c>
      <c r="C709" s="2">
        <f>IFERROR(__xludf.DUMMYFUNCTION("""COMPUTED_VALUE"""),3.35)</f>
        <v>3.35</v>
      </c>
      <c r="D709" s="2">
        <f>IFERROR(__xludf.DUMMYFUNCTION("""COMPUTED_VALUE"""),3.18)</f>
        <v>3.18</v>
      </c>
      <c r="E709" s="2">
        <f>IFERROR(__xludf.DUMMYFUNCTION("""COMPUTED_VALUE"""),3.35)</f>
        <v>3.35</v>
      </c>
      <c r="F709" s="2">
        <f>IFERROR(__xludf.DUMMYFUNCTION("""COMPUTED_VALUE"""),3939327.0)</f>
        <v>3939327</v>
      </c>
    </row>
    <row r="710">
      <c r="A710" s="3">
        <f>IFERROR(__xludf.DUMMYFUNCTION("""COMPUTED_VALUE"""),41387.666666666664)</f>
        <v>41387.66667</v>
      </c>
      <c r="B710" s="2">
        <f>IFERROR(__xludf.DUMMYFUNCTION("""COMPUTED_VALUE"""),3.4)</f>
        <v>3.4</v>
      </c>
      <c r="C710" s="2">
        <f>IFERROR(__xludf.DUMMYFUNCTION("""COMPUTED_VALUE"""),3.53)</f>
        <v>3.53</v>
      </c>
      <c r="D710" s="2">
        <f>IFERROR(__xludf.DUMMYFUNCTION("""COMPUTED_VALUE"""),3.38)</f>
        <v>3.38</v>
      </c>
      <c r="E710" s="2">
        <f>IFERROR(__xludf.DUMMYFUNCTION("""COMPUTED_VALUE"""),3.4)</f>
        <v>3.4</v>
      </c>
      <c r="F710" s="2">
        <f>IFERROR(__xludf.DUMMYFUNCTION("""COMPUTED_VALUE"""),3737550.0)</f>
        <v>3737550</v>
      </c>
    </row>
    <row r="711">
      <c r="A711" s="3">
        <f>IFERROR(__xludf.DUMMYFUNCTION("""COMPUTED_VALUE"""),41388.666666666664)</f>
        <v>41388.66667</v>
      </c>
      <c r="B711" s="2">
        <f>IFERROR(__xludf.DUMMYFUNCTION("""COMPUTED_VALUE"""),3.39)</f>
        <v>3.39</v>
      </c>
      <c r="C711" s="2">
        <f>IFERROR(__xludf.DUMMYFUNCTION("""COMPUTED_VALUE"""),3.4)</f>
        <v>3.4</v>
      </c>
      <c r="D711" s="2">
        <f>IFERROR(__xludf.DUMMYFUNCTION("""COMPUTED_VALUE"""),3.27)</f>
        <v>3.27</v>
      </c>
      <c r="E711" s="2">
        <f>IFERROR(__xludf.DUMMYFUNCTION("""COMPUTED_VALUE"""),3.36)</f>
        <v>3.36</v>
      </c>
      <c r="F711" s="2">
        <f>IFERROR(__xludf.DUMMYFUNCTION("""COMPUTED_VALUE"""),2630108.0)</f>
        <v>2630108</v>
      </c>
    </row>
    <row r="712">
      <c r="A712" s="3">
        <f>IFERROR(__xludf.DUMMYFUNCTION("""COMPUTED_VALUE"""),41389.666666666664)</f>
        <v>41389.66667</v>
      </c>
      <c r="B712" s="2">
        <f>IFERROR(__xludf.DUMMYFUNCTION("""COMPUTED_VALUE"""),3.37)</f>
        <v>3.37</v>
      </c>
      <c r="C712" s="2">
        <f>IFERROR(__xludf.DUMMYFUNCTION("""COMPUTED_VALUE"""),3.49)</f>
        <v>3.49</v>
      </c>
      <c r="D712" s="2">
        <f>IFERROR(__xludf.DUMMYFUNCTION("""COMPUTED_VALUE"""),3.37)</f>
        <v>3.37</v>
      </c>
      <c r="E712" s="2">
        <f>IFERROR(__xludf.DUMMYFUNCTION("""COMPUTED_VALUE"""),3.47)</f>
        <v>3.47</v>
      </c>
      <c r="F712" s="2">
        <f>IFERROR(__xludf.DUMMYFUNCTION("""COMPUTED_VALUE"""),2796207.0)</f>
        <v>2796207</v>
      </c>
    </row>
    <row r="713">
      <c r="A713" s="3">
        <f>IFERROR(__xludf.DUMMYFUNCTION("""COMPUTED_VALUE"""),41390.666666666664)</f>
        <v>41390.66667</v>
      </c>
      <c r="B713" s="2">
        <f>IFERROR(__xludf.DUMMYFUNCTION("""COMPUTED_VALUE"""),3.54)</f>
        <v>3.54</v>
      </c>
      <c r="C713" s="2">
        <f>IFERROR(__xludf.DUMMYFUNCTION("""COMPUTED_VALUE"""),3.58)</f>
        <v>3.58</v>
      </c>
      <c r="D713" s="2">
        <f>IFERROR(__xludf.DUMMYFUNCTION("""COMPUTED_VALUE"""),3.37)</f>
        <v>3.37</v>
      </c>
      <c r="E713" s="2">
        <f>IFERROR(__xludf.DUMMYFUNCTION("""COMPUTED_VALUE"""),3.41)</f>
        <v>3.41</v>
      </c>
      <c r="F713" s="2">
        <f>IFERROR(__xludf.DUMMYFUNCTION("""COMPUTED_VALUE"""),3622430.0)</f>
        <v>3622430</v>
      </c>
    </row>
    <row r="714">
      <c r="A714" s="3">
        <f>IFERROR(__xludf.DUMMYFUNCTION("""COMPUTED_VALUE"""),41393.666666666664)</f>
        <v>41393.66667</v>
      </c>
      <c r="B714" s="2">
        <f>IFERROR(__xludf.DUMMYFUNCTION("""COMPUTED_VALUE"""),3.45)</f>
        <v>3.45</v>
      </c>
      <c r="C714" s="2">
        <f>IFERROR(__xludf.DUMMYFUNCTION("""COMPUTED_VALUE"""),3.67)</f>
        <v>3.67</v>
      </c>
      <c r="D714" s="2">
        <f>IFERROR(__xludf.DUMMYFUNCTION("""COMPUTED_VALUE"""),3.41)</f>
        <v>3.41</v>
      </c>
      <c r="E714" s="2">
        <f>IFERROR(__xludf.DUMMYFUNCTION("""COMPUTED_VALUE"""),3.66)</f>
        <v>3.66</v>
      </c>
      <c r="F714" s="2">
        <f>IFERROR(__xludf.DUMMYFUNCTION("""COMPUTED_VALUE"""),3642206.0)</f>
        <v>3642206</v>
      </c>
    </row>
    <row r="715">
      <c r="A715" s="3">
        <f>IFERROR(__xludf.DUMMYFUNCTION("""COMPUTED_VALUE"""),41394.666666666664)</f>
        <v>41394.66667</v>
      </c>
      <c r="B715" s="2">
        <f>IFERROR(__xludf.DUMMYFUNCTION("""COMPUTED_VALUE"""),3.73)</f>
        <v>3.73</v>
      </c>
      <c r="C715" s="2">
        <f>IFERROR(__xludf.DUMMYFUNCTION("""COMPUTED_VALUE"""),3.88)</f>
        <v>3.88</v>
      </c>
      <c r="D715" s="2">
        <f>IFERROR(__xludf.DUMMYFUNCTION("""COMPUTED_VALUE"""),3.58)</f>
        <v>3.58</v>
      </c>
      <c r="E715" s="2">
        <f>IFERROR(__xludf.DUMMYFUNCTION("""COMPUTED_VALUE"""),3.6)</f>
        <v>3.6</v>
      </c>
      <c r="F715" s="2">
        <f>IFERROR(__xludf.DUMMYFUNCTION("""COMPUTED_VALUE"""),5523948.0)</f>
        <v>5523948</v>
      </c>
    </row>
    <row r="716">
      <c r="A716" s="3">
        <f>IFERROR(__xludf.DUMMYFUNCTION("""COMPUTED_VALUE"""),41395.666666666664)</f>
        <v>41395.66667</v>
      </c>
      <c r="B716" s="2">
        <f>IFERROR(__xludf.DUMMYFUNCTION("""COMPUTED_VALUE"""),3.71)</f>
        <v>3.71</v>
      </c>
      <c r="C716" s="2">
        <f>IFERROR(__xludf.DUMMYFUNCTION("""COMPUTED_VALUE"""),3.73)</f>
        <v>3.73</v>
      </c>
      <c r="D716" s="2">
        <f>IFERROR(__xludf.DUMMYFUNCTION("""COMPUTED_VALUE"""),3.53)</f>
        <v>3.53</v>
      </c>
      <c r="E716" s="2">
        <f>IFERROR(__xludf.DUMMYFUNCTION("""COMPUTED_VALUE"""),3.55)</f>
        <v>3.55</v>
      </c>
      <c r="F716" s="2">
        <f>IFERROR(__xludf.DUMMYFUNCTION("""COMPUTED_VALUE"""),2742778.0)</f>
        <v>2742778</v>
      </c>
    </row>
    <row r="717">
      <c r="A717" s="3">
        <f>IFERROR(__xludf.DUMMYFUNCTION("""COMPUTED_VALUE"""),41396.666666666664)</f>
        <v>41396.66667</v>
      </c>
      <c r="B717" s="2">
        <f>IFERROR(__xludf.DUMMYFUNCTION("""COMPUTED_VALUE"""),3.59)</f>
        <v>3.59</v>
      </c>
      <c r="C717" s="2">
        <f>IFERROR(__xludf.DUMMYFUNCTION("""COMPUTED_VALUE"""),3.68)</f>
        <v>3.68</v>
      </c>
      <c r="D717" s="2">
        <f>IFERROR(__xludf.DUMMYFUNCTION("""COMPUTED_VALUE"""),3.58)</f>
        <v>3.58</v>
      </c>
      <c r="E717" s="2">
        <f>IFERROR(__xludf.DUMMYFUNCTION("""COMPUTED_VALUE"""),3.61)</f>
        <v>3.61</v>
      </c>
      <c r="F717" s="2">
        <f>IFERROR(__xludf.DUMMYFUNCTION("""COMPUTED_VALUE"""),3052333.0)</f>
        <v>3052333</v>
      </c>
    </row>
    <row r="718">
      <c r="A718" s="3">
        <f>IFERROR(__xludf.DUMMYFUNCTION("""COMPUTED_VALUE"""),41397.666666666664)</f>
        <v>41397.66667</v>
      </c>
      <c r="B718" s="2">
        <f>IFERROR(__xludf.DUMMYFUNCTION("""COMPUTED_VALUE"""),3.73)</f>
        <v>3.73</v>
      </c>
      <c r="C718" s="2">
        <f>IFERROR(__xludf.DUMMYFUNCTION("""COMPUTED_VALUE"""),3.76)</f>
        <v>3.76</v>
      </c>
      <c r="D718" s="2">
        <f>IFERROR(__xludf.DUMMYFUNCTION("""COMPUTED_VALUE"""),3.63)</f>
        <v>3.63</v>
      </c>
      <c r="E718" s="2">
        <f>IFERROR(__xludf.DUMMYFUNCTION("""COMPUTED_VALUE"""),3.64)</f>
        <v>3.64</v>
      </c>
      <c r="F718" s="2">
        <f>IFERROR(__xludf.DUMMYFUNCTION("""COMPUTED_VALUE"""),3379403.0)</f>
        <v>3379403</v>
      </c>
    </row>
    <row r="719">
      <c r="A719" s="3">
        <f>IFERROR(__xludf.DUMMYFUNCTION("""COMPUTED_VALUE"""),41400.666666666664)</f>
        <v>41400.66667</v>
      </c>
      <c r="B719" s="2">
        <f>IFERROR(__xludf.DUMMYFUNCTION("""COMPUTED_VALUE"""),3.76)</f>
        <v>3.76</v>
      </c>
      <c r="C719" s="2">
        <f>IFERROR(__xludf.DUMMYFUNCTION("""COMPUTED_VALUE"""),3.98)</f>
        <v>3.98</v>
      </c>
      <c r="D719" s="2">
        <f>IFERROR(__xludf.DUMMYFUNCTION("""COMPUTED_VALUE"""),3.7)</f>
        <v>3.7</v>
      </c>
      <c r="E719" s="2">
        <f>IFERROR(__xludf.DUMMYFUNCTION("""COMPUTED_VALUE"""),3.97)</f>
        <v>3.97</v>
      </c>
      <c r="F719" s="2">
        <f>IFERROR(__xludf.DUMMYFUNCTION("""COMPUTED_VALUE"""),4372799.0)</f>
        <v>4372799</v>
      </c>
    </row>
    <row r="720">
      <c r="A720" s="3">
        <f>IFERROR(__xludf.DUMMYFUNCTION("""COMPUTED_VALUE"""),41401.666666666664)</f>
        <v>41401.66667</v>
      </c>
      <c r="B720" s="2">
        <f>IFERROR(__xludf.DUMMYFUNCTION("""COMPUTED_VALUE"""),4.13)</f>
        <v>4.13</v>
      </c>
      <c r="C720" s="2">
        <f>IFERROR(__xludf.DUMMYFUNCTION("""COMPUTED_VALUE"""),4.16)</f>
        <v>4.16</v>
      </c>
      <c r="D720" s="2">
        <f>IFERROR(__xludf.DUMMYFUNCTION("""COMPUTED_VALUE"""),3.67)</f>
        <v>3.67</v>
      </c>
      <c r="E720" s="2">
        <f>IFERROR(__xludf.DUMMYFUNCTION("""COMPUTED_VALUE"""),3.7)</f>
        <v>3.7</v>
      </c>
      <c r="F720" s="2">
        <f>IFERROR(__xludf.DUMMYFUNCTION("""COMPUTED_VALUE"""),9994549.0)</f>
        <v>9994549</v>
      </c>
    </row>
    <row r="721">
      <c r="A721" s="3">
        <f>IFERROR(__xludf.DUMMYFUNCTION("""COMPUTED_VALUE"""),41402.666666666664)</f>
        <v>41402.66667</v>
      </c>
      <c r="B721" s="2">
        <f>IFERROR(__xludf.DUMMYFUNCTION("""COMPUTED_VALUE"""),3.83)</f>
        <v>3.83</v>
      </c>
      <c r="C721" s="2">
        <f>IFERROR(__xludf.DUMMYFUNCTION("""COMPUTED_VALUE"""),3.88)</f>
        <v>3.88</v>
      </c>
      <c r="D721" s="2">
        <f>IFERROR(__xludf.DUMMYFUNCTION("""COMPUTED_VALUE"""),3.71)</f>
        <v>3.71</v>
      </c>
      <c r="E721" s="2">
        <f>IFERROR(__xludf.DUMMYFUNCTION("""COMPUTED_VALUE"""),3.72)</f>
        <v>3.72</v>
      </c>
      <c r="F721" s="2">
        <f>IFERROR(__xludf.DUMMYFUNCTION("""COMPUTED_VALUE"""),6769859.0)</f>
        <v>6769859</v>
      </c>
    </row>
    <row r="722">
      <c r="A722" s="3">
        <f>IFERROR(__xludf.DUMMYFUNCTION("""COMPUTED_VALUE"""),41403.666666666664)</f>
        <v>41403.66667</v>
      </c>
      <c r="B722" s="2">
        <f>IFERROR(__xludf.DUMMYFUNCTION("""COMPUTED_VALUE"""),4.67)</f>
        <v>4.67</v>
      </c>
      <c r="C722" s="2">
        <f>IFERROR(__xludf.DUMMYFUNCTION("""COMPUTED_VALUE"""),5.05)</f>
        <v>5.05</v>
      </c>
      <c r="D722" s="2">
        <f>IFERROR(__xludf.DUMMYFUNCTION("""COMPUTED_VALUE"""),4.25)</f>
        <v>4.25</v>
      </c>
      <c r="E722" s="2">
        <f>IFERROR(__xludf.DUMMYFUNCTION("""COMPUTED_VALUE"""),4.63)</f>
        <v>4.63</v>
      </c>
      <c r="F722" s="2">
        <f>IFERROR(__xludf.DUMMYFUNCTION("""COMPUTED_VALUE"""),2.860497E7)</f>
        <v>28604970</v>
      </c>
    </row>
    <row r="723">
      <c r="A723" s="3">
        <f>IFERROR(__xludf.DUMMYFUNCTION("""COMPUTED_VALUE"""),41404.666666666664)</f>
        <v>41404.66667</v>
      </c>
      <c r="B723" s="2">
        <f>IFERROR(__xludf.DUMMYFUNCTION("""COMPUTED_VALUE"""),4.64)</f>
        <v>4.64</v>
      </c>
      <c r="C723" s="2">
        <f>IFERROR(__xludf.DUMMYFUNCTION("""COMPUTED_VALUE"""),5.4)</f>
        <v>5.4</v>
      </c>
      <c r="D723" s="2">
        <f>IFERROR(__xludf.DUMMYFUNCTION("""COMPUTED_VALUE"""),4.62)</f>
        <v>4.62</v>
      </c>
      <c r="E723" s="2">
        <f>IFERROR(__xludf.DUMMYFUNCTION("""COMPUTED_VALUE"""),5.12)</f>
        <v>5.12</v>
      </c>
      <c r="F723" s="2">
        <f>IFERROR(__xludf.DUMMYFUNCTION("""COMPUTED_VALUE"""),2.508643E7)</f>
        <v>25086430</v>
      </c>
    </row>
    <row r="724">
      <c r="A724" s="3">
        <f>IFERROR(__xludf.DUMMYFUNCTION("""COMPUTED_VALUE"""),41407.666666666664)</f>
        <v>41407.66667</v>
      </c>
      <c r="B724" s="2">
        <f>IFERROR(__xludf.DUMMYFUNCTION("""COMPUTED_VALUE"""),5.37)</f>
        <v>5.37</v>
      </c>
      <c r="C724" s="2">
        <f>IFERROR(__xludf.DUMMYFUNCTION("""COMPUTED_VALUE"""),5.87)</f>
        <v>5.87</v>
      </c>
      <c r="D724" s="2">
        <f>IFERROR(__xludf.DUMMYFUNCTION("""COMPUTED_VALUE"""),5.28)</f>
        <v>5.28</v>
      </c>
      <c r="E724" s="2">
        <f>IFERROR(__xludf.DUMMYFUNCTION("""COMPUTED_VALUE"""),5.85)</f>
        <v>5.85</v>
      </c>
      <c r="F724" s="2">
        <f>IFERROR(__xludf.DUMMYFUNCTION("""COMPUTED_VALUE"""),2.2416816E7)</f>
        <v>22416816</v>
      </c>
    </row>
    <row r="725">
      <c r="A725" s="3">
        <f>IFERROR(__xludf.DUMMYFUNCTION("""COMPUTED_VALUE"""),41408.666666666664)</f>
        <v>41408.66667</v>
      </c>
      <c r="B725" s="2">
        <f>IFERROR(__xludf.DUMMYFUNCTION("""COMPUTED_VALUE"""),6.29)</f>
        <v>6.29</v>
      </c>
      <c r="C725" s="2">
        <f>IFERROR(__xludf.DUMMYFUNCTION("""COMPUTED_VALUE"""),6.47)</f>
        <v>6.47</v>
      </c>
      <c r="D725" s="2">
        <f>IFERROR(__xludf.DUMMYFUNCTION("""COMPUTED_VALUE"""),5.41)</f>
        <v>5.41</v>
      </c>
      <c r="E725" s="2">
        <f>IFERROR(__xludf.DUMMYFUNCTION("""COMPUTED_VALUE"""),5.55)</f>
        <v>5.55</v>
      </c>
      <c r="F725" s="2">
        <f>IFERROR(__xludf.DUMMYFUNCTION("""COMPUTED_VALUE"""),3.7163896E7)</f>
        <v>37163896</v>
      </c>
    </row>
    <row r="726">
      <c r="A726" s="3">
        <f>IFERROR(__xludf.DUMMYFUNCTION("""COMPUTED_VALUE"""),41409.666666666664)</f>
        <v>41409.66667</v>
      </c>
      <c r="B726" s="2">
        <f>IFERROR(__xludf.DUMMYFUNCTION("""COMPUTED_VALUE"""),5.42)</f>
        <v>5.42</v>
      </c>
      <c r="C726" s="2">
        <f>IFERROR(__xludf.DUMMYFUNCTION("""COMPUTED_VALUE"""),5.79)</f>
        <v>5.79</v>
      </c>
      <c r="D726" s="2">
        <f>IFERROR(__xludf.DUMMYFUNCTION("""COMPUTED_VALUE"""),5.21)</f>
        <v>5.21</v>
      </c>
      <c r="E726" s="2">
        <f>IFERROR(__xludf.DUMMYFUNCTION("""COMPUTED_VALUE"""),5.66)</f>
        <v>5.66</v>
      </c>
      <c r="F726" s="2">
        <f>IFERROR(__xludf.DUMMYFUNCTION("""COMPUTED_VALUE"""),1.68787E7)</f>
        <v>16878700</v>
      </c>
    </row>
    <row r="727">
      <c r="A727" s="3">
        <f>IFERROR(__xludf.DUMMYFUNCTION("""COMPUTED_VALUE"""),41410.666666666664)</f>
        <v>41410.66667</v>
      </c>
      <c r="B727" s="2">
        <f>IFERROR(__xludf.DUMMYFUNCTION("""COMPUTED_VALUE"""),6.33)</f>
        <v>6.33</v>
      </c>
      <c r="C727" s="2">
        <f>IFERROR(__xludf.DUMMYFUNCTION("""COMPUTED_VALUE"""),6.33)</f>
        <v>6.33</v>
      </c>
      <c r="D727" s="2">
        <f>IFERROR(__xludf.DUMMYFUNCTION("""COMPUTED_VALUE"""),5.91)</f>
        <v>5.91</v>
      </c>
      <c r="E727" s="2">
        <f>IFERROR(__xludf.DUMMYFUNCTION("""COMPUTED_VALUE"""),6.15)</f>
        <v>6.15</v>
      </c>
      <c r="F727" s="2">
        <f>IFERROR(__xludf.DUMMYFUNCTION("""COMPUTED_VALUE"""),2.1614002E7)</f>
        <v>21614002</v>
      </c>
    </row>
    <row r="728">
      <c r="A728" s="3">
        <f>IFERROR(__xludf.DUMMYFUNCTION("""COMPUTED_VALUE"""),41411.666666666664)</f>
        <v>41411.66667</v>
      </c>
      <c r="B728" s="2">
        <f>IFERROR(__xludf.DUMMYFUNCTION("""COMPUTED_VALUE"""),6.17)</f>
        <v>6.17</v>
      </c>
      <c r="C728" s="2">
        <f>IFERROR(__xludf.DUMMYFUNCTION("""COMPUTED_VALUE"""),6.3)</f>
        <v>6.3</v>
      </c>
      <c r="D728" s="2">
        <f>IFERROR(__xludf.DUMMYFUNCTION("""COMPUTED_VALUE"""),5.83)</f>
        <v>5.83</v>
      </c>
      <c r="E728" s="2">
        <f>IFERROR(__xludf.DUMMYFUNCTION("""COMPUTED_VALUE"""),6.1)</f>
        <v>6.1</v>
      </c>
      <c r="F728" s="2">
        <f>IFERROR(__xludf.DUMMYFUNCTION("""COMPUTED_VALUE"""),1.900845E7)</f>
        <v>19008450</v>
      </c>
    </row>
    <row r="729">
      <c r="A729" s="3">
        <f>IFERROR(__xludf.DUMMYFUNCTION("""COMPUTED_VALUE"""),41414.666666666664)</f>
        <v>41414.66667</v>
      </c>
      <c r="B729" s="2">
        <f>IFERROR(__xludf.DUMMYFUNCTION("""COMPUTED_VALUE"""),6.07)</f>
        <v>6.07</v>
      </c>
      <c r="C729" s="2">
        <f>IFERROR(__xludf.DUMMYFUNCTION("""COMPUTED_VALUE"""),6.17)</f>
        <v>6.17</v>
      </c>
      <c r="D729" s="2">
        <f>IFERROR(__xludf.DUMMYFUNCTION("""COMPUTED_VALUE"""),5.91)</f>
        <v>5.91</v>
      </c>
      <c r="E729" s="2">
        <f>IFERROR(__xludf.DUMMYFUNCTION("""COMPUTED_VALUE"""),6.0)</f>
        <v>6</v>
      </c>
      <c r="F729" s="2">
        <f>IFERROR(__xludf.DUMMYFUNCTION("""COMPUTED_VALUE"""),8348331.0)</f>
        <v>8348331</v>
      </c>
    </row>
    <row r="730">
      <c r="A730" s="3">
        <f>IFERROR(__xludf.DUMMYFUNCTION("""COMPUTED_VALUE"""),41415.666666666664)</f>
        <v>41415.66667</v>
      </c>
      <c r="B730" s="2">
        <f>IFERROR(__xludf.DUMMYFUNCTION("""COMPUTED_VALUE"""),5.9)</f>
        <v>5.9</v>
      </c>
      <c r="C730" s="2">
        <f>IFERROR(__xludf.DUMMYFUNCTION("""COMPUTED_VALUE"""),6.0)</f>
        <v>6</v>
      </c>
      <c r="D730" s="2">
        <f>IFERROR(__xludf.DUMMYFUNCTION("""COMPUTED_VALUE"""),5.69)</f>
        <v>5.69</v>
      </c>
      <c r="E730" s="2">
        <f>IFERROR(__xludf.DUMMYFUNCTION("""COMPUTED_VALUE"""),5.84)</f>
        <v>5.84</v>
      </c>
      <c r="F730" s="2">
        <f>IFERROR(__xludf.DUMMYFUNCTION("""COMPUTED_VALUE"""),9001763.0)</f>
        <v>9001763</v>
      </c>
    </row>
    <row r="731">
      <c r="A731" s="3">
        <f>IFERROR(__xludf.DUMMYFUNCTION("""COMPUTED_VALUE"""),41416.666666666664)</f>
        <v>41416.66667</v>
      </c>
      <c r="B731" s="2">
        <f>IFERROR(__xludf.DUMMYFUNCTION("""COMPUTED_VALUE"""),5.76)</f>
        <v>5.76</v>
      </c>
      <c r="C731" s="2">
        <f>IFERROR(__xludf.DUMMYFUNCTION("""COMPUTED_VALUE"""),6.06)</f>
        <v>6.06</v>
      </c>
      <c r="D731" s="2">
        <f>IFERROR(__xludf.DUMMYFUNCTION("""COMPUTED_VALUE"""),5.7)</f>
        <v>5.7</v>
      </c>
      <c r="E731" s="2">
        <f>IFERROR(__xludf.DUMMYFUNCTION("""COMPUTED_VALUE"""),5.82)</f>
        <v>5.82</v>
      </c>
      <c r="F731" s="2">
        <f>IFERROR(__xludf.DUMMYFUNCTION("""COMPUTED_VALUE"""),8573776.0)</f>
        <v>8573776</v>
      </c>
    </row>
    <row r="732">
      <c r="A732" s="3">
        <f>IFERROR(__xludf.DUMMYFUNCTION("""COMPUTED_VALUE"""),41417.666666666664)</f>
        <v>41417.66667</v>
      </c>
      <c r="B732" s="2">
        <f>IFERROR(__xludf.DUMMYFUNCTION("""COMPUTED_VALUE"""),5.67)</f>
        <v>5.67</v>
      </c>
      <c r="C732" s="2">
        <f>IFERROR(__xludf.DUMMYFUNCTION("""COMPUTED_VALUE"""),6.2)</f>
        <v>6.2</v>
      </c>
      <c r="D732" s="2">
        <f>IFERROR(__xludf.DUMMYFUNCTION("""COMPUTED_VALUE"""),5.54)</f>
        <v>5.54</v>
      </c>
      <c r="E732" s="2">
        <f>IFERROR(__xludf.DUMMYFUNCTION("""COMPUTED_VALUE"""),6.18)</f>
        <v>6.18</v>
      </c>
      <c r="F732" s="2">
        <f>IFERROR(__xludf.DUMMYFUNCTION("""COMPUTED_VALUE"""),1.2044257E7)</f>
        <v>12044257</v>
      </c>
    </row>
    <row r="733">
      <c r="A733" s="3">
        <f>IFERROR(__xludf.DUMMYFUNCTION("""COMPUTED_VALUE"""),41418.666666666664)</f>
        <v>41418.66667</v>
      </c>
      <c r="B733" s="2">
        <f>IFERROR(__xludf.DUMMYFUNCTION("""COMPUTED_VALUE"""),6.16)</f>
        <v>6.16</v>
      </c>
      <c r="C733" s="2">
        <f>IFERROR(__xludf.DUMMYFUNCTION("""COMPUTED_VALUE"""),6.53)</f>
        <v>6.53</v>
      </c>
      <c r="D733" s="2">
        <f>IFERROR(__xludf.DUMMYFUNCTION("""COMPUTED_VALUE"""),6.13)</f>
        <v>6.13</v>
      </c>
      <c r="E733" s="2">
        <f>IFERROR(__xludf.DUMMYFUNCTION("""COMPUTED_VALUE"""),6.47)</f>
        <v>6.47</v>
      </c>
      <c r="F733" s="2">
        <f>IFERROR(__xludf.DUMMYFUNCTION("""COMPUTED_VALUE"""),1.6124194E7)</f>
        <v>16124194</v>
      </c>
    </row>
    <row r="734">
      <c r="A734" s="3">
        <f>IFERROR(__xludf.DUMMYFUNCTION("""COMPUTED_VALUE"""),41422.666666666664)</f>
        <v>41422.66667</v>
      </c>
      <c r="B734" s="2">
        <f>IFERROR(__xludf.DUMMYFUNCTION("""COMPUTED_VALUE"""),6.8)</f>
        <v>6.8</v>
      </c>
      <c r="C734" s="2">
        <f>IFERROR(__xludf.DUMMYFUNCTION("""COMPUTED_VALUE"""),7.38)</f>
        <v>7.38</v>
      </c>
      <c r="D734" s="2">
        <f>IFERROR(__xludf.DUMMYFUNCTION("""COMPUTED_VALUE"""),6.69)</f>
        <v>6.69</v>
      </c>
      <c r="E734" s="2">
        <f>IFERROR(__xludf.DUMMYFUNCTION("""COMPUTED_VALUE"""),7.36)</f>
        <v>7.36</v>
      </c>
      <c r="F734" s="2">
        <f>IFERROR(__xludf.DUMMYFUNCTION("""COMPUTED_VALUE"""),1.9691824E7)</f>
        <v>19691824</v>
      </c>
    </row>
    <row r="735">
      <c r="A735" s="3">
        <f>IFERROR(__xludf.DUMMYFUNCTION("""COMPUTED_VALUE"""),41423.666666666664)</f>
        <v>41423.66667</v>
      </c>
      <c r="B735" s="2">
        <f>IFERROR(__xludf.DUMMYFUNCTION("""COMPUTED_VALUE"""),7.59)</f>
        <v>7.59</v>
      </c>
      <c r="C735" s="2">
        <f>IFERROR(__xludf.DUMMYFUNCTION("""COMPUTED_VALUE"""),7.66)</f>
        <v>7.66</v>
      </c>
      <c r="D735" s="2">
        <f>IFERROR(__xludf.DUMMYFUNCTION("""COMPUTED_VALUE"""),6.6)</f>
        <v>6.6</v>
      </c>
      <c r="E735" s="2">
        <f>IFERROR(__xludf.DUMMYFUNCTION("""COMPUTED_VALUE"""),6.98)</f>
        <v>6.98</v>
      </c>
      <c r="F735" s="2">
        <f>IFERROR(__xludf.DUMMYFUNCTION("""COMPUTED_VALUE"""),2.509948E7)</f>
        <v>25099480</v>
      </c>
    </row>
    <row r="736">
      <c r="A736" s="3">
        <f>IFERROR(__xludf.DUMMYFUNCTION("""COMPUTED_VALUE"""),41424.666666666664)</f>
        <v>41424.66667</v>
      </c>
      <c r="B736" s="2">
        <f>IFERROR(__xludf.DUMMYFUNCTION("""COMPUTED_VALUE"""),6.83)</f>
        <v>6.83</v>
      </c>
      <c r="C736" s="2">
        <f>IFERROR(__xludf.DUMMYFUNCTION("""COMPUTED_VALUE"""),7.3)</f>
        <v>7.3</v>
      </c>
      <c r="D736" s="2">
        <f>IFERROR(__xludf.DUMMYFUNCTION("""COMPUTED_VALUE"""),6.75)</f>
        <v>6.75</v>
      </c>
      <c r="E736" s="2">
        <f>IFERROR(__xludf.DUMMYFUNCTION("""COMPUTED_VALUE"""),7.0)</f>
        <v>7</v>
      </c>
      <c r="F736" s="2">
        <f>IFERROR(__xludf.DUMMYFUNCTION("""COMPUTED_VALUE"""),1.6140554E7)</f>
        <v>16140554</v>
      </c>
    </row>
    <row r="737">
      <c r="A737" s="3">
        <f>IFERROR(__xludf.DUMMYFUNCTION("""COMPUTED_VALUE"""),41425.666666666664)</f>
        <v>41425.66667</v>
      </c>
      <c r="B737" s="2">
        <f>IFERROR(__xludf.DUMMYFUNCTION("""COMPUTED_VALUE"""),7.06)</f>
        <v>7.06</v>
      </c>
      <c r="C737" s="2">
        <f>IFERROR(__xludf.DUMMYFUNCTION("""COMPUTED_VALUE"""),7.1)</f>
        <v>7.1</v>
      </c>
      <c r="D737" s="2">
        <f>IFERROR(__xludf.DUMMYFUNCTION("""COMPUTED_VALUE"""),6.52)</f>
        <v>6.52</v>
      </c>
      <c r="E737" s="2">
        <f>IFERROR(__xludf.DUMMYFUNCTION("""COMPUTED_VALUE"""),6.52)</f>
        <v>6.52</v>
      </c>
      <c r="F737" s="2">
        <f>IFERROR(__xludf.DUMMYFUNCTION("""COMPUTED_VALUE"""),1.5171929E7)</f>
        <v>15171929</v>
      </c>
    </row>
    <row r="738">
      <c r="A738" s="3">
        <f>IFERROR(__xludf.DUMMYFUNCTION("""COMPUTED_VALUE"""),41428.666666666664)</f>
        <v>41428.66667</v>
      </c>
      <c r="B738" s="2">
        <f>IFERROR(__xludf.DUMMYFUNCTION("""COMPUTED_VALUE"""),6.5)</f>
        <v>6.5</v>
      </c>
      <c r="C738" s="2">
        <f>IFERROR(__xludf.DUMMYFUNCTION("""COMPUTED_VALUE"""),6.51)</f>
        <v>6.51</v>
      </c>
      <c r="D738" s="2">
        <f>IFERROR(__xludf.DUMMYFUNCTION("""COMPUTED_VALUE"""),5.88)</f>
        <v>5.88</v>
      </c>
      <c r="E738" s="2">
        <f>IFERROR(__xludf.DUMMYFUNCTION("""COMPUTED_VALUE"""),6.17)</f>
        <v>6.17</v>
      </c>
      <c r="F738" s="2">
        <f>IFERROR(__xludf.DUMMYFUNCTION("""COMPUTED_VALUE"""),1.9143476E7)</f>
        <v>19143476</v>
      </c>
    </row>
    <row r="739">
      <c r="A739" s="3">
        <f>IFERROR(__xludf.DUMMYFUNCTION("""COMPUTED_VALUE"""),41429.666666666664)</f>
        <v>41429.66667</v>
      </c>
      <c r="B739" s="2">
        <f>IFERROR(__xludf.DUMMYFUNCTION("""COMPUTED_VALUE"""),6.17)</f>
        <v>6.17</v>
      </c>
      <c r="C739" s="2">
        <f>IFERROR(__xludf.DUMMYFUNCTION("""COMPUTED_VALUE"""),6.43)</f>
        <v>6.43</v>
      </c>
      <c r="D739" s="2">
        <f>IFERROR(__xludf.DUMMYFUNCTION("""COMPUTED_VALUE"""),6.16)</f>
        <v>6.16</v>
      </c>
      <c r="E739" s="2">
        <f>IFERROR(__xludf.DUMMYFUNCTION("""COMPUTED_VALUE"""),6.32)</f>
        <v>6.32</v>
      </c>
      <c r="F739" s="2">
        <f>IFERROR(__xludf.DUMMYFUNCTION("""COMPUTED_VALUE"""),8856045.0)</f>
        <v>8856045</v>
      </c>
    </row>
    <row r="740">
      <c r="A740" s="3">
        <f>IFERROR(__xludf.DUMMYFUNCTION("""COMPUTED_VALUE"""),41430.666666666664)</f>
        <v>41430.66667</v>
      </c>
      <c r="B740" s="2">
        <f>IFERROR(__xludf.DUMMYFUNCTION("""COMPUTED_VALUE"""),6.24)</f>
        <v>6.24</v>
      </c>
      <c r="C740" s="2">
        <f>IFERROR(__xludf.DUMMYFUNCTION("""COMPUTED_VALUE"""),6.53)</f>
        <v>6.53</v>
      </c>
      <c r="D740" s="2">
        <f>IFERROR(__xludf.DUMMYFUNCTION("""COMPUTED_VALUE"""),5.94)</f>
        <v>5.94</v>
      </c>
      <c r="E740" s="2">
        <f>IFERROR(__xludf.DUMMYFUNCTION("""COMPUTED_VALUE"""),6.36)</f>
        <v>6.36</v>
      </c>
      <c r="F740" s="2">
        <f>IFERROR(__xludf.DUMMYFUNCTION("""COMPUTED_VALUE"""),1.2224731E7)</f>
        <v>12224731</v>
      </c>
    </row>
    <row r="741">
      <c r="A741" s="3">
        <f>IFERROR(__xludf.DUMMYFUNCTION("""COMPUTED_VALUE"""),41431.666666666664)</f>
        <v>41431.66667</v>
      </c>
      <c r="B741" s="2">
        <f>IFERROR(__xludf.DUMMYFUNCTION("""COMPUTED_VALUE"""),6.36)</f>
        <v>6.36</v>
      </c>
      <c r="C741" s="2">
        <f>IFERROR(__xludf.DUMMYFUNCTION("""COMPUTED_VALUE"""),6.62)</f>
        <v>6.62</v>
      </c>
      <c r="D741" s="2">
        <f>IFERROR(__xludf.DUMMYFUNCTION("""COMPUTED_VALUE"""),6.34)</f>
        <v>6.34</v>
      </c>
      <c r="E741" s="2">
        <f>IFERROR(__xludf.DUMMYFUNCTION("""COMPUTED_VALUE"""),6.49)</f>
        <v>6.49</v>
      </c>
      <c r="F741" s="2">
        <f>IFERROR(__xludf.DUMMYFUNCTION("""COMPUTED_VALUE"""),9514406.0)</f>
        <v>9514406</v>
      </c>
    </row>
    <row r="742">
      <c r="A742" s="3">
        <f>IFERROR(__xludf.DUMMYFUNCTION("""COMPUTED_VALUE"""),41432.666666666664)</f>
        <v>41432.66667</v>
      </c>
      <c r="B742" s="2">
        <f>IFERROR(__xludf.DUMMYFUNCTION("""COMPUTED_VALUE"""),6.53)</f>
        <v>6.53</v>
      </c>
      <c r="C742" s="2">
        <f>IFERROR(__xludf.DUMMYFUNCTION("""COMPUTED_VALUE"""),6.86)</f>
        <v>6.86</v>
      </c>
      <c r="D742" s="2">
        <f>IFERROR(__xludf.DUMMYFUNCTION("""COMPUTED_VALUE"""),6.45)</f>
        <v>6.45</v>
      </c>
      <c r="E742" s="2">
        <f>IFERROR(__xludf.DUMMYFUNCTION("""COMPUTED_VALUE"""),6.8)</f>
        <v>6.8</v>
      </c>
      <c r="F742" s="2">
        <f>IFERROR(__xludf.DUMMYFUNCTION("""COMPUTED_VALUE"""),1.0717217E7)</f>
        <v>10717217</v>
      </c>
    </row>
    <row r="743">
      <c r="A743" s="3">
        <f>IFERROR(__xludf.DUMMYFUNCTION("""COMPUTED_VALUE"""),41435.666666666664)</f>
        <v>41435.66667</v>
      </c>
      <c r="B743" s="2">
        <f>IFERROR(__xludf.DUMMYFUNCTION("""COMPUTED_VALUE"""),6.62)</f>
        <v>6.62</v>
      </c>
      <c r="C743" s="2">
        <f>IFERROR(__xludf.DUMMYFUNCTION("""COMPUTED_VALUE"""),6.83)</f>
        <v>6.83</v>
      </c>
      <c r="D743" s="2">
        <f>IFERROR(__xludf.DUMMYFUNCTION("""COMPUTED_VALUE"""),6.57)</f>
        <v>6.57</v>
      </c>
      <c r="E743" s="2">
        <f>IFERROR(__xludf.DUMMYFUNCTION("""COMPUTED_VALUE"""),6.67)</f>
        <v>6.67</v>
      </c>
      <c r="F743" s="2">
        <f>IFERROR(__xludf.DUMMYFUNCTION("""COMPUTED_VALUE"""),9234215.0)</f>
        <v>9234215</v>
      </c>
    </row>
    <row r="744">
      <c r="A744" s="3">
        <f>IFERROR(__xludf.DUMMYFUNCTION("""COMPUTED_VALUE"""),41436.666666666664)</f>
        <v>41436.66667</v>
      </c>
      <c r="B744" s="2">
        <f>IFERROR(__xludf.DUMMYFUNCTION("""COMPUTED_VALUE"""),6.56)</f>
        <v>6.56</v>
      </c>
      <c r="C744" s="2">
        <f>IFERROR(__xludf.DUMMYFUNCTION("""COMPUTED_VALUE"""),6.58)</f>
        <v>6.58</v>
      </c>
      <c r="D744" s="2">
        <f>IFERROR(__xludf.DUMMYFUNCTION("""COMPUTED_VALUE"""),6.27)</f>
        <v>6.27</v>
      </c>
      <c r="E744" s="2">
        <f>IFERROR(__xludf.DUMMYFUNCTION("""COMPUTED_VALUE"""),6.3)</f>
        <v>6.3</v>
      </c>
      <c r="F744" s="2">
        <f>IFERROR(__xludf.DUMMYFUNCTION("""COMPUTED_VALUE"""),7396040.0)</f>
        <v>7396040</v>
      </c>
    </row>
    <row r="745">
      <c r="A745" s="3">
        <f>IFERROR(__xludf.DUMMYFUNCTION("""COMPUTED_VALUE"""),41437.666666666664)</f>
        <v>41437.66667</v>
      </c>
      <c r="B745" s="2">
        <f>IFERROR(__xludf.DUMMYFUNCTION("""COMPUTED_VALUE"""),6.45)</f>
        <v>6.45</v>
      </c>
      <c r="C745" s="2">
        <f>IFERROR(__xludf.DUMMYFUNCTION("""COMPUTED_VALUE"""),6.7)</f>
        <v>6.7</v>
      </c>
      <c r="D745" s="2">
        <f>IFERROR(__xludf.DUMMYFUNCTION("""COMPUTED_VALUE"""),6.38)</f>
        <v>6.38</v>
      </c>
      <c r="E745" s="2">
        <f>IFERROR(__xludf.DUMMYFUNCTION("""COMPUTED_VALUE"""),6.52)</f>
        <v>6.52</v>
      </c>
      <c r="F745" s="2">
        <f>IFERROR(__xludf.DUMMYFUNCTION("""COMPUTED_VALUE"""),9197523.0)</f>
        <v>9197523</v>
      </c>
    </row>
    <row r="746">
      <c r="A746" s="3">
        <f>IFERROR(__xludf.DUMMYFUNCTION("""COMPUTED_VALUE"""),41438.666666666664)</f>
        <v>41438.66667</v>
      </c>
      <c r="B746" s="2">
        <f>IFERROR(__xludf.DUMMYFUNCTION("""COMPUTED_VALUE"""),6.6)</f>
        <v>6.6</v>
      </c>
      <c r="C746" s="2">
        <f>IFERROR(__xludf.DUMMYFUNCTION("""COMPUTED_VALUE"""),6.62)</f>
        <v>6.62</v>
      </c>
      <c r="D746" s="2">
        <f>IFERROR(__xludf.DUMMYFUNCTION("""COMPUTED_VALUE"""),6.34)</f>
        <v>6.34</v>
      </c>
      <c r="E746" s="2">
        <f>IFERROR(__xludf.DUMMYFUNCTION("""COMPUTED_VALUE"""),6.55)</f>
        <v>6.55</v>
      </c>
      <c r="F746" s="2">
        <f>IFERROR(__xludf.DUMMYFUNCTION("""COMPUTED_VALUE"""),5965124.0)</f>
        <v>5965124</v>
      </c>
    </row>
    <row r="747">
      <c r="A747" s="3">
        <f>IFERROR(__xludf.DUMMYFUNCTION("""COMPUTED_VALUE"""),41439.666666666664)</f>
        <v>41439.66667</v>
      </c>
      <c r="B747" s="2">
        <f>IFERROR(__xludf.DUMMYFUNCTION("""COMPUTED_VALUE"""),6.67)</f>
        <v>6.67</v>
      </c>
      <c r="C747" s="2">
        <f>IFERROR(__xludf.DUMMYFUNCTION("""COMPUTED_VALUE"""),6.83)</f>
        <v>6.83</v>
      </c>
      <c r="D747" s="2">
        <f>IFERROR(__xludf.DUMMYFUNCTION("""COMPUTED_VALUE"""),6.62)</f>
        <v>6.62</v>
      </c>
      <c r="E747" s="2">
        <f>IFERROR(__xludf.DUMMYFUNCTION("""COMPUTED_VALUE"""),6.69)</f>
        <v>6.69</v>
      </c>
      <c r="F747" s="2">
        <f>IFERROR(__xludf.DUMMYFUNCTION("""COMPUTED_VALUE"""),6567421.0)</f>
        <v>6567421</v>
      </c>
    </row>
    <row r="748">
      <c r="A748" s="3">
        <f>IFERROR(__xludf.DUMMYFUNCTION("""COMPUTED_VALUE"""),41442.666666666664)</f>
        <v>41442.66667</v>
      </c>
      <c r="B748" s="2">
        <f>IFERROR(__xludf.DUMMYFUNCTION("""COMPUTED_VALUE"""),6.91)</f>
        <v>6.91</v>
      </c>
      <c r="C748" s="2">
        <f>IFERROR(__xludf.DUMMYFUNCTION("""COMPUTED_VALUE"""),6.98)</f>
        <v>6.98</v>
      </c>
      <c r="D748" s="2">
        <f>IFERROR(__xludf.DUMMYFUNCTION("""COMPUTED_VALUE"""),6.75)</f>
        <v>6.75</v>
      </c>
      <c r="E748" s="2">
        <f>IFERROR(__xludf.DUMMYFUNCTION("""COMPUTED_VALUE"""),6.81)</f>
        <v>6.81</v>
      </c>
      <c r="F748" s="2">
        <f>IFERROR(__xludf.DUMMYFUNCTION("""COMPUTED_VALUE"""),7075640.0)</f>
        <v>7075640</v>
      </c>
    </row>
    <row r="749">
      <c r="A749" s="3">
        <f>IFERROR(__xludf.DUMMYFUNCTION("""COMPUTED_VALUE"""),41443.666666666664)</f>
        <v>41443.66667</v>
      </c>
      <c r="B749" s="2">
        <f>IFERROR(__xludf.DUMMYFUNCTION("""COMPUTED_VALUE"""),6.78)</f>
        <v>6.78</v>
      </c>
      <c r="C749" s="2">
        <f>IFERROR(__xludf.DUMMYFUNCTION("""COMPUTED_VALUE"""),6.93)</f>
        <v>6.93</v>
      </c>
      <c r="D749" s="2">
        <f>IFERROR(__xludf.DUMMYFUNCTION("""COMPUTED_VALUE"""),6.61)</f>
        <v>6.61</v>
      </c>
      <c r="E749" s="2">
        <f>IFERROR(__xludf.DUMMYFUNCTION("""COMPUTED_VALUE"""),6.89)</f>
        <v>6.89</v>
      </c>
      <c r="F749" s="2">
        <f>IFERROR(__xludf.DUMMYFUNCTION("""COMPUTED_VALUE"""),8803563.0)</f>
        <v>8803563</v>
      </c>
    </row>
    <row r="750">
      <c r="A750" s="3">
        <f>IFERROR(__xludf.DUMMYFUNCTION("""COMPUTED_VALUE"""),41444.666666666664)</f>
        <v>41444.66667</v>
      </c>
      <c r="B750" s="2">
        <f>IFERROR(__xludf.DUMMYFUNCTION("""COMPUTED_VALUE"""),6.8)</f>
        <v>6.8</v>
      </c>
      <c r="C750" s="2">
        <f>IFERROR(__xludf.DUMMYFUNCTION("""COMPUTED_VALUE"""),7.11)</f>
        <v>7.11</v>
      </c>
      <c r="D750" s="2">
        <f>IFERROR(__xludf.DUMMYFUNCTION("""COMPUTED_VALUE"""),6.8)</f>
        <v>6.8</v>
      </c>
      <c r="E750" s="2">
        <f>IFERROR(__xludf.DUMMYFUNCTION("""COMPUTED_VALUE"""),6.98)</f>
        <v>6.98</v>
      </c>
      <c r="F750" s="2">
        <f>IFERROR(__xludf.DUMMYFUNCTION("""COMPUTED_VALUE"""),8588734.0)</f>
        <v>8588734</v>
      </c>
    </row>
    <row r="751">
      <c r="A751" s="3">
        <f>IFERROR(__xludf.DUMMYFUNCTION("""COMPUTED_VALUE"""),41445.666666666664)</f>
        <v>41445.66667</v>
      </c>
      <c r="B751" s="2">
        <f>IFERROR(__xludf.DUMMYFUNCTION("""COMPUTED_VALUE"""),6.98)</f>
        <v>6.98</v>
      </c>
      <c r="C751" s="2">
        <f>IFERROR(__xludf.DUMMYFUNCTION("""COMPUTED_VALUE"""),7.14)</f>
        <v>7.14</v>
      </c>
      <c r="D751" s="2">
        <f>IFERROR(__xludf.DUMMYFUNCTION("""COMPUTED_VALUE"""),6.63)</f>
        <v>6.63</v>
      </c>
      <c r="E751" s="2">
        <f>IFERROR(__xludf.DUMMYFUNCTION("""COMPUTED_VALUE"""),6.71)</f>
        <v>6.71</v>
      </c>
      <c r="F751" s="2">
        <f>IFERROR(__xludf.DUMMYFUNCTION("""COMPUTED_VALUE"""),1.0111221E7)</f>
        <v>10111221</v>
      </c>
    </row>
    <row r="752">
      <c r="A752" s="3">
        <f>IFERROR(__xludf.DUMMYFUNCTION("""COMPUTED_VALUE"""),41446.666666666664)</f>
        <v>41446.66667</v>
      </c>
      <c r="B752" s="2">
        <f>IFERROR(__xludf.DUMMYFUNCTION("""COMPUTED_VALUE"""),6.91)</f>
        <v>6.91</v>
      </c>
      <c r="C752" s="2">
        <f>IFERROR(__xludf.DUMMYFUNCTION("""COMPUTED_VALUE"""),6.91)</f>
        <v>6.91</v>
      </c>
      <c r="D752" s="2">
        <f>IFERROR(__xludf.DUMMYFUNCTION("""COMPUTED_VALUE"""),6.5)</f>
        <v>6.5</v>
      </c>
      <c r="E752" s="2">
        <f>IFERROR(__xludf.DUMMYFUNCTION("""COMPUTED_VALUE"""),6.64)</f>
        <v>6.64</v>
      </c>
      <c r="F752" s="2">
        <f>IFERROR(__xludf.DUMMYFUNCTION("""COMPUTED_VALUE"""),1.1718527E7)</f>
        <v>11718527</v>
      </c>
    </row>
    <row r="753">
      <c r="A753" s="3">
        <f>IFERROR(__xludf.DUMMYFUNCTION("""COMPUTED_VALUE"""),41449.666666666664)</f>
        <v>41449.66667</v>
      </c>
      <c r="B753" s="2">
        <f>IFERROR(__xludf.DUMMYFUNCTION("""COMPUTED_VALUE"""),6.43)</f>
        <v>6.43</v>
      </c>
      <c r="C753" s="2">
        <f>IFERROR(__xludf.DUMMYFUNCTION("""COMPUTED_VALUE"""),6.86)</f>
        <v>6.86</v>
      </c>
      <c r="D753" s="2">
        <f>IFERROR(__xludf.DUMMYFUNCTION("""COMPUTED_VALUE"""),6.35)</f>
        <v>6.35</v>
      </c>
      <c r="E753" s="2">
        <f>IFERROR(__xludf.DUMMYFUNCTION("""COMPUTED_VALUE"""),6.77)</f>
        <v>6.77</v>
      </c>
      <c r="F753" s="2">
        <f>IFERROR(__xludf.DUMMYFUNCTION("""COMPUTED_VALUE"""),7127020.0)</f>
        <v>7127020</v>
      </c>
    </row>
    <row r="754">
      <c r="A754" s="3">
        <f>IFERROR(__xludf.DUMMYFUNCTION("""COMPUTED_VALUE"""),41450.666666666664)</f>
        <v>41450.66667</v>
      </c>
      <c r="B754" s="2">
        <f>IFERROR(__xludf.DUMMYFUNCTION("""COMPUTED_VALUE"""),6.87)</f>
        <v>6.87</v>
      </c>
      <c r="C754" s="2">
        <f>IFERROR(__xludf.DUMMYFUNCTION("""COMPUTED_VALUE"""),6.95)</f>
        <v>6.95</v>
      </c>
      <c r="D754" s="2">
        <f>IFERROR(__xludf.DUMMYFUNCTION("""COMPUTED_VALUE"""),6.7)</f>
        <v>6.7</v>
      </c>
      <c r="E754" s="2">
        <f>IFERROR(__xludf.DUMMYFUNCTION("""COMPUTED_VALUE"""),6.83)</f>
        <v>6.83</v>
      </c>
      <c r="F754" s="2">
        <f>IFERROR(__xludf.DUMMYFUNCTION("""COMPUTED_VALUE"""),5850832.0)</f>
        <v>5850832</v>
      </c>
    </row>
    <row r="755">
      <c r="A755" s="3">
        <f>IFERROR(__xludf.DUMMYFUNCTION("""COMPUTED_VALUE"""),41451.666666666664)</f>
        <v>41451.66667</v>
      </c>
      <c r="B755" s="2">
        <f>IFERROR(__xludf.DUMMYFUNCTION("""COMPUTED_VALUE"""),6.92)</f>
        <v>6.92</v>
      </c>
      <c r="C755" s="2">
        <f>IFERROR(__xludf.DUMMYFUNCTION("""COMPUTED_VALUE"""),7.06)</f>
        <v>7.06</v>
      </c>
      <c r="D755" s="2">
        <f>IFERROR(__xludf.DUMMYFUNCTION("""COMPUTED_VALUE"""),6.84)</f>
        <v>6.84</v>
      </c>
      <c r="E755" s="2">
        <f>IFERROR(__xludf.DUMMYFUNCTION("""COMPUTED_VALUE"""),7.05)</f>
        <v>7.05</v>
      </c>
      <c r="F755" s="2">
        <f>IFERROR(__xludf.DUMMYFUNCTION("""COMPUTED_VALUE"""),6610159.0)</f>
        <v>6610159</v>
      </c>
    </row>
    <row r="756">
      <c r="A756" s="3">
        <f>IFERROR(__xludf.DUMMYFUNCTION("""COMPUTED_VALUE"""),41452.666666666664)</f>
        <v>41452.66667</v>
      </c>
      <c r="B756" s="2">
        <f>IFERROR(__xludf.DUMMYFUNCTION("""COMPUTED_VALUE"""),7.11)</f>
        <v>7.11</v>
      </c>
      <c r="C756" s="2">
        <f>IFERROR(__xludf.DUMMYFUNCTION("""COMPUTED_VALUE"""),7.35)</f>
        <v>7.35</v>
      </c>
      <c r="D756" s="2">
        <f>IFERROR(__xludf.DUMMYFUNCTION("""COMPUTED_VALUE"""),7.08)</f>
        <v>7.08</v>
      </c>
      <c r="E756" s="2">
        <f>IFERROR(__xludf.DUMMYFUNCTION("""COMPUTED_VALUE"""),7.28)</f>
        <v>7.28</v>
      </c>
      <c r="F756" s="2">
        <f>IFERROR(__xludf.DUMMYFUNCTION("""COMPUTED_VALUE"""),8750826.0)</f>
        <v>8750826</v>
      </c>
    </row>
    <row r="757">
      <c r="A757" s="3">
        <f>IFERROR(__xludf.DUMMYFUNCTION("""COMPUTED_VALUE"""),41453.666666666664)</f>
        <v>41453.66667</v>
      </c>
      <c r="B757" s="2">
        <f>IFERROR(__xludf.DUMMYFUNCTION("""COMPUTED_VALUE"""),7.24)</f>
        <v>7.24</v>
      </c>
      <c r="C757" s="2">
        <f>IFERROR(__xludf.DUMMYFUNCTION("""COMPUTED_VALUE"""),7.3)</f>
        <v>7.3</v>
      </c>
      <c r="D757" s="2">
        <f>IFERROR(__xludf.DUMMYFUNCTION("""COMPUTED_VALUE"""),7.11)</f>
        <v>7.11</v>
      </c>
      <c r="E757" s="2">
        <f>IFERROR(__xludf.DUMMYFUNCTION("""COMPUTED_VALUE"""),7.16)</f>
        <v>7.16</v>
      </c>
      <c r="F757" s="2">
        <f>IFERROR(__xludf.DUMMYFUNCTION("""COMPUTED_VALUE"""),5750431.0)</f>
        <v>5750431</v>
      </c>
    </row>
    <row r="758">
      <c r="A758" s="3">
        <f>IFERROR(__xludf.DUMMYFUNCTION("""COMPUTED_VALUE"""),41456.666666666664)</f>
        <v>41456.66667</v>
      </c>
      <c r="B758" s="2">
        <f>IFERROR(__xludf.DUMMYFUNCTION("""COMPUTED_VALUE"""),7.29)</f>
        <v>7.29</v>
      </c>
      <c r="C758" s="2">
        <f>IFERROR(__xludf.DUMMYFUNCTION("""COMPUTED_VALUE"""),7.85)</f>
        <v>7.85</v>
      </c>
      <c r="D758" s="2">
        <f>IFERROR(__xludf.DUMMYFUNCTION("""COMPUTED_VALUE"""),7.28)</f>
        <v>7.28</v>
      </c>
      <c r="E758" s="2">
        <f>IFERROR(__xludf.DUMMYFUNCTION("""COMPUTED_VALUE"""),7.81)</f>
        <v>7.81</v>
      </c>
      <c r="F758" s="2">
        <f>IFERROR(__xludf.DUMMYFUNCTION("""COMPUTED_VALUE"""),1.0903601E7)</f>
        <v>10903601</v>
      </c>
    </row>
    <row r="759">
      <c r="A759" s="3">
        <f>IFERROR(__xludf.DUMMYFUNCTION("""COMPUTED_VALUE"""),41457.666666666664)</f>
        <v>41457.66667</v>
      </c>
      <c r="B759" s="2">
        <f>IFERROR(__xludf.DUMMYFUNCTION("""COMPUTED_VALUE"""),7.87)</f>
        <v>7.87</v>
      </c>
      <c r="C759" s="2">
        <f>IFERROR(__xludf.DUMMYFUNCTION("""COMPUTED_VALUE"""),8.13)</f>
        <v>8.13</v>
      </c>
      <c r="D759" s="2">
        <f>IFERROR(__xludf.DUMMYFUNCTION("""COMPUTED_VALUE"""),7.7)</f>
        <v>7.7</v>
      </c>
      <c r="E759" s="2">
        <f>IFERROR(__xludf.DUMMYFUNCTION("""COMPUTED_VALUE"""),7.85)</f>
        <v>7.85</v>
      </c>
      <c r="F759" s="2">
        <f>IFERROR(__xludf.DUMMYFUNCTION("""COMPUTED_VALUE"""),1.2070315E7)</f>
        <v>12070315</v>
      </c>
    </row>
    <row r="760">
      <c r="A760" s="3">
        <f>IFERROR(__xludf.DUMMYFUNCTION("""COMPUTED_VALUE"""),41458.666666666664)</f>
        <v>41458.66667</v>
      </c>
      <c r="B760" s="2">
        <f>IFERROR(__xludf.DUMMYFUNCTION("""COMPUTED_VALUE"""),7.87)</f>
        <v>7.87</v>
      </c>
      <c r="C760" s="2">
        <f>IFERROR(__xludf.DUMMYFUNCTION("""COMPUTED_VALUE"""),7.95)</f>
        <v>7.95</v>
      </c>
      <c r="D760" s="2">
        <f>IFERROR(__xludf.DUMMYFUNCTION("""COMPUTED_VALUE"""),7.62)</f>
        <v>7.62</v>
      </c>
      <c r="E760" s="2">
        <f>IFERROR(__xludf.DUMMYFUNCTION("""COMPUTED_VALUE"""),7.68)</f>
        <v>7.68</v>
      </c>
      <c r="F760" s="2">
        <f>IFERROR(__xludf.DUMMYFUNCTION("""COMPUTED_VALUE"""),4806662.0)</f>
        <v>4806662</v>
      </c>
    </row>
    <row r="761">
      <c r="A761" s="3">
        <f>IFERROR(__xludf.DUMMYFUNCTION("""COMPUTED_VALUE"""),41460.666666666664)</f>
        <v>41460.66667</v>
      </c>
      <c r="B761" s="2">
        <f>IFERROR(__xludf.DUMMYFUNCTION("""COMPUTED_VALUE"""),7.92)</f>
        <v>7.92</v>
      </c>
      <c r="C761" s="2">
        <f>IFERROR(__xludf.DUMMYFUNCTION("""COMPUTED_VALUE"""),8.02)</f>
        <v>8.02</v>
      </c>
      <c r="D761" s="2">
        <f>IFERROR(__xludf.DUMMYFUNCTION("""COMPUTED_VALUE"""),7.71)</f>
        <v>7.71</v>
      </c>
      <c r="E761" s="2">
        <f>IFERROR(__xludf.DUMMYFUNCTION("""COMPUTED_VALUE"""),8.01)</f>
        <v>8.01</v>
      </c>
      <c r="F761" s="2">
        <f>IFERROR(__xludf.DUMMYFUNCTION("""COMPUTED_VALUE"""),6827497.0)</f>
        <v>6827497</v>
      </c>
    </row>
    <row r="762">
      <c r="A762" s="3">
        <f>IFERROR(__xludf.DUMMYFUNCTION("""COMPUTED_VALUE"""),41463.666666666664)</f>
        <v>41463.66667</v>
      </c>
      <c r="B762" s="2">
        <f>IFERROR(__xludf.DUMMYFUNCTION("""COMPUTED_VALUE"""),8.13)</f>
        <v>8.13</v>
      </c>
      <c r="C762" s="2">
        <f>IFERROR(__xludf.DUMMYFUNCTION("""COMPUTED_VALUE"""),8.15)</f>
        <v>8.15</v>
      </c>
      <c r="D762" s="2">
        <f>IFERROR(__xludf.DUMMYFUNCTION("""COMPUTED_VALUE"""),7.92)</f>
        <v>7.92</v>
      </c>
      <c r="E762" s="2">
        <f>IFERROR(__xludf.DUMMYFUNCTION("""COMPUTED_VALUE"""),8.11)</f>
        <v>8.11</v>
      </c>
      <c r="F762" s="2">
        <f>IFERROR(__xludf.DUMMYFUNCTION("""COMPUTED_VALUE"""),7820816.0)</f>
        <v>7820816</v>
      </c>
    </row>
    <row r="763">
      <c r="A763" s="3">
        <f>IFERROR(__xludf.DUMMYFUNCTION("""COMPUTED_VALUE"""),41464.666666666664)</f>
        <v>41464.66667</v>
      </c>
      <c r="B763" s="2">
        <f>IFERROR(__xludf.DUMMYFUNCTION("""COMPUTED_VALUE"""),8.31)</f>
        <v>8.31</v>
      </c>
      <c r="C763" s="2">
        <f>IFERROR(__xludf.DUMMYFUNCTION("""COMPUTED_VALUE"""),8.35)</f>
        <v>8.35</v>
      </c>
      <c r="D763" s="2">
        <f>IFERROR(__xludf.DUMMYFUNCTION("""COMPUTED_VALUE"""),8.13)</f>
        <v>8.13</v>
      </c>
      <c r="E763" s="2">
        <f>IFERROR(__xludf.DUMMYFUNCTION("""COMPUTED_VALUE"""),8.23)</f>
        <v>8.23</v>
      </c>
      <c r="F763" s="2">
        <f>IFERROR(__xludf.DUMMYFUNCTION("""COMPUTED_VALUE"""),8603207.0)</f>
        <v>8603207</v>
      </c>
    </row>
    <row r="764">
      <c r="A764" s="3">
        <f>IFERROR(__xludf.DUMMYFUNCTION("""COMPUTED_VALUE"""),41465.666666666664)</f>
        <v>41465.66667</v>
      </c>
      <c r="B764" s="2">
        <f>IFERROR(__xludf.DUMMYFUNCTION("""COMPUTED_VALUE"""),8.21)</f>
        <v>8.21</v>
      </c>
      <c r="C764" s="2">
        <f>IFERROR(__xludf.DUMMYFUNCTION("""COMPUTED_VALUE"""),8.22)</f>
        <v>8.22</v>
      </c>
      <c r="D764" s="2">
        <f>IFERROR(__xludf.DUMMYFUNCTION("""COMPUTED_VALUE"""),8.05)</f>
        <v>8.05</v>
      </c>
      <c r="E764" s="2">
        <f>IFERROR(__xludf.DUMMYFUNCTION("""COMPUTED_VALUE"""),8.15)</f>
        <v>8.15</v>
      </c>
      <c r="F764" s="2">
        <f>IFERROR(__xludf.DUMMYFUNCTION("""COMPUTED_VALUE"""),5600012.0)</f>
        <v>5600012</v>
      </c>
    </row>
    <row r="765">
      <c r="A765" s="3">
        <f>IFERROR(__xludf.DUMMYFUNCTION("""COMPUTED_VALUE"""),41466.666666666664)</f>
        <v>41466.66667</v>
      </c>
      <c r="B765" s="2">
        <f>IFERROR(__xludf.DUMMYFUNCTION("""COMPUTED_VALUE"""),8.32)</f>
        <v>8.32</v>
      </c>
      <c r="C765" s="2">
        <f>IFERROR(__xludf.DUMMYFUNCTION("""COMPUTED_VALUE"""),8.41)</f>
        <v>8.41</v>
      </c>
      <c r="D765" s="2">
        <f>IFERROR(__xludf.DUMMYFUNCTION("""COMPUTED_VALUE"""),8.16)</f>
        <v>8.16</v>
      </c>
      <c r="E765" s="2">
        <f>IFERROR(__xludf.DUMMYFUNCTION("""COMPUTED_VALUE"""),8.37)</f>
        <v>8.37</v>
      </c>
      <c r="F765" s="2">
        <f>IFERROR(__xludf.DUMMYFUNCTION("""COMPUTED_VALUE"""),7486958.0)</f>
        <v>7486958</v>
      </c>
    </row>
    <row r="766">
      <c r="A766" s="3">
        <f>IFERROR(__xludf.DUMMYFUNCTION("""COMPUTED_VALUE"""),41467.666666666664)</f>
        <v>41467.66667</v>
      </c>
      <c r="B766" s="2">
        <f>IFERROR(__xludf.DUMMYFUNCTION("""COMPUTED_VALUE"""),8.37)</f>
        <v>8.37</v>
      </c>
      <c r="C766" s="2">
        <f>IFERROR(__xludf.DUMMYFUNCTION("""COMPUTED_VALUE"""),8.66)</f>
        <v>8.66</v>
      </c>
      <c r="D766" s="2">
        <f>IFERROR(__xludf.DUMMYFUNCTION("""COMPUTED_VALUE"""),8.3)</f>
        <v>8.3</v>
      </c>
      <c r="E766" s="2">
        <f>IFERROR(__xludf.DUMMYFUNCTION("""COMPUTED_VALUE"""),8.66)</f>
        <v>8.66</v>
      </c>
      <c r="F766" s="2">
        <f>IFERROR(__xludf.DUMMYFUNCTION("""COMPUTED_VALUE"""),1.1349186E7)</f>
        <v>11349186</v>
      </c>
    </row>
    <row r="767">
      <c r="A767" s="3">
        <f>IFERROR(__xludf.DUMMYFUNCTION("""COMPUTED_VALUE"""),41470.666666666664)</f>
        <v>41470.66667</v>
      </c>
      <c r="B767" s="2">
        <f>IFERROR(__xludf.DUMMYFUNCTION("""COMPUTED_VALUE"""),8.87)</f>
        <v>8.87</v>
      </c>
      <c r="C767" s="2">
        <f>IFERROR(__xludf.DUMMYFUNCTION("""COMPUTED_VALUE"""),8.88)</f>
        <v>8.88</v>
      </c>
      <c r="D767" s="2">
        <f>IFERROR(__xludf.DUMMYFUNCTION("""COMPUTED_VALUE"""),8.45)</f>
        <v>8.45</v>
      </c>
      <c r="E767" s="2">
        <f>IFERROR(__xludf.DUMMYFUNCTION("""COMPUTED_VALUE"""),8.48)</f>
        <v>8.48</v>
      </c>
      <c r="F767" s="2">
        <f>IFERROR(__xludf.DUMMYFUNCTION("""COMPUTED_VALUE"""),9924336.0)</f>
        <v>9924336</v>
      </c>
    </row>
    <row r="768">
      <c r="A768" s="3">
        <f>IFERROR(__xludf.DUMMYFUNCTION("""COMPUTED_VALUE"""),41471.666666666664)</f>
        <v>41471.66667</v>
      </c>
      <c r="B768" s="2">
        <f>IFERROR(__xludf.DUMMYFUNCTION("""COMPUTED_VALUE"""),8.42)</f>
        <v>8.42</v>
      </c>
      <c r="C768" s="2">
        <f>IFERROR(__xludf.DUMMYFUNCTION("""COMPUTED_VALUE"""),8.42)</f>
        <v>8.42</v>
      </c>
      <c r="D768" s="2">
        <f>IFERROR(__xludf.DUMMYFUNCTION("""COMPUTED_VALUE"""),7.15)</f>
        <v>7.15</v>
      </c>
      <c r="E768" s="2">
        <f>IFERROR(__xludf.DUMMYFUNCTION("""COMPUTED_VALUE"""),7.27)</f>
        <v>7.27</v>
      </c>
      <c r="F768" s="2">
        <f>IFERROR(__xludf.DUMMYFUNCTION("""COMPUTED_VALUE"""),3.2371868E7)</f>
        <v>32371868</v>
      </c>
    </row>
    <row r="769">
      <c r="A769" s="3">
        <f>IFERROR(__xludf.DUMMYFUNCTION("""COMPUTED_VALUE"""),41472.666666666664)</f>
        <v>41472.66667</v>
      </c>
      <c r="B769" s="2">
        <f>IFERROR(__xludf.DUMMYFUNCTION("""COMPUTED_VALUE"""),7.08)</f>
        <v>7.08</v>
      </c>
      <c r="C769" s="2">
        <f>IFERROR(__xludf.DUMMYFUNCTION("""COMPUTED_VALUE"""),8.11)</f>
        <v>8.11</v>
      </c>
      <c r="D769" s="2">
        <f>IFERROR(__xludf.DUMMYFUNCTION("""COMPUTED_VALUE"""),6.97)</f>
        <v>6.97</v>
      </c>
      <c r="E769" s="2">
        <f>IFERROR(__xludf.DUMMYFUNCTION("""COMPUTED_VALUE"""),8.02)</f>
        <v>8.02</v>
      </c>
      <c r="F769" s="2">
        <f>IFERROR(__xludf.DUMMYFUNCTION("""COMPUTED_VALUE"""),2.6028948E7)</f>
        <v>26028948</v>
      </c>
    </row>
    <row r="770">
      <c r="A770" s="3">
        <f>IFERROR(__xludf.DUMMYFUNCTION("""COMPUTED_VALUE"""),41473.666666666664)</f>
        <v>41473.66667</v>
      </c>
      <c r="B770" s="2">
        <f>IFERROR(__xludf.DUMMYFUNCTION("""COMPUTED_VALUE"""),8.07)</f>
        <v>8.07</v>
      </c>
      <c r="C770" s="2">
        <f>IFERROR(__xludf.DUMMYFUNCTION("""COMPUTED_VALUE"""),8.18)</f>
        <v>8.18</v>
      </c>
      <c r="D770" s="2">
        <f>IFERROR(__xludf.DUMMYFUNCTION("""COMPUTED_VALUE"""),7.75)</f>
        <v>7.75</v>
      </c>
      <c r="E770" s="2">
        <f>IFERROR(__xludf.DUMMYFUNCTION("""COMPUTED_VALUE"""),7.94)</f>
        <v>7.94</v>
      </c>
      <c r="F770" s="2">
        <f>IFERROR(__xludf.DUMMYFUNCTION("""COMPUTED_VALUE"""),1.1407358E7)</f>
        <v>11407358</v>
      </c>
    </row>
    <row r="771">
      <c r="A771" s="3">
        <f>IFERROR(__xludf.DUMMYFUNCTION("""COMPUTED_VALUE"""),41474.666666666664)</f>
        <v>41474.66667</v>
      </c>
      <c r="B771" s="2">
        <f>IFERROR(__xludf.DUMMYFUNCTION("""COMPUTED_VALUE"""),7.9)</f>
        <v>7.9</v>
      </c>
      <c r="C771" s="2">
        <f>IFERROR(__xludf.DUMMYFUNCTION("""COMPUTED_VALUE"""),8.04)</f>
        <v>8.04</v>
      </c>
      <c r="D771" s="2">
        <f>IFERROR(__xludf.DUMMYFUNCTION("""COMPUTED_VALUE"""),7.77)</f>
        <v>7.77</v>
      </c>
      <c r="E771" s="2">
        <f>IFERROR(__xludf.DUMMYFUNCTION("""COMPUTED_VALUE"""),7.98)</f>
        <v>7.98</v>
      </c>
      <c r="F771" s="2">
        <f>IFERROR(__xludf.DUMMYFUNCTION("""COMPUTED_VALUE"""),5891439.0)</f>
        <v>5891439</v>
      </c>
    </row>
    <row r="772">
      <c r="A772" s="3">
        <f>IFERROR(__xludf.DUMMYFUNCTION("""COMPUTED_VALUE"""),41477.666666666664)</f>
        <v>41477.66667</v>
      </c>
      <c r="B772" s="2">
        <f>IFERROR(__xludf.DUMMYFUNCTION("""COMPUTED_VALUE"""),8.02)</f>
        <v>8.02</v>
      </c>
      <c r="C772" s="2">
        <f>IFERROR(__xludf.DUMMYFUNCTION("""COMPUTED_VALUE"""),8.45)</f>
        <v>8.45</v>
      </c>
      <c r="D772" s="2">
        <f>IFERROR(__xludf.DUMMYFUNCTION("""COMPUTED_VALUE"""),7.99)</f>
        <v>7.99</v>
      </c>
      <c r="E772" s="2">
        <f>IFERROR(__xludf.DUMMYFUNCTION("""COMPUTED_VALUE"""),8.16)</f>
        <v>8.16</v>
      </c>
      <c r="F772" s="2">
        <f>IFERROR(__xludf.DUMMYFUNCTION("""COMPUTED_VALUE"""),9804810.0)</f>
        <v>9804810</v>
      </c>
    </row>
    <row r="773">
      <c r="A773" s="3">
        <f>IFERROR(__xludf.DUMMYFUNCTION("""COMPUTED_VALUE"""),41478.666666666664)</f>
        <v>41478.66667</v>
      </c>
      <c r="B773" s="2">
        <f>IFERROR(__xludf.DUMMYFUNCTION("""COMPUTED_VALUE"""),8.27)</f>
        <v>8.27</v>
      </c>
      <c r="C773" s="2">
        <f>IFERROR(__xludf.DUMMYFUNCTION("""COMPUTED_VALUE"""),8.37)</f>
        <v>8.37</v>
      </c>
      <c r="D773" s="2">
        <f>IFERROR(__xludf.DUMMYFUNCTION("""COMPUTED_VALUE"""),8.12)</f>
        <v>8.12</v>
      </c>
      <c r="E773" s="2">
        <f>IFERROR(__xludf.DUMMYFUNCTION("""COMPUTED_VALUE"""),8.18)</f>
        <v>8.18</v>
      </c>
      <c r="F773" s="2">
        <f>IFERROR(__xludf.DUMMYFUNCTION("""COMPUTED_VALUE"""),7740469.0)</f>
        <v>7740469</v>
      </c>
    </row>
    <row r="774">
      <c r="A774" s="3">
        <f>IFERROR(__xludf.DUMMYFUNCTION("""COMPUTED_VALUE"""),41479.666666666664)</f>
        <v>41479.66667</v>
      </c>
      <c r="B774" s="2">
        <f>IFERROR(__xludf.DUMMYFUNCTION("""COMPUTED_VALUE"""),8.3)</f>
        <v>8.3</v>
      </c>
      <c r="C774" s="2">
        <f>IFERROR(__xludf.DUMMYFUNCTION("""COMPUTED_VALUE"""),8.3)</f>
        <v>8.3</v>
      </c>
      <c r="D774" s="2">
        <f>IFERROR(__xludf.DUMMYFUNCTION("""COMPUTED_VALUE"""),7.97)</f>
        <v>7.97</v>
      </c>
      <c r="E774" s="2">
        <f>IFERROR(__xludf.DUMMYFUNCTION("""COMPUTED_VALUE"""),8.11)</f>
        <v>8.11</v>
      </c>
      <c r="F774" s="2">
        <f>IFERROR(__xludf.DUMMYFUNCTION("""COMPUTED_VALUE"""),6871372.0)</f>
        <v>6871372</v>
      </c>
    </row>
    <row r="775">
      <c r="A775" s="3">
        <f>IFERROR(__xludf.DUMMYFUNCTION("""COMPUTED_VALUE"""),41480.666666666664)</f>
        <v>41480.66667</v>
      </c>
      <c r="B775" s="2">
        <f>IFERROR(__xludf.DUMMYFUNCTION("""COMPUTED_VALUE"""),8.03)</f>
        <v>8.03</v>
      </c>
      <c r="C775" s="2">
        <f>IFERROR(__xludf.DUMMYFUNCTION("""COMPUTED_VALUE"""),8.32)</f>
        <v>8.32</v>
      </c>
      <c r="D775" s="2">
        <f>IFERROR(__xludf.DUMMYFUNCTION("""COMPUTED_VALUE"""),8.01)</f>
        <v>8.01</v>
      </c>
      <c r="E775" s="2">
        <f>IFERROR(__xludf.DUMMYFUNCTION("""COMPUTED_VALUE"""),8.27)</f>
        <v>8.27</v>
      </c>
      <c r="F775" s="2">
        <f>IFERROR(__xludf.DUMMYFUNCTION("""COMPUTED_VALUE"""),5287144.0)</f>
        <v>5287144</v>
      </c>
    </row>
    <row r="776">
      <c r="A776" s="3">
        <f>IFERROR(__xludf.DUMMYFUNCTION("""COMPUTED_VALUE"""),41481.666666666664)</f>
        <v>41481.66667</v>
      </c>
      <c r="B776" s="2">
        <f>IFERROR(__xludf.DUMMYFUNCTION("""COMPUTED_VALUE"""),8.54)</f>
        <v>8.54</v>
      </c>
      <c r="C776" s="2">
        <f>IFERROR(__xludf.DUMMYFUNCTION("""COMPUTED_VALUE"""),8.71)</f>
        <v>8.71</v>
      </c>
      <c r="D776" s="2">
        <f>IFERROR(__xludf.DUMMYFUNCTION("""COMPUTED_VALUE"""),8.44)</f>
        <v>8.44</v>
      </c>
      <c r="E776" s="2">
        <f>IFERROR(__xludf.DUMMYFUNCTION("""COMPUTED_VALUE"""),8.63)</f>
        <v>8.63</v>
      </c>
      <c r="F776" s="2">
        <f>IFERROR(__xludf.DUMMYFUNCTION("""COMPUTED_VALUE"""),9640703.0)</f>
        <v>9640703</v>
      </c>
    </row>
    <row r="777">
      <c r="A777" s="3">
        <f>IFERROR(__xludf.DUMMYFUNCTION("""COMPUTED_VALUE"""),41484.666666666664)</f>
        <v>41484.66667</v>
      </c>
      <c r="B777" s="2">
        <f>IFERROR(__xludf.DUMMYFUNCTION("""COMPUTED_VALUE"""),8.62)</f>
        <v>8.62</v>
      </c>
      <c r="C777" s="2">
        <f>IFERROR(__xludf.DUMMYFUNCTION("""COMPUTED_VALUE"""),9.02)</f>
        <v>9.02</v>
      </c>
      <c r="D777" s="2">
        <f>IFERROR(__xludf.DUMMYFUNCTION("""COMPUTED_VALUE"""),8.55)</f>
        <v>8.55</v>
      </c>
      <c r="E777" s="2">
        <f>IFERROR(__xludf.DUMMYFUNCTION("""COMPUTED_VALUE"""),8.97)</f>
        <v>8.97</v>
      </c>
      <c r="F777" s="2">
        <f>IFERROR(__xludf.DUMMYFUNCTION("""COMPUTED_VALUE"""),9686072.0)</f>
        <v>9686072</v>
      </c>
    </row>
    <row r="778">
      <c r="A778" s="3">
        <f>IFERROR(__xludf.DUMMYFUNCTION("""COMPUTED_VALUE"""),41485.666666666664)</f>
        <v>41485.66667</v>
      </c>
      <c r="B778" s="2">
        <f>IFERROR(__xludf.DUMMYFUNCTION("""COMPUTED_VALUE"""),9.0)</f>
        <v>9</v>
      </c>
      <c r="C778" s="2">
        <f>IFERROR(__xludf.DUMMYFUNCTION("""COMPUTED_VALUE"""),9.17)</f>
        <v>9.17</v>
      </c>
      <c r="D778" s="2">
        <f>IFERROR(__xludf.DUMMYFUNCTION("""COMPUTED_VALUE"""),8.55)</f>
        <v>8.55</v>
      </c>
      <c r="E778" s="2">
        <f>IFERROR(__xludf.DUMMYFUNCTION("""COMPUTED_VALUE"""),8.78)</f>
        <v>8.78</v>
      </c>
      <c r="F778" s="2">
        <f>IFERROR(__xludf.DUMMYFUNCTION("""COMPUTED_VALUE"""),1.3130267E7)</f>
        <v>13130267</v>
      </c>
    </row>
    <row r="779">
      <c r="A779" s="3">
        <f>IFERROR(__xludf.DUMMYFUNCTION("""COMPUTED_VALUE"""),41486.666666666664)</f>
        <v>41486.66667</v>
      </c>
      <c r="B779" s="2">
        <f>IFERROR(__xludf.DUMMYFUNCTION("""COMPUTED_VALUE"""),8.84)</f>
        <v>8.84</v>
      </c>
      <c r="C779" s="2">
        <f>IFERROR(__xludf.DUMMYFUNCTION("""COMPUTED_VALUE"""),9.0)</f>
        <v>9</v>
      </c>
      <c r="D779" s="2">
        <f>IFERROR(__xludf.DUMMYFUNCTION("""COMPUTED_VALUE"""),8.76)</f>
        <v>8.76</v>
      </c>
      <c r="E779" s="2">
        <f>IFERROR(__xludf.DUMMYFUNCTION("""COMPUTED_VALUE"""),8.95)</f>
        <v>8.95</v>
      </c>
      <c r="F779" s="2">
        <f>IFERROR(__xludf.DUMMYFUNCTION("""COMPUTED_VALUE"""),6351637.0)</f>
        <v>6351637</v>
      </c>
    </row>
    <row r="780">
      <c r="A780" s="3">
        <f>IFERROR(__xludf.DUMMYFUNCTION("""COMPUTED_VALUE"""),41487.666666666664)</f>
        <v>41487.66667</v>
      </c>
      <c r="B780" s="2">
        <f>IFERROR(__xludf.DUMMYFUNCTION("""COMPUTED_VALUE"""),9.0)</f>
        <v>9</v>
      </c>
      <c r="C780" s="2">
        <f>IFERROR(__xludf.DUMMYFUNCTION("""COMPUTED_VALUE"""),9.1)</f>
        <v>9.1</v>
      </c>
      <c r="D780" s="2">
        <f>IFERROR(__xludf.DUMMYFUNCTION("""COMPUTED_VALUE"""),8.84)</f>
        <v>8.84</v>
      </c>
      <c r="E780" s="2">
        <f>IFERROR(__xludf.DUMMYFUNCTION("""COMPUTED_VALUE"""),9.04)</f>
        <v>9.04</v>
      </c>
      <c r="F780" s="2">
        <f>IFERROR(__xludf.DUMMYFUNCTION("""COMPUTED_VALUE"""),5323599.0)</f>
        <v>5323599</v>
      </c>
    </row>
    <row r="781">
      <c r="A781" s="3">
        <f>IFERROR(__xludf.DUMMYFUNCTION("""COMPUTED_VALUE"""),41488.666666666664)</f>
        <v>41488.66667</v>
      </c>
      <c r="B781" s="2">
        <f>IFERROR(__xludf.DUMMYFUNCTION("""COMPUTED_VALUE"""),9.0)</f>
        <v>9</v>
      </c>
      <c r="C781" s="2">
        <f>IFERROR(__xludf.DUMMYFUNCTION("""COMPUTED_VALUE"""),9.22)</f>
        <v>9.22</v>
      </c>
      <c r="D781" s="2">
        <f>IFERROR(__xludf.DUMMYFUNCTION("""COMPUTED_VALUE"""),8.91)</f>
        <v>8.91</v>
      </c>
      <c r="E781" s="2">
        <f>IFERROR(__xludf.DUMMYFUNCTION("""COMPUTED_VALUE"""),9.2)</f>
        <v>9.2</v>
      </c>
      <c r="F781" s="2">
        <f>IFERROR(__xludf.DUMMYFUNCTION("""COMPUTED_VALUE"""),6269838.0)</f>
        <v>6269838</v>
      </c>
    </row>
    <row r="782">
      <c r="A782" s="3">
        <f>IFERROR(__xludf.DUMMYFUNCTION("""COMPUTED_VALUE"""),41491.666666666664)</f>
        <v>41491.66667</v>
      </c>
      <c r="B782" s="2">
        <f>IFERROR(__xludf.DUMMYFUNCTION("""COMPUTED_VALUE"""),9.34)</f>
        <v>9.34</v>
      </c>
      <c r="C782" s="2">
        <f>IFERROR(__xludf.DUMMYFUNCTION("""COMPUTED_VALUE"""),9.66)</f>
        <v>9.66</v>
      </c>
      <c r="D782" s="2">
        <f>IFERROR(__xludf.DUMMYFUNCTION("""COMPUTED_VALUE"""),9.31)</f>
        <v>9.31</v>
      </c>
      <c r="E782" s="2">
        <f>IFERROR(__xludf.DUMMYFUNCTION("""COMPUTED_VALUE"""),9.65)</f>
        <v>9.65</v>
      </c>
      <c r="F782" s="2">
        <f>IFERROR(__xludf.DUMMYFUNCTION("""COMPUTED_VALUE"""),1.0200629E7)</f>
        <v>10200629</v>
      </c>
    </row>
    <row r="783">
      <c r="A783" s="3">
        <f>IFERROR(__xludf.DUMMYFUNCTION("""COMPUTED_VALUE"""),41492.666666666664)</f>
        <v>41492.66667</v>
      </c>
      <c r="B783" s="2">
        <f>IFERROR(__xludf.DUMMYFUNCTION("""COMPUTED_VALUE"""),9.66)</f>
        <v>9.66</v>
      </c>
      <c r="C783" s="2">
        <f>IFERROR(__xludf.DUMMYFUNCTION("""COMPUTED_VALUE"""),9.72)</f>
        <v>9.72</v>
      </c>
      <c r="D783" s="2">
        <f>IFERROR(__xludf.DUMMYFUNCTION("""COMPUTED_VALUE"""),9.41)</f>
        <v>9.41</v>
      </c>
      <c r="E783" s="2">
        <f>IFERROR(__xludf.DUMMYFUNCTION("""COMPUTED_VALUE"""),9.48)</f>
        <v>9.48</v>
      </c>
      <c r="F783" s="2">
        <f>IFERROR(__xludf.DUMMYFUNCTION("""COMPUTED_VALUE"""),9261092.0)</f>
        <v>9261092</v>
      </c>
    </row>
    <row r="784">
      <c r="A784" s="3">
        <f>IFERROR(__xludf.DUMMYFUNCTION("""COMPUTED_VALUE"""),41493.666666666664)</f>
        <v>41493.66667</v>
      </c>
      <c r="B784" s="2">
        <f>IFERROR(__xludf.DUMMYFUNCTION("""COMPUTED_VALUE"""),9.46)</f>
        <v>9.46</v>
      </c>
      <c r="C784" s="2">
        <f>IFERROR(__xludf.DUMMYFUNCTION("""COMPUTED_VALUE"""),9.46)</f>
        <v>9.46</v>
      </c>
      <c r="D784" s="2">
        <f>IFERROR(__xludf.DUMMYFUNCTION("""COMPUTED_VALUE"""),8.82)</f>
        <v>8.82</v>
      </c>
      <c r="E784" s="2">
        <f>IFERROR(__xludf.DUMMYFUNCTION("""COMPUTED_VALUE"""),8.95)</f>
        <v>8.95</v>
      </c>
      <c r="F784" s="2">
        <f>IFERROR(__xludf.DUMMYFUNCTION("""COMPUTED_VALUE"""),1.8212138E7)</f>
        <v>18212138</v>
      </c>
    </row>
    <row r="785">
      <c r="A785" s="3">
        <f>IFERROR(__xludf.DUMMYFUNCTION("""COMPUTED_VALUE"""),41494.666666666664)</f>
        <v>41494.66667</v>
      </c>
      <c r="B785" s="2">
        <f>IFERROR(__xludf.DUMMYFUNCTION("""COMPUTED_VALUE"""),10.3)</f>
        <v>10.3</v>
      </c>
      <c r="C785" s="2">
        <f>IFERROR(__xludf.DUMMYFUNCTION("""COMPUTED_VALUE"""),10.59)</f>
        <v>10.59</v>
      </c>
      <c r="D785" s="2">
        <f>IFERROR(__xludf.DUMMYFUNCTION("""COMPUTED_VALUE"""),10.03)</f>
        <v>10.03</v>
      </c>
      <c r="E785" s="2">
        <f>IFERROR(__xludf.DUMMYFUNCTION("""COMPUTED_VALUE"""),10.23)</f>
        <v>10.23</v>
      </c>
      <c r="F785" s="2">
        <f>IFERROR(__xludf.DUMMYFUNCTION("""COMPUTED_VALUE"""),2.7246764E7)</f>
        <v>27246764</v>
      </c>
    </row>
    <row r="786">
      <c r="A786" s="3">
        <f>IFERROR(__xludf.DUMMYFUNCTION("""COMPUTED_VALUE"""),41495.666666666664)</f>
        <v>41495.66667</v>
      </c>
      <c r="B786" s="2">
        <f>IFERROR(__xludf.DUMMYFUNCTION("""COMPUTED_VALUE"""),10.2)</f>
        <v>10.2</v>
      </c>
      <c r="C786" s="2">
        <f>IFERROR(__xludf.DUMMYFUNCTION("""COMPUTED_VALUE"""),10.4)</f>
        <v>10.4</v>
      </c>
      <c r="D786" s="2">
        <f>IFERROR(__xludf.DUMMYFUNCTION("""COMPUTED_VALUE"""),10.08)</f>
        <v>10.08</v>
      </c>
      <c r="E786" s="2">
        <f>IFERROR(__xludf.DUMMYFUNCTION("""COMPUTED_VALUE"""),10.2)</f>
        <v>10.2</v>
      </c>
      <c r="F786" s="2">
        <f>IFERROR(__xludf.DUMMYFUNCTION("""COMPUTED_VALUE"""),8936029.0)</f>
        <v>8936029</v>
      </c>
    </row>
    <row r="787">
      <c r="A787" s="3">
        <f>IFERROR(__xludf.DUMMYFUNCTION("""COMPUTED_VALUE"""),41498.666666666664)</f>
        <v>41498.66667</v>
      </c>
      <c r="B787" s="2">
        <f>IFERROR(__xludf.DUMMYFUNCTION("""COMPUTED_VALUE"""),9.96)</f>
        <v>9.96</v>
      </c>
      <c r="C787" s="2">
        <f>IFERROR(__xludf.DUMMYFUNCTION("""COMPUTED_VALUE"""),10.03)</f>
        <v>10.03</v>
      </c>
      <c r="D787" s="2">
        <f>IFERROR(__xludf.DUMMYFUNCTION("""COMPUTED_VALUE"""),9.47)</f>
        <v>9.47</v>
      </c>
      <c r="E787" s="2">
        <f>IFERROR(__xludf.DUMMYFUNCTION("""COMPUTED_VALUE"""),9.83)</f>
        <v>9.83</v>
      </c>
      <c r="F787" s="2">
        <f>IFERROR(__xludf.DUMMYFUNCTION("""COMPUTED_VALUE"""),1.4912175E7)</f>
        <v>14912175</v>
      </c>
    </row>
    <row r="788">
      <c r="A788" s="3">
        <f>IFERROR(__xludf.DUMMYFUNCTION("""COMPUTED_VALUE"""),41499.666666666664)</f>
        <v>41499.66667</v>
      </c>
      <c r="B788" s="2">
        <f>IFERROR(__xludf.DUMMYFUNCTION("""COMPUTED_VALUE"""),9.97)</f>
        <v>9.97</v>
      </c>
      <c r="C788" s="2">
        <f>IFERROR(__xludf.DUMMYFUNCTION("""COMPUTED_VALUE"""),9.99)</f>
        <v>9.99</v>
      </c>
      <c r="D788" s="2">
        <f>IFERROR(__xludf.DUMMYFUNCTION("""COMPUTED_VALUE"""),9.63)</f>
        <v>9.63</v>
      </c>
      <c r="E788" s="2">
        <f>IFERROR(__xludf.DUMMYFUNCTION("""COMPUTED_VALUE"""),9.7)</f>
        <v>9.7</v>
      </c>
      <c r="F788" s="2">
        <f>IFERROR(__xludf.DUMMYFUNCTION("""COMPUTED_VALUE"""),8748863.0)</f>
        <v>8748863</v>
      </c>
    </row>
    <row r="789">
      <c r="A789" s="3">
        <f>IFERROR(__xludf.DUMMYFUNCTION("""COMPUTED_VALUE"""),41500.666666666664)</f>
        <v>41500.66667</v>
      </c>
      <c r="B789" s="2">
        <f>IFERROR(__xludf.DUMMYFUNCTION("""COMPUTED_VALUE"""),9.51)</f>
        <v>9.51</v>
      </c>
      <c r="C789" s="2">
        <f>IFERROR(__xludf.DUMMYFUNCTION("""COMPUTED_VALUE"""),9.66)</f>
        <v>9.66</v>
      </c>
      <c r="D789" s="2">
        <f>IFERROR(__xludf.DUMMYFUNCTION("""COMPUTED_VALUE"""),9.2)</f>
        <v>9.2</v>
      </c>
      <c r="E789" s="2">
        <f>IFERROR(__xludf.DUMMYFUNCTION("""COMPUTED_VALUE"""),9.29)</f>
        <v>9.29</v>
      </c>
      <c r="F789" s="2">
        <f>IFERROR(__xludf.DUMMYFUNCTION("""COMPUTED_VALUE"""),1.1693743E7)</f>
        <v>11693743</v>
      </c>
    </row>
    <row r="790">
      <c r="A790" s="3">
        <f>IFERROR(__xludf.DUMMYFUNCTION("""COMPUTED_VALUE"""),41501.666666666664)</f>
        <v>41501.66667</v>
      </c>
      <c r="B790" s="2">
        <f>IFERROR(__xludf.DUMMYFUNCTION("""COMPUTED_VALUE"""),9.1)</f>
        <v>9.1</v>
      </c>
      <c r="C790" s="2">
        <f>IFERROR(__xludf.DUMMYFUNCTION("""COMPUTED_VALUE"""),9.57)</f>
        <v>9.57</v>
      </c>
      <c r="D790" s="2">
        <f>IFERROR(__xludf.DUMMYFUNCTION("""COMPUTED_VALUE"""),9.0)</f>
        <v>9</v>
      </c>
      <c r="E790" s="2">
        <f>IFERROR(__xludf.DUMMYFUNCTION("""COMPUTED_VALUE"""),9.31)</f>
        <v>9.31</v>
      </c>
      <c r="F790" s="2">
        <f>IFERROR(__xludf.DUMMYFUNCTION("""COMPUTED_VALUE"""),1.0188877E7)</f>
        <v>10188877</v>
      </c>
    </row>
    <row r="791">
      <c r="A791" s="3">
        <f>IFERROR(__xludf.DUMMYFUNCTION("""COMPUTED_VALUE"""),41502.666666666664)</f>
        <v>41502.66667</v>
      </c>
      <c r="B791" s="2">
        <f>IFERROR(__xludf.DUMMYFUNCTION("""COMPUTED_VALUE"""),9.47)</f>
        <v>9.47</v>
      </c>
      <c r="C791" s="2">
        <f>IFERROR(__xludf.DUMMYFUNCTION("""COMPUTED_VALUE"""),9.59)</f>
        <v>9.59</v>
      </c>
      <c r="D791" s="2">
        <f>IFERROR(__xludf.DUMMYFUNCTION("""COMPUTED_VALUE"""),9.4)</f>
        <v>9.4</v>
      </c>
      <c r="E791" s="2">
        <f>IFERROR(__xludf.DUMMYFUNCTION("""COMPUTED_VALUE"""),9.47)</f>
        <v>9.47</v>
      </c>
      <c r="F791" s="2">
        <f>IFERROR(__xludf.DUMMYFUNCTION("""COMPUTED_VALUE"""),7108086.0)</f>
        <v>7108086</v>
      </c>
    </row>
    <row r="792">
      <c r="A792" s="3">
        <f>IFERROR(__xludf.DUMMYFUNCTION("""COMPUTED_VALUE"""),41505.666666666664)</f>
        <v>41505.66667</v>
      </c>
      <c r="B792" s="2">
        <f>IFERROR(__xludf.DUMMYFUNCTION("""COMPUTED_VALUE"""),9.56)</f>
        <v>9.56</v>
      </c>
      <c r="C792" s="2">
        <f>IFERROR(__xludf.DUMMYFUNCTION("""COMPUTED_VALUE"""),9.83)</f>
        <v>9.83</v>
      </c>
      <c r="D792" s="2">
        <f>IFERROR(__xludf.DUMMYFUNCTION("""COMPUTED_VALUE"""),9.52)</f>
        <v>9.52</v>
      </c>
      <c r="E792" s="2">
        <f>IFERROR(__xludf.DUMMYFUNCTION("""COMPUTED_VALUE"""),9.66)</f>
        <v>9.66</v>
      </c>
      <c r="F792" s="2">
        <f>IFERROR(__xludf.DUMMYFUNCTION("""COMPUTED_VALUE"""),8037640.0)</f>
        <v>8037640</v>
      </c>
    </row>
    <row r="793">
      <c r="A793" s="3">
        <f>IFERROR(__xludf.DUMMYFUNCTION("""COMPUTED_VALUE"""),41506.666666666664)</f>
        <v>41506.66667</v>
      </c>
      <c r="B793" s="2">
        <f>IFERROR(__xludf.DUMMYFUNCTION("""COMPUTED_VALUE"""),9.92)</f>
        <v>9.92</v>
      </c>
      <c r="C793" s="2">
        <f>IFERROR(__xludf.DUMMYFUNCTION("""COMPUTED_VALUE"""),9.99)</f>
        <v>9.99</v>
      </c>
      <c r="D793" s="2">
        <f>IFERROR(__xludf.DUMMYFUNCTION("""COMPUTED_VALUE"""),9.8)</f>
        <v>9.8</v>
      </c>
      <c r="E793" s="2">
        <f>IFERROR(__xludf.DUMMYFUNCTION("""COMPUTED_VALUE"""),9.97)</f>
        <v>9.97</v>
      </c>
      <c r="F793" s="2">
        <f>IFERROR(__xludf.DUMMYFUNCTION("""COMPUTED_VALUE"""),6418108.0)</f>
        <v>6418108</v>
      </c>
    </row>
    <row r="794">
      <c r="A794" s="3">
        <f>IFERROR(__xludf.DUMMYFUNCTION("""COMPUTED_VALUE"""),41507.666666666664)</f>
        <v>41507.66667</v>
      </c>
      <c r="B794" s="2">
        <f>IFERROR(__xludf.DUMMYFUNCTION("""COMPUTED_VALUE"""),10.0)</f>
        <v>10</v>
      </c>
      <c r="C794" s="2">
        <f>IFERROR(__xludf.DUMMYFUNCTION("""COMPUTED_VALUE"""),10.02)</f>
        <v>10.02</v>
      </c>
      <c r="D794" s="2">
        <f>IFERROR(__xludf.DUMMYFUNCTION("""COMPUTED_VALUE"""),9.75)</f>
        <v>9.75</v>
      </c>
      <c r="E794" s="2">
        <f>IFERROR(__xludf.DUMMYFUNCTION("""COMPUTED_VALUE"""),9.86)</f>
        <v>9.86</v>
      </c>
      <c r="F794" s="2">
        <f>IFERROR(__xludf.DUMMYFUNCTION("""COMPUTED_VALUE"""),6266262.0)</f>
        <v>6266262</v>
      </c>
    </row>
    <row r="795">
      <c r="A795" s="3">
        <f>IFERROR(__xludf.DUMMYFUNCTION("""COMPUTED_VALUE"""),41508.666666666664)</f>
        <v>41508.66667</v>
      </c>
      <c r="B795" s="2">
        <f>IFERROR(__xludf.DUMMYFUNCTION("""COMPUTED_VALUE"""),9.95)</f>
        <v>9.95</v>
      </c>
      <c r="C795" s="2">
        <f>IFERROR(__xludf.DUMMYFUNCTION("""COMPUTED_VALUE"""),10.5)</f>
        <v>10.5</v>
      </c>
      <c r="D795" s="2">
        <f>IFERROR(__xludf.DUMMYFUNCTION("""COMPUTED_VALUE"""),9.88)</f>
        <v>9.88</v>
      </c>
      <c r="E795" s="2">
        <f>IFERROR(__xludf.DUMMYFUNCTION("""COMPUTED_VALUE"""),10.47)</f>
        <v>10.47</v>
      </c>
      <c r="F795" s="2">
        <f>IFERROR(__xludf.DUMMYFUNCTION("""COMPUTED_VALUE"""),1.0592391E7)</f>
        <v>10592391</v>
      </c>
    </row>
    <row r="796">
      <c r="A796" s="3">
        <f>IFERROR(__xludf.DUMMYFUNCTION("""COMPUTED_VALUE"""),41509.666666666664)</f>
        <v>41509.66667</v>
      </c>
      <c r="B796" s="2">
        <f>IFERROR(__xludf.DUMMYFUNCTION("""COMPUTED_VALUE"""),10.47)</f>
        <v>10.47</v>
      </c>
      <c r="C796" s="2">
        <f>IFERROR(__xludf.DUMMYFUNCTION("""COMPUTED_VALUE"""),10.82)</f>
        <v>10.82</v>
      </c>
      <c r="D796" s="2">
        <f>IFERROR(__xludf.DUMMYFUNCTION("""COMPUTED_VALUE"""),10.33)</f>
        <v>10.33</v>
      </c>
      <c r="E796" s="2">
        <f>IFERROR(__xludf.DUMMYFUNCTION("""COMPUTED_VALUE"""),10.79)</f>
        <v>10.79</v>
      </c>
      <c r="F796" s="2">
        <f>IFERROR(__xludf.DUMMYFUNCTION("""COMPUTED_VALUE"""),1.2931842E7)</f>
        <v>12931842</v>
      </c>
    </row>
    <row r="797">
      <c r="A797" s="3">
        <f>IFERROR(__xludf.DUMMYFUNCTION("""COMPUTED_VALUE"""),41512.666666666664)</f>
        <v>41512.66667</v>
      </c>
      <c r="B797" s="2">
        <f>IFERROR(__xludf.DUMMYFUNCTION("""COMPUTED_VALUE"""),11.03)</f>
        <v>11.03</v>
      </c>
      <c r="C797" s="2">
        <f>IFERROR(__xludf.DUMMYFUNCTION("""COMPUTED_VALUE"""),11.53)</f>
        <v>11.53</v>
      </c>
      <c r="D797" s="2">
        <f>IFERROR(__xludf.DUMMYFUNCTION("""COMPUTED_VALUE"""),10.68)</f>
        <v>10.68</v>
      </c>
      <c r="E797" s="2">
        <f>IFERROR(__xludf.DUMMYFUNCTION("""COMPUTED_VALUE"""),10.95)</f>
        <v>10.95</v>
      </c>
      <c r="F797" s="2">
        <f>IFERROR(__xludf.DUMMYFUNCTION("""COMPUTED_VALUE"""),2.4171096E7)</f>
        <v>24171096</v>
      </c>
    </row>
    <row r="798">
      <c r="A798" s="3">
        <f>IFERROR(__xludf.DUMMYFUNCTION("""COMPUTED_VALUE"""),41513.666666666664)</f>
        <v>41513.66667</v>
      </c>
      <c r="B798" s="2">
        <f>IFERROR(__xludf.DUMMYFUNCTION("""COMPUTED_VALUE"""),10.83)</f>
        <v>10.83</v>
      </c>
      <c r="C798" s="2">
        <f>IFERROR(__xludf.DUMMYFUNCTION("""COMPUTED_VALUE"""),11.25)</f>
        <v>11.25</v>
      </c>
      <c r="D798" s="2">
        <f>IFERROR(__xludf.DUMMYFUNCTION("""COMPUTED_VALUE"""),10.73)</f>
        <v>10.73</v>
      </c>
      <c r="E798" s="2">
        <f>IFERROR(__xludf.DUMMYFUNCTION("""COMPUTED_VALUE"""),11.13)</f>
        <v>11.13</v>
      </c>
      <c r="F798" s="2">
        <f>IFERROR(__xludf.DUMMYFUNCTION("""COMPUTED_VALUE"""),1.7566816E7)</f>
        <v>17566816</v>
      </c>
    </row>
    <row r="799">
      <c r="A799" s="3">
        <f>IFERROR(__xludf.DUMMYFUNCTION("""COMPUTED_VALUE"""),41514.666666666664)</f>
        <v>41514.66667</v>
      </c>
      <c r="B799" s="2">
        <f>IFERROR(__xludf.DUMMYFUNCTION("""COMPUTED_VALUE"""),11.28)</f>
        <v>11.28</v>
      </c>
      <c r="C799" s="2">
        <f>IFERROR(__xludf.DUMMYFUNCTION("""COMPUTED_VALUE"""),11.43)</f>
        <v>11.43</v>
      </c>
      <c r="D799" s="2">
        <f>IFERROR(__xludf.DUMMYFUNCTION("""COMPUTED_VALUE"""),10.88)</f>
        <v>10.88</v>
      </c>
      <c r="E799" s="2">
        <f>IFERROR(__xludf.DUMMYFUNCTION("""COMPUTED_VALUE"""),11.1)</f>
        <v>11.1</v>
      </c>
      <c r="F799" s="2">
        <f>IFERROR(__xludf.DUMMYFUNCTION("""COMPUTED_VALUE"""),1.4740006E7)</f>
        <v>14740006</v>
      </c>
    </row>
    <row r="800">
      <c r="A800" s="3">
        <f>IFERROR(__xludf.DUMMYFUNCTION("""COMPUTED_VALUE"""),41515.666666666664)</f>
        <v>41515.66667</v>
      </c>
      <c r="B800" s="2">
        <f>IFERROR(__xludf.DUMMYFUNCTION("""COMPUTED_VALUE"""),10.96)</f>
        <v>10.96</v>
      </c>
      <c r="C800" s="2">
        <f>IFERROR(__xludf.DUMMYFUNCTION("""COMPUTED_VALUE"""),11.18)</f>
        <v>11.18</v>
      </c>
      <c r="D800" s="2">
        <f>IFERROR(__xludf.DUMMYFUNCTION("""COMPUTED_VALUE"""),10.83)</f>
        <v>10.83</v>
      </c>
      <c r="E800" s="2">
        <f>IFERROR(__xludf.DUMMYFUNCTION("""COMPUTED_VALUE"""),11.07)</f>
        <v>11.07</v>
      </c>
      <c r="F800" s="2">
        <f>IFERROR(__xludf.DUMMYFUNCTION("""COMPUTED_VALUE"""),9445720.0)</f>
        <v>9445720</v>
      </c>
    </row>
    <row r="801">
      <c r="A801" s="3">
        <f>IFERROR(__xludf.DUMMYFUNCTION("""COMPUTED_VALUE"""),41516.666666666664)</f>
        <v>41516.66667</v>
      </c>
      <c r="B801" s="2">
        <f>IFERROR(__xludf.DUMMYFUNCTION("""COMPUTED_VALUE"""),11.09)</f>
        <v>11.09</v>
      </c>
      <c r="C801" s="2">
        <f>IFERROR(__xludf.DUMMYFUNCTION("""COMPUTED_VALUE"""),11.28)</f>
        <v>11.28</v>
      </c>
      <c r="D801" s="2">
        <f>IFERROR(__xludf.DUMMYFUNCTION("""COMPUTED_VALUE"""),10.93)</f>
        <v>10.93</v>
      </c>
      <c r="E801" s="2">
        <f>IFERROR(__xludf.DUMMYFUNCTION("""COMPUTED_VALUE"""),11.27)</f>
        <v>11.27</v>
      </c>
      <c r="F801" s="2">
        <f>IFERROR(__xludf.DUMMYFUNCTION("""COMPUTED_VALUE"""),1.1028358E7)</f>
        <v>11028358</v>
      </c>
    </row>
    <row r="802">
      <c r="A802" s="3">
        <f>IFERROR(__xludf.DUMMYFUNCTION("""COMPUTED_VALUE"""),41520.666666666664)</f>
        <v>41520.66667</v>
      </c>
      <c r="B802" s="2">
        <f>IFERROR(__xludf.DUMMYFUNCTION("""COMPUTED_VALUE"""),11.56)</f>
        <v>11.56</v>
      </c>
      <c r="C802" s="2">
        <f>IFERROR(__xludf.DUMMYFUNCTION("""COMPUTED_VALUE"""),11.58)</f>
        <v>11.58</v>
      </c>
      <c r="D802" s="2">
        <f>IFERROR(__xludf.DUMMYFUNCTION("""COMPUTED_VALUE"""),11.09)</f>
        <v>11.09</v>
      </c>
      <c r="E802" s="2">
        <f>IFERROR(__xludf.DUMMYFUNCTION("""COMPUTED_VALUE"""),11.26)</f>
        <v>11.26</v>
      </c>
      <c r="F802" s="2">
        <f>IFERROR(__xludf.DUMMYFUNCTION("""COMPUTED_VALUE"""),1.20611E7)</f>
        <v>12061100</v>
      </c>
    </row>
    <row r="803">
      <c r="A803" s="3">
        <f>IFERROR(__xludf.DUMMYFUNCTION("""COMPUTED_VALUE"""),41521.666666666664)</f>
        <v>41521.66667</v>
      </c>
      <c r="B803" s="2">
        <f>IFERROR(__xludf.DUMMYFUNCTION("""COMPUTED_VALUE"""),11.32)</f>
        <v>11.32</v>
      </c>
      <c r="C803" s="2">
        <f>IFERROR(__xludf.DUMMYFUNCTION("""COMPUTED_VALUE"""),11.44)</f>
        <v>11.44</v>
      </c>
      <c r="D803" s="2">
        <f>IFERROR(__xludf.DUMMYFUNCTION("""COMPUTED_VALUE"""),11.04)</f>
        <v>11.04</v>
      </c>
      <c r="E803" s="2">
        <f>IFERROR(__xludf.DUMMYFUNCTION("""COMPUTED_VALUE"""),11.37)</f>
        <v>11.37</v>
      </c>
      <c r="F803" s="2">
        <f>IFERROR(__xludf.DUMMYFUNCTION("""COMPUTED_VALUE"""),1.1475647E7)</f>
        <v>11475647</v>
      </c>
    </row>
    <row r="804">
      <c r="A804" s="3">
        <f>IFERROR(__xludf.DUMMYFUNCTION("""COMPUTED_VALUE"""),41522.666666666664)</f>
        <v>41522.66667</v>
      </c>
      <c r="B804" s="2">
        <f>IFERROR(__xludf.DUMMYFUNCTION("""COMPUTED_VALUE"""),11.35)</f>
        <v>11.35</v>
      </c>
      <c r="C804" s="2">
        <f>IFERROR(__xludf.DUMMYFUNCTION("""COMPUTED_VALUE"""),11.43)</f>
        <v>11.43</v>
      </c>
      <c r="D804" s="2">
        <f>IFERROR(__xludf.DUMMYFUNCTION("""COMPUTED_VALUE"""),11.22)</f>
        <v>11.22</v>
      </c>
      <c r="E804" s="2">
        <f>IFERROR(__xludf.DUMMYFUNCTION("""COMPUTED_VALUE"""),11.33)</f>
        <v>11.33</v>
      </c>
      <c r="F804" s="2">
        <f>IFERROR(__xludf.DUMMYFUNCTION("""COMPUTED_VALUE"""),6693202.0)</f>
        <v>6693202</v>
      </c>
    </row>
    <row r="805">
      <c r="A805" s="3">
        <f>IFERROR(__xludf.DUMMYFUNCTION("""COMPUTED_VALUE"""),41523.666666666664)</f>
        <v>41523.66667</v>
      </c>
      <c r="B805" s="2">
        <f>IFERROR(__xludf.DUMMYFUNCTION("""COMPUTED_VALUE"""),11.24)</f>
        <v>11.24</v>
      </c>
      <c r="C805" s="2">
        <f>IFERROR(__xludf.DUMMYFUNCTION("""COMPUTED_VALUE"""),11.31)</f>
        <v>11.31</v>
      </c>
      <c r="D805" s="2">
        <f>IFERROR(__xludf.DUMMYFUNCTION("""COMPUTED_VALUE"""),11.01)</f>
        <v>11.01</v>
      </c>
      <c r="E805" s="2">
        <f>IFERROR(__xludf.DUMMYFUNCTION("""COMPUTED_VALUE"""),11.13)</f>
        <v>11.13</v>
      </c>
      <c r="F805" s="2">
        <f>IFERROR(__xludf.DUMMYFUNCTION("""COMPUTED_VALUE"""),8619630.0)</f>
        <v>8619630</v>
      </c>
    </row>
    <row r="806">
      <c r="A806" s="3">
        <f>IFERROR(__xludf.DUMMYFUNCTION("""COMPUTED_VALUE"""),41526.666666666664)</f>
        <v>41526.66667</v>
      </c>
      <c r="B806" s="2">
        <f>IFERROR(__xludf.DUMMYFUNCTION("""COMPUTED_VALUE"""),10.87)</f>
        <v>10.87</v>
      </c>
      <c r="C806" s="2">
        <f>IFERROR(__xludf.DUMMYFUNCTION("""COMPUTED_VALUE"""),10.97)</f>
        <v>10.97</v>
      </c>
      <c r="D806" s="2">
        <f>IFERROR(__xludf.DUMMYFUNCTION("""COMPUTED_VALUE"""),10.57)</f>
        <v>10.57</v>
      </c>
      <c r="E806" s="2">
        <f>IFERROR(__xludf.DUMMYFUNCTION("""COMPUTED_VALUE"""),10.71)</f>
        <v>10.71</v>
      </c>
      <c r="F806" s="2">
        <f>IFERROR(__xludf.DUMMYFUNCTION("""COMPUTED_VALUE"""),1.4344473E7)</f>
        <v>14344473</v>
      </c>
    </row>
    <row r="807">
      <c r="A807" s="3">
        <f>IFERROR(__xludf.DUMMYFUNCTION("""COMPUTED_VALUE"""),41527.666666666664)</f>
        <v>41527.66667</v>
      </c>
      <c r="B807" s="2">
        <f>IFERROR(__xludf.DUMMYFUNCTION("""COMPUTED_VALUE"""),10.76)</f>
        <v>10.76</v>
      </c>
      <c r="C807" s="2">
        <f>IFERROR(__xludf.DUMMYFUNCTION("""COMPUTED_VALUE"""),11.17)</f>
        <v>11.17</v>
      </c>
      <c r="D807" s="2">
        <f>IFERROR(__xludf.DUMMYFUNCTION("""COMPUTED_VALUE"""),10.71)</f>
        <v>10.71</v>
      </c>
      <c r="E807" s="2">
        <f>IFERROR(__xludf.DUMMYFUNCTION("""COMPUTED_VALUE"""),11.09)</f>
        <v>11.09</v>
      </c>
      <c r="F807" s="2">
        <f>IFERROR(__xludf.DUMMYFUNCTION("""COMPUTED_VALUE"""),8967786.0)</f>
        <v>8967786</v>
      </c>
    </row>
    <row r="808">
      <c r="A808" s="3">
        <f>IFERROR(__xludf.DUMMYFUNCTION("""COMPUTED_VALUE"""),41528.666666666664)</f>
        <v>41528.66667</v>
      </c>
      <c r="B808" s="2">
        <f>IFERROR(__xludf.DUMMYFUNCTION("""COMPUTED_VALUE"""),11.09)</f>
        <v>11.09</v>
      </c>
      <c r="C808" s="2">
        <f>IFERROR(__xludf.DUMMYFUNCTION("""COMPUTED_VALUE"""),11.19)</f>
        <v>11.19</v>
      </c>
      <c r="D808" s="2">
        <f>IFERROR(__xludf.DUMMYFUNCTION("""COMPUTED_VALUE"""),10.81)</f>
        <v>10.81</v>
      </c>
      <c r="E808" s="2">
        <f>IFERROR(__xludf.DUMMYFUNCTION("""COMPUTED_VALUE"""),10.9)</f>
        <v>10.9</v>
      </c>
      <c r="F808" s="2">
        <f>IFERROR(__xludf.DUMMYFUNCTION("""COMPUTED_VALUE"""),5832476.0)</f>
        <v>5832476</v>
      </c>
    </row>
    <row r="809">
      <c r="A809" s="3">
        <f>IFERROR(__xludf.DUMMYFUNCTION("""COMPUTED_VALUE"""),41529.666666666664)</f>
        <v>41529.66667</v>
      </c>
      <c r="B809" s="2">
        <f>IFERROR(__xludf.DUMMYFUNCTION("""COMPUTED_VALUE"""),10.93)</f>
        <v>10.93</v>
      </c>
      <c r="C809" s="2">
        <f>IFERROR(__xludf.DUMMYFUNCTION("""COMPUTED_VALUE"""),11.12)</f>
        <v>11.12</v>
      </c>
      <c r="D809" s="2">
        <f>IFERROR(__xludf.DUMMYFUNCTION("""COMPUTED_VALUE"""),10.7)</f>
        <v>10.7</v>
      </c>
      <c r="E809" s="2">
        <f>IFERROR(__xludf.DUMMYFUNCTION("""COMPUTED_VALUE"""),11.0)</f>
        <v>11</v>
      </c>
      <c r="F809" s="2">
        <f>IFERROR(__xludf.DUMMYFUNCTION("""COMPUTED_VALUE"""),6159993.0)</f>
        <v>6159993</v>
      </c>
    </row>
    <row r="810">
      <c r="A810" s="3">
        <f>IFERROR(__xludf.DUMMYFUNCTION("""COMPUTED_VALUE"""),41530.666666666664)</f>
        <v>41530.66667</v>
      </c>
      <c r="B810" s="2">
        <f>IFERROR(__xludf.DUMMYFUNCTION("""COMPUTED_VALUE"""),10.84)</f>
        <v>10.84</v>
      </c>
      <c r="C810" s="2">
        <f>IFERROR(__xludf.DUMMYFUNCTION("""COMPUTED_VALUE"""),11.09)</f>
        <v>11.09</v>
      </c>
      <c r="D810" s="2">
        <f>IFERROR(__xludf.DUMMYFUNCTION("""COMPUTED_VALUE"""),10.81)</f>
        <v>10.81</v>
      </c>
      <c r="E810" s="2">
        <f>IFERROR(__xludf.DUMMYFUNCTION("""COMPUTED_VALUE"""),11.04)</f>
        <v>11.04</v>
      </c>
      <c r="F810" s="2">
        <f>IFERROR(__xludf.DUMMYFUNCTION("""COMPUTED_VALUE"""),5409888.0)</f>
        <v>5409888</v>
      </c>
    </row>
    <row r="811">
      <c r="A811" s="3">
        <f>IFERROR(__xludf.DUMMYFUNCTION("""COMPUTED_VALUE"""),41533.666666666664)</f>
        <v>41533.66667</v>
      </c>
      <c r="B811" s="2">
        <f>IFERROR(__xludf.DUMMYFUNCTION("""COMPUTED_VALUE"""),11.2)</f>
        <v>11.2</v>
      </c>
      <c r="C811" s="2">
        <f>IFERROR(__xludf.DUMMYFUNCTION("""COMPUTED_VALUE"""),11.39)</f>
        <v>11.39</v>
      </c>
      <c r="D811" s="2">
        <f>IFERROR(__xludf.DUMMYFUNCTION("""COMPUTED_VALUE"""),11.06)</f>
        <v>11.06</v>
      </c>
      <c r="E811" s="2">
        <f>IFERROR(__xludf.DUMMYFUNCTION("""COMPUTED_VALUE"""),11.11)</f>
        <v>11.11</v>
      </c>
      <c r="F811" s="2">
        <f>IFERROR(__xludf.DUMMYFUNCTION("""COMPUTED_VALUE"""),7592598.0)</f>
        <v>7592598</v>
      </c>
    </row>
    <row r="812">
      <c r="A812" s="3">
        <f>IFERROR(__xludf.DUMMYFUNCTION("""COMPUTED_VALUE"""),41534.666666666664)</f>
        <v>41534.66667</v>
      </c>
      <c r="B812" s="2">
        <f>IFERROR(__xludf.DUMMYFUNCTION("""COMPUTED_VALUE"""),11.04)</f>
        <v>11.04</v>
      </c>
      <c r="C812" s="2">
        <f>IFERROR(__xludf.DUMMYFUNCTION("""COMPUTED_VALUE"""),11.23)</f>
        <v>11.23</v>
      </c>
      <c r="D812" s="2">
        <f>IFERROR(__xludf.DUMMYFUNCTION("""COMPUTED_VALUE"""),10.89)</f>
        <v>10.89</v>
      </c>
      <c r="E812" s="2">
        <f>IFERROR(__xludf.DUMMYFUNCTION("""COMPUTED_VALUE"""),11.08)</f>
        <v>11.08</v>
      </c>
      <c r="F812" s="2">
        <f>IFERROR(__xludf.DUMMYFUNCTION("""COMPUTED_VALUE"""),5500719.0)</f>
        <v>5500719</v>
      </c>
    </row>
    <row r="813">
      <c r="A813" s="3">
        <f>IFERROR(__xludf.DUMMYFUNCTION("""COMPUTED_VALUE"""),41535.666666666664)</f>
        <v>41535.66667</v>
      </c>
      <c r="B813" s="2">
        <f>IFERROR(__xludf.DUMMYFUNCTION("""COMPUTED_VALUE"""),11.14)</f>
        <v>11.14</v>
      </c>
      <c r="C813" s="2">
        <f>IFERROR(__xludf.DUMMYFUNCTION("""COMPUTED_VALUE"""),11.16)</f>
        <v>11.16</v>
      </c>
      <c r="D813" s="2">
        <f>IFERROR(__xludf.DUMMYFUNCTION("""COMPUTED_VALUE"""),10.95)</f>
        <v>10.95</v>
      </c>
      <c r="E813" s="2">
        <f>IFERROR(__xludf.DUMMYFUNCTION("""COMPUTED_VALUE"""),11.08)</f>
        <v>11.08</v>
      </c>
      <c r="F813" s="2">
        <f>IFERROR(__xludf.DUMMYFUNCTION("""COMPUTED_VALUE"""),5439615.0)</f>
        <v>5439615</v>
      </c>
    </row>
    <row r="814">
      <c r="A814" s="3">
        <f>IFERROR(__xludf.DUMMYFUNCTION("""COMPUTED_VALUE"""),41536.666666666664)</f>
        <v>41536.66667</v>
      </c>
      <c r="B814" s="2">
        <f>IFERROR(__xludf.DUMMYFUNCTION("""COMPUTED_VALUE"""),11.38)</f>
        <v>11.38</v>
      </c>
      <c r="C814" s="2">
        <f>IFERROR(__xludf.DUMMYFUNCTION("""COMPUTED_VALUE"""),12.03)</f>
        <v>12.03</v>
      </c>
      <c r="D814" s="2">
        <f>IFERROR(__xludf.DUMMYFUNCTION("""COMPUTED_VALUE"""),11.27)</f>
        <v>11.27</v>
      </c>
      <c r="E814" s="2">
        <f>IFERROR(__xludf.DUMMYFUNCTION("""COMPUTED_VALUE"""),11.86)</f>
        <v>11.86</v>
      </c>
      <c r="F814" s="2">
        <f>IFERROR(__xludf.DUMMYFUNCTION("""COMPUTED_VALUE"""),1.5594568E7)</f>
        <v>15594568</v>
      </c>
    </row>
    <row r="815">
      <c r="A815" s="3">
        <f>IFERROR(__xludf.DUMMYFUNCTION("""COMPUTED_VALUE"""),41537.666666666664)</f>
        <v>41537.66667</v>
      </c>
      <c r="B815" s="2">
        <f>IFERROR(__xludf.DUMMYFUNCTION("""COMPUTED_VALUE"""),11.93)</f>
        <v>11.93</v>
      </c>
      <c r="C815" s="2">
        <f>IFERROR(__xludf.DUMMYFUNCTION("""COMPUTED_VALUE"""),12.39)</f>
        <v>12.39</v>
      </c>
      <c r="D815" s="2">
        <f>IFERROR(__xludf.DUMMYFUNCTION("""COMPUTED_VALUE"""),11.9)</f>
        <v>11.9</v>
      </c>
      <c r="E815" s="2">
        <f>IFERROR(__xludf.DUMMYFUNCTION("""COMPUTED_VALUE"""),12.23)</f>
        <v>12.23</v>
      </c>
      <c r="F815" s="2">
        <f>IFERROR(__xludf.DUMMYFUNCTION("""COMPUTED_VALUE"""),1.3401689E7)</f>
        <v>13401689</v>
      </c>
    </row>
    <row r="816">
      <c r="A816" s="3">
        <f>IFERROR(__xludf.DUMMYFUNCTION("""COMPUTED_VALUE"""),41540.666666666664)</f>
        <v>41540.66667</v>
      </c>
      <c r="B816" s="2">
        <f>IFERROR(__xludf.DUMMYFUNCTION("""COMPUTED_VALUE"""),12.3)</f>
        <v>12.3</v>
      </c>
      <c r="C816" s="2">
        <f>IFERROR(__xludf.DUMMYFUNCTION("""COMPUTED_VALUE"""),12.37)</f>
        <v>12.37</v>
      </c>
      <c r="D816" s="2">
        <f>IFERROR(__xludf.DUMMYFUNCTION("""COMPUTED_VALUE"""),11.81)</f>
        <v>11.81</v>
      </c>
      <c r="E816" s="2">
        <f>IFERROR(__xludf.DUMMYFUNCTION("""COMPUTED_VALUE"""),12.07)</f>
        <v>12.07</v>
      </c>
      <c r="F816" s="2">
        <f>IFERROR(__xludf.DUMMYFUNCTION("""COMPUTED_VALUE"""),8191841.0)</f>
        <v>8191841</v>
      </c>
    </row>
    <row r="817">
      <c r="A817" s="3">
        <f>IFERROR(__xludf.DUMMYFUNCTION("""COMPUTED_VALUE"""),41541.666666666664)</f>
        <v>41541.66667</v>
      </c>
      <c r="B817" s="2">
        <f>IFERROR(__xludf.DUMMYFUNCTION("""COMPUTED_VALUE"""),11.96)</f>
        <v>11.96</v>
      </c>
      <c r="C817" s="2">
        <f>IFERROR(__xludf.DUMMYFUNCTION("""COMPUTED_VALUE"""),12.33)</f>
        <v>12.33</v>
      </c>
      <c r="D817" s="2">
        <f>IFERROR(__xludf.DUMMYFUNCTION("""COMPUTED_VALUE"""),11.84)</f>
        <v>11.84</v>
      </c>
      <c r="E817" s="2">
        <f>IFERROR(__xludf.DUMMYFUNCTION("""COMPUTED_VALUE"""),12.16)</f>
        <v>12.16</v>
      </c>
      <c r="F817" s="2">
        <f>IFERROR(__xludf.DUMMYFUNCTION("""COMPUTED_VALUE"""),6282431.0)</f>
        <v>6282431</v>
      </c>
    </row>
    <row r="818">
      <c r="A818" s="3">
        <f>IFERROR(__xludf.DUMMYFUNCTION("""COMPUTED_VALUE"""),41542.666666666664)</f>
        <v>41542.66667</v>
      </c>
      <c r="B818" s="2">
        <f>IFERROR(__xludf.DUMMYFUNCTION("""COMPUTED_VALUE"""),12.23)</f>
        <v>12.23</v>
      </c>
      <c r="C818" s="2">
        <f>IFERROR(__xludf.DUMMYFUNCTION("""COMPUTED_VALUE"""),12.42)</f>
        <v>12.42</v>
      </c>
      <c r="D818" s="2">
        <f>IFERROR(__xludf.DUMMYFUNCTION("""COMPUTED_VALUE"""),12.03)</f>
        <v>12.03</v>
      </c>
      <c r="E818" s="2">
        <f>IFERROR(__xludf.DUMMYFUNCTION("""COMPUTED_VALUE"""),12.35)</f>
        <v>12.35</v>
      </c>
      <c r="F818" s="2">
        <f>IFERROR(__xludf.DUMMYFUNCTION("""COMPUTED_VALUE"""),8252621.0)</f>
        <v>8252621</v>
      </c>
    </row>
    <row r="819">
      <c r="A819" s="3">
        <f>IFERROR(__xludf.DUMMYFUNCTION("""COMPUTED_VALUE"""),41543.666666666664)</f>
        <v>41543.66667</v>
      </c>
      <c r="B819" s="2">
        <f>IFERROR(__xludf.DUMMYFUNCTION("""COMPUTED_VALUE"""),12.45)</f>
        <v>12.45</v>
      </c>
      <c r="C819" s="2">
        <f>IFERROR(__xludf.DUMMYFUNCTION("""COMPUTED_VALUE"""),12.65)</f>
        <v>12.65</v>
      </c>
      <c r="D819" s="2">
        <f>IFERROR(__xludf.DUMMYFUNCTION("""COMPUTED_VALUE"""),12.37)</f>
        <v>12.37</v>
      </c>
      <c r="E819" s="2">
        <f>IFERROR(__xludf.DUMMYFUNCTION("""COMPUTED_VALUE"""),12.58)</f>
        <v>12.58</v>
      </c>
      <c r="F819" s="2">
        <f>IFERROR(__xludf.DUMMYFUNCTION("""COMPUTED_VALUE"""),6621592.0)</f>
        <v>6621592</v>
      </c>
    </row>
    <row r="820">
      <c r="A820" s="3">
        <f>IFERROR(__xludf.DUMMYFUNCTION("""COMPUTED_VALUE"""),41544.666666666664)</f>
        <v>41544.66667</v>
      </c>
      <c r="B820" s="2">
        <f>IFERROR(__xludf.DUMMYFUNCTION("""COMPUTED_VALUE"""),12.5)</f>
        <v>12.5</v>
      </c>
      <c r="C820" s="2">
        <f>IFERROR(__xludf.DUMMYFUNCTION("""COMPUTED_VALUE"""),12.75)</f>
        <v>12.75</v>
      </c>
      <c r="D820" s="2">
        <f>IFERROR(__xludf.DUMMYFUNCTION("""COMPUTED_VALUE"""),12.43)</f>
        <v>12.43</v>
      </c>
      <c r="E820" s="2">
        <f>IFERROR(__xludf.DUMMYFUNCTION("""COMPUTED_VALUE"""),12.73)</f>
        <v>12.73</v>
      </c>
      <c r="F820" s="2">
        <f>IFERROR(__xludf.DUMMYFUNCTION("""COMPUTED_VALUE"""),5923881.0)</f>
        <v>5923881</v>
      </c>
    </row>
    <row r="821">
      <c r="A821" s="3">
        <f>IFERROR(__xludf.DUMMYFUNCTION("""COMPUTED_VALUE"""),41547.666666666664)</f>
        <v>41547.66667</v>
      </c>
      <c r="B821" s="2">
        <f>IFERROR(__xludf.DUMMYFUNCTION("""COMPUTED_VALUE"""),12.6)</f>
        <v>12.6</v>
      </c>
      <c r="C821" s="2">
        <f>IFERROR(__xludf.DUMMYFUNCTION("""COMPUTED_VALUE"""),12.97)</f>
        <v>12.97</v>
      </c>
      <c r="D821" s="2">
        <f>IFERROR(__xludf.DUMMYFUNCTION("""COMPUTED_VALUE"""),12.53)</f>
        <v>12.53</v>
      </c>
      <c r="E821" s="2">
        <f>IFERROR(__xludf.DUMMYFUNCTION("""COMPUTED_VALUE"""),12.89)</f>
        <v>12.89</v>
      </c>
      <c r="F821" s="2">
        <f>IFERROR(__xludf.DUMMYFUNCTION("""COMPUTED_VALUE"""),8934541.0)</f>
        <v>8934541</v>
      </c>
    </row>
    <row r="822">
      <c r="A822" s="3">
        <f>IFERROR(__xludf.DUMMYFUNCTION("""COMPUTED_VALUE"""),41548.666666666664)</f>
        <v>41548.66667</v>
      </c>
      <c r="B822" s="2">
        <f>IFERROR(__xludf.DUMMYFUNCTION("""COMPUTED_VALUE"""),12.93)</f>
        <v>12.93</v>
      </c>
      <c r="C822" s="2">
        <f>IFERROR(__xludf.DUMMYFUNCTION("""COMPUTED_VALUE"""),12.95)</f>
        <v>12.95</v>
      </c>
      <c r="D822" s="2">
        <f>IFERROR(__xludf.DUMMYFUNCTION("""COMPUTED_VALUE"""),12.56)</f>
        <v>12.56</v>
      </c>
      <c r="E822" s="2">
        <f>IFERROR(__xludf.DUMMYFUNCTION("""COMPUTED_VALUE"""),12.87)</f>
        <v>12.87</v>
      </c>
      <c r="F822" s="2">
        <f>IFERROR(__xludf.DUMMYFUNCTION("""COMPUTED_VALUE"""),7761429.0)</f>
        <v>7761429</v>
      </c>
    </row>
    <row r="823">
      <c r="A823" s="3">
        <f>IFERROR(__xludf.DUMMYFUNCTION("""COMPUTED_VALUE"""),41549.666666666664)</f>
        <v>41549.66667</v>
      </c>
      <c r="B823" s="2">
        <f>IFERROR(__xludf.DUMMYFUNCTION("""COMPUTED_VALUE"""),12.57)</f>
        <v>12.57</v>
      </c>
      <c r="C823" s="2">
        <f>IFERROR(__xludf.DUMMYFUNCTION("""COMPUTED_VALUE"""),12.79)</f>
        <v>12.79</v>
      </c>
      <c r="D823" s="2">
        <f>IFERROR(__xludf.DUMMYFUNCTION("""COMPUTED_VALUE"""),11.69)</f>
        <v>11.69</v>
      </c>
      <c r="E823" s="2">
        <f>IFERROR(__xludf.DUMMYFUNCTION("""COMPUTED_VALUE"""),12.06)</f>
        <v>12.06</v>
      </c>
      <c r="F823" s="2">
        <f>IFERROR(__xludf.DUMMYFUNCTION("""COMPUTED_VALUE"""),2.077541E7)</f>
        <v>20775410</v>
      </c>
    </row>
    <row r="824">
      <c r="A824" s="3">
        <f>IFERROR(__xludf.DUMMYFUNCTION("""COMPUTED_VALUE"""),41550.666666666664)</f>
        <v>41550.66667</v>
      </c>
      <c r="B824" s="2">
        <f>IFERROR(__xludf.DUMMYFUNCTION("""COMPUTED_VALUE"""),11.67)</f>
        <v>11.67</v>
      </c>
      <c r="C824" s="2">
        <f>IFERROR(__xludf.DUMMYFUNCTION("""COMPUTED_VALUE"""),11.98)</f>
        <v>11.98</v>
      </c>
      <c r="D824" s="2">
        <f>IFERROR(__xludf.DUMMYFUNCTION("""COMPUTED_VALUE"""),11.2)</f>
        <v>11.2</v>
      </c>
      <c r="E824" s="2">
        <f>IFERROR(__xludf.DUMMYFUNCTION("""COMPUTED_VALUE"""),11.55)</f>
        <v>11.55</v>
      </c>
      <c r="F824" s="2">
        <f>IFERROR(__xludf.DUMMYFUNCTION("""COMPUTED_VALUE"""),2.3816504E7)</f>
        <v>23816504</v>
      </c>
    </row>
    <row r="825">
      <c r="A825" s="3">
        <f>IFERROR(__xludf.DUMMYFUNCTION("""COMPUTED_VALUE"""),41551.666666666664)</f>
        <v>41551.66667</v>
      </c>
      <c r="B825" s="2">
        <f>IFERROR(__xludf.DUMMYFUNCTION("""COMPUTED_VALUE"""),11.75)</f>
        <v>11.75</v>
      </c>
      <c r="C825" s="2">
        <f>IFERROR(__xludf.DUMMYFUNCTION("""COMPUTED_VALUE"""),12.08)</f>
        <v>12.08</v>
      </c>
      <c r="D825" s="2">
        <f>IFERROR(__xludf.DUMMYFUNCTION("""COMPUTED_VALUE"""),11.51)</f>
        <v>11.51</v>
      </c>
      <c r="E825" s="2">
        <f>IFERROR(__xludf.DUMMYFUNCTION("""COMPUTED_VALUE"""),12.07)</f>
        <v>12.07</v>
      </c>
      <c r="F825" s="2">
        <f>IFERROR(__xludf.DUMMYFUNCTION("""COMPUTED_VALUE"""),1.4413965E7)</f>
        <v>14413965</v>
      </c>
    </row>
    <row r="826">
      <c r="A826" s="3">
        <f>IFERROR(__xludf.DUMMYFUNCTION("""COMPUTED_VALUE"""),41554.666666666664)</f>
        <v>41554.66667</v>
      </c>
      <c r="B826" s="2">
        <f>IFERROR(__xludf.DUMMYFUNCTION("""COMPUTED_VALUE"""),12.16)</f>
        <v>12.16</v>
      </c>
      <c r="C826" s="2">
        <f>IFERROR(__xludf.DUMMYFUNCTION("""COMPUTED_VALUE"""),12.45)</f>
        <v>12.45</v>
      </c>
      <c r="D826" s="2">
        <f>IFERROR(__xludf.DUMMYFUNCTION("""COMPUTED_VALUE"""),12.02)</f>
        <v>12.02</v>
      </c>
      <c r="E826" s="2">
        <f>IFERROR(__xludf.DUMMYFUNCTION("""COMPUTED_VALUE"""),12.2)</f>
        <v>12.2</v>
      </c>
      <c r="F826" s="2">
        <f>IFERROR(__xludf.DUMMYFUNCTION("""COMPUTED_VALUE"""),1.1485579E7)</f>
        <v>11485579</v>
      </c>
    </row>
    <row r="827">
      <c r="A827" s="3">
        <f>IFERROR(__xludf.DUMMYFUNCTION("""COMPUTED_VALUE"""),41555.666666666664)</f>
        <v>41555.66667</v>
      </c>
      <c r="B827" s="2">
        <f>IFERROR(__xludf.DUMMYFUNCTION("""COMPUTED_VALUE"""),12.29)</f>
        <v>12.29</v>
      </c>
      <c r="C827" s="2">
        <f>IFERROR(__xludf.DUMMYFUNCTION("""COMPUTED_VALUE"""),12.4)</f>
        <v>12.4</v>
      </c>
      <c r="D827" s="2">
        <f>IFERROR(__xludf.DUMMYFUNCTION("""COMPUTED_VALUE"""),11.55)</f>
        <v>11.55</v>
      </c>
      <c r="E827" s="2">
        <f>IFERROR(__xludf.DUMMYFUNCTION("""COMPUTED_VALUE"""),11.65)</f>
        <v>11.65</v>
      </c>
      <c r="F827" s="2">
        <f>IFERROR(__xludf.DUMMYFUNCTION("""COMPUTED_VALUE"""),1.3757218E7)</f>
        <v>13757218</v>
      </c>
    </row>
    <row r="828">
      <c r="A828" s="3">
        <f>IFERROR(__xludf.DUMMYFUNCTION("""COMPUTED_VALUE"""),41556.666666666664)</f>
        <v>41556.66667</v>
      </c>
      <c r="B828" s="2">
        <f>IFERROR(__xludf.DUMMYFUNCTION("""COMPUTED_VALUE"""),11.64)</f>
        <v>11.64</v>
      </c>
      <c r="C828" s="2">
        <f>IFERROR(__xludf.DUMMYFUNCTION("""COMPUTED_VALUE"""),11.67)</f>
        <v>11.67</v>
      </c>
      <c r="D828" s="2">
        <f>IFERROR(__xludf.DUMMYFUNCTION("""COMPUTED_VALUE"""),10.77)</f>
        <v>10.77</v>
      </c>
      <c r="E828" s="2">
        <f>IFERROR(__xludf.DUMMYFUNCTION("""COMPUTED_VALUE"""),11.25)</f>
        <v>11.25</v>
      </c>
      <c r="F828" s="2">
        <f>IFERROR(__xludf.DUMMYFUNCTION("""COMPUTED_VALUE"""),1.5316481E7)</f>
        <v>15316481</v>
      </c>
    </row>
    <row r="829">
      <c r="A829" s="3">
        <f>IFERROR(__xludf.DUMMYFUNCTION("""COMPUTED_VALUE"""),41557.666666666664)</f>
        <v>41557.66667</v>
      </c>
      <c r="B829" s="2">
        <f>IFERROR(__xludf.DUMMYFUNCTION("""COMPUTED_VALUE"""),11.54)</f>
        <v>11.54</v>
      </c>
      <c r="C829" s="2">
        <f>IFERROR(__xludf.DUMMYFUNCTION("""COMPUTED_VALUE"""),11.72)</f>
        <v>11.72</v>
      </c>
      <c r="D829" s="2">
        <f>IFERROR(__xludf.DUMMYFUNCTION("""COMPUTED_VALUE"""),11.31)</f>
        <v>11.31</v>
      </c>
      <c r="E829" s="2">
        <f>IFERROR(__xludf.DUMMYFUNCTION("""COMPUTED_VALUE"""),11.53)</f>
        <v>11.53</v>
      </c>
      <c r="F829" s="2">
        <f>IFERROR(__xludf.DUMMYFUNCTION("""COMPUTED_VALUE"""),8883910.0)</f>
        <v>8883910</v>
      </c>
    </row>
    <row r="830">
      <c r="A830" s="3">
        <f>IFERROR(__xludf.DUMMYFUNCTION("""COMPUTED_VALUE"""),41558.666666666664)</f>
        <v>41558.66667</v>
      </c>
      <c r="B830" s="2">
        <f>IFERROR(__xludf.DUMMYFUNCTION("""COMPUTED_VALUE"""),11.49)</f>
        <v>11.49</v>
      </c>
      <c r="C830" s="2">
        <f>IFERROR(__xludf.DUMMYFUNCTION("""COMPUTED_VALUE"""),11.95)</f>
        <v>11.95</v>
      </c>
      <c r="D830" s="2">
        <f>IFERROR(__xludf.DUMMYFUNCTION("""COMPUTED_VALUE"""),11.41)</f>
        <v>11.41</v>
      </c>
      <c r="E830" s="2">
        <f>IFERROR(__xludf.DUMMYFUNCTION("""COMPUTED_VALUE"""),11.91)</f>
        <v>11.91</v>
      </c>
      <c r="F830" s="2">
        <f>IFERROR(__xludf.DUMMYFUNCTION("""COMPUTED_VALUE"""),8311086.0)</f>
        <v>8311086</v>
      </c>
    </row>
    <row r="831">
      <c r="A831" s="3">
        <f>IFERROR(__xludf.DUMMYFUNCTION("""COMPUTED_VALUE"""),41561.666666666664)</f>
        <v>41561.66667</v>
      </c>
      <c r="B831" s="2">
        <f>IFERROR(__xludf.DUMMYFUNCTION("""COMPUTED_VALUE"""),11.66)</f>
        <v>11.66</v>
      </c>
      <c r="C831" s="2">
        <f>IFERROR(__xludf.DUMMYFUNCTION("""COMPUTED_VALUE"""),12.17)</f>
        <v>12.17</v>
      </c>
      <c r="D831" s="2">
        <f>IFERROR(__xludf.DUMMYFUNCTION("""COMPUTED_VALUE"""),11.61)</f>
        <v>11.61</v>
      </c>
      <c r="E831" s="2">
        <f>IFERROR(__xludf.DUMMYFUNCTION("""COMPUTED_VALUE"""),11.98)</f>
        <v>11.98</v>
      </c>
      <c r="F831" s="2">
        <f>IFERROR(__xludf.DUMMYFUNCTION("""COMPUTED_VALUE"""),7769630.0)</f>
        <v>7769630</v>
      </c>
    </row>
    <row r="832">
      <c r="A832" s="3">
        <f>IFERROR(__xludf.DUMMYFUNCTION("""COMPUTED_VALUE"""),41562.666666666664)</f>
        <v>41562.66667</v>
      </c>
      <c r="B832" s="2">
        <f>IFERROR(__xludf.DUMMYFUNCTION("""COMPUTED_VALUE"""),12.35)</f>
        <v>12.35</v>
      </c>
      <c r="C832" s="2">
        <f>IFERROR(__xludf.DUMMYFUNCTION("""COMPUTED_VALUE"""),12.59)</f>
        <v>12.59</v>
      </c>
      <c r="D832" s="2">
        <f>IFERROR(__xludf.DUMMYFUNCTION("""COMPUTED_VALUE"""),12.21)</f>
        <v>12.21</v>
      </c>
      <c r="E832" s="2">
        <f>IFERROR(__xludf.DUMMYFUNCTION("""COMPUTED_VALUE"""),12.26)</f>
        <v>12.26</v>
      </c>
      <c r="F832" s="2">
        <f>IFERROR(__xludf.DUMMYFUNCTION("""COMPUTED_VALUE"""),1.0978536E7)</f>
        <v>10978536</v>
      </c>
    </row>
    <row r="833">
      <c r="A833" s="3">
        <f>IFERROR(__xludf.DUMMYFUNCTION("""COMPUTED_VALUE"""),41563.666666666664)</f>
        <v>41563.66667</v>
      </c>
      <c r="B833" s="2">
        <f>IFERROR(__xludf.DUMMYFUNCTION("""COMPUTED_VALUE"""),12.31)</f>
        <v>12.31</v>
      </c>
      <c r="C833" s="2">
        <f>IFERROR(__xludf.DUMMYFUNCTION("""COMPUTED_VALUE"""),12.49)</f>
        <v>12.49</v>
      </c>
      <c r="D833" s="2">
        <f>IFERROR(__xludf.DUMMYFUNCTION("""COMPUTED_VALUE"""),12.14)</f>
        <v>12.14</v>
      </c>
      <c r="E833" s="2">
        <f>IFERROR(__xludf.DUMMYFUNCTION("""COMPUTED_VALUE"""),12.24)</f>
        <v>12.24</v>
      </c>
      <c r="F833" s="2">
        <f>IFERROR(__xludf.DUMMYFUNCTION("""COMPUTED_VALUE"""),8205367.0)</f>
        <v>8205367</v>
      </c>
    </row>
    <row r="834">
      <c r="A834" s="3">
        <f>IFERROR(__xludf.DUMMYFUNCTION("""COMPUTED_VALUE"""),41564.666666666664)</f>
        <v>41564.66667</v>
      </c>
      <c r="B834" s="2">
        <f>IFERROR(__xludf.DUMMYFUNCTION("""COMPUTED_VALUE"""),12.24)</f>
        <v>12.24</v>
      </c>
      <c r="C834" s="2">
        <f>IFERROR(__xludf.DUMMYFUNCTION("""COMPUTED_VALUE"""),12.32)</f>
        <v>12.32</v>
      </c>
      <c r="D834" s="2">
        <f>IFERROR(__xludf.DUMMYFUNCTION("""COMPUTED_VALUE"""),12.07)</f>
        <v>12.07</v>
      </c>
      <c r="E834" s="2">
        <f>IFERROR(__xludf.DUMMYFUNCTION("""COMPUTED_VALUE"""),12.19)</f>
        <v>12.19</v>
      </c>
      <c r="F834" s="2">
        <f>IFERROR(__xludf.DUMMYFUNCTION("""COMPUTED_VALUE"""),6704968.0)</f>
        <v>6704968</v>
      </c>
    </row>
    <row r="835">
      <c r="A835" s="3">
        <f>IFERROR(__xludf.DUMMYFUNCTION("""COMPUTED_VALUE"""),41565.666666666664)</f>
        <v>41565.66667</v>
      </c>
      <c r="B835" s="2">
        <f>IFERROR(__xludf.DUMMYFUNCTION("""COMPUTED_VALUE"""),12.28)</f>
        <v>12.28</v>
      </c>
      <c r="C835" s="2">
        <f>IFERROR(__xludf.DUMMYFUNCTION("""COMPUTED_VALUE"""),12.4)</f>
        <v>12.4</v>
      </c>
      <c r="D835" s="2">
        <f>IFERROR(__xludf.DUMMYFUNCTION("""COMPUTED_VALUE"""),12.17)</f>
        <v>12.17</v>
      </c>
      <c r="E835" s="2">
        <f>IFERROR(__xludf.DUMMYFUNCTION("""COMPUTED_VALUE"""),12.23)</f>
        <v>12.23</v>
      </c>
      <c r="F835" s="2">
        <f>IFERROR(__xludf.DUMMYFUNCTION("""COMPUTED_VALUE"""),5930815.0)</f>
        <v>5930815</v>
      </c>
    </row>
    <row r="836">
      <c r="A836" s="3">
        <f>IFERROR(__xludf.DUMMYFUNCTION("""COMPUTED_VALUE"""),41568.666666666664)</f>
        <v>41568.66667</v>
      </c>
      <c r="B836" s="2">
        <f>IFERROR(__xludf.DUMMYFUNCTION("""COMPUTED_VALUE"""),12.22)</f>
        <v>12.22</v>
      </c>
      <c r="C836" s="2">
        <f>IFERROR(__xludf.DUMMYFUNCTION("""COMPUTED_VALUE"""),12.23)</f>
        <v>12.23</v>
      </c>
      <c r="D836" s="2">
        <f>IFERROR(__xludf.DUMMYFUNCTION("""COMPUTED_VALUE"""),11.4)</f>
        <v>11.4</v>
      </c>
      <c r="E836" s="2">
        <f>IFERROR(__xludf.DUMMYFUNCTION("""COMPUTED_VALUE"""),11.51)</f>
        <v>11.51</v>
      </c>
      <c r="F836" s="2">
        <f>IFERROR(__xludf.DUMMYFUNCTION("""COMPUTED_VALUE"""),1.1532131E7)</f>
        <v>11532131</v>
      </c>
    </row>
    <row r="837">
      <c r="A837" s="3">
        <f>IFERROR(__xludf.DUMMYFUNCTION("""COMPUTED_VALUE"""),41569.666666666664)</f>
        <v>41569.66667</v>
      </c>
      <c r="B837" s="2">
        <f>IFERROR(__xludf.DUMMYFUNCTION("""COMPUTED_VALUE"""),11.37)</f>
        <v>11.37</v>
      </c>
      <c r="C837" s="2">
        <f>IFERROR(__xludf.DUMMYFUNCTION("""COMPUTED_VALUE"""),11.85)</f>
        <v>11.85</v>
      </c>
      <c r="D837" s="2">
        <f>IFERROR(__xludf.DUMMYFUNCTION("""COMPUTED_VALUE"""),11.07)</f>
        <v>11.07</v>
      </c>
      <c r="E837" s="2">
        <f>IFERROR(__xludf.DUMMYFUNCTION("""COMPUTED_VALUE"""),11.44)</f>
        <v>11.44</v>
      </c>
      <c r="F837" s="2">
        <f>IFERROR(__xludf.DUMMYFUNCTION("""COMPUTED_VALUE"""),1.1394675E7)</f>
        <v>11394675</v>
      </c>
    </row>
    <row r="838">
      <c r="A838" s="3">
        <f>IFERROR(__xludf.DUMMYFUNCTION("""COMPUTED_VALUE"""),41570.666666666664)</f>
        <v>41570.66667</v>
      </c>
      <c r="B838" s="2">
        <f>IFERROR(__xludf.DUMMYFUNCTION("""COMPUTED_VALUE"""),11.26)</f>
        <v>11.26</v>
      </c>
      <c r="C838" s="2">
        <f>IFERROR(__xludf.DUMMYFUNCTION("""COMPUTED_VALUE"""),11.45)</f>
        <v>11.45</v>
      </c>
      <c r="D838" s="2">
        <f>IFERROR(__xludf.DUMMYFUNCTION("""COMPUTED_VALUE"""),10.68)</f>
        <v>10.68</v>
      </c>
      <c r="E838" s="2">
        <f>IFERROR(__xludf.DUMMYFUNCTION("""COMPUTED_VALUE"""),10.97)</f>
        <v>10.97</v>
      </c>
      <c r="F838" s="2">
        <f>IFERROR(__xludf.DUMMYFUNCTION("""COMPUTED_VALUE"""),1.3327739E7)</f>
        <v>13327739</v>
      </c>
    </row>
    <row r="839">
      <c r="A839" s="3">
        <f>IFERROR(__xludf.DUMMYFUNCTION("""COMPUTED_VALUE"""),41571.666666666664)</f>
        <v>41571.66667</v>
      </c>
      <c r="B839" s="2">
        <f>IFERROR(__xludf.DUMMYFUNCTION("""COMPUTED_VALUE"""),11.0)</f>
        <v>11</v>
      </c>
      <c r="C839" s="2">
        <f>IFERROR(__xludf.DUMMYFUNCTION("""COMPUTED_VALUE"""),11.63)</f>
        <v>11.63</v>
      </c>
      <c r="D839" s="2">
        <f>IFERROR(__xludf.DUMMYFUNCTION("""COMPUTED_VALUE"""),10.86)</f>
        <v>10.86</v>
      </c>
      <c r="E839" s="2">
        <f>IFERROR(__xludf.DUMMYFUNCTION("""COMPUTED_VALUE"""),11.54)</f>
        <v>11.54</v>
      </c>
      <c r="F839" s="2">
        <f>IFERROR(__xludf.DUMMYFUNCTION("""COMPUTED_VALUE"""),1.0825667E7)</f>
        <v>10825667</v>
      </c>
    </row>
    <row r="840">
      <c r="A840" s="3">
        <f>IFERROR(__xludf.DUMMYFUNCTION("""COMPUTED_VALUE"""),41572.666666666664)</f>
        <v>41572.66667</v>
      </c>
      <c r="B840" s="2">
        <f>IFERROR(__xludf.DUMMYFUNCTION("""COMPUTED_VALUE"""),11.61)</f>
        <v>11.61</v>
      </c>
      <c r="C840" s="2">
        <f>IFERROR(__xludf.DUMMYFUNCTION("""COMPUTED_VALUE"""),11.63)</f>
        <v>11.63</v>
      </c>
      <c r="D840" s="2">
        <f>IFERROR(__xludf.DUMMYFUNCTION("""COMPUTED_VALUE"""),11.12)</f>
        <v>11.12</v>
      </c>
      <c r="E840" s="2">
        <f>IFERROR(__xludf.DUMMYFUNCTION("""COMPUTED_VALUE"""),11.31)</f>
        <v>11.31</v>
      </c>
      <c r="F840" s="2">
        <f>IFERROR(__xludf.DUMMYFUNCTION("""COMPUTED_VALUE"""),7595458.0)</f>
        <v>7595458</v>
      </c>
    </row>
    <row r="841">
      <c r="A841" s="3">
        <f>IFERROR(__xludf.DUMMYFUNCTION("""COMPUTED_VALUE"""),41575.666666666664)</f>
        <v>41575.66667</v>
      </c>
      <c r="B841" s="2">
        <f>IFERROR(__xludf.DUMMYFUNCTION("""COMPUTED_VALUE"""),11.35)</f>
        <v>11.35</v>
      </c>
      <c r="C841" s="2">
        <f>IFERROR(__xludf.DUMMYFUNCTION("""COMPUTED_VALUE"""),11.37)</f>
        <v>11.37</v>
      </c>
      <c r="D841" s="2">
        <f>IFERROR(__xludf.DUMMYFUNCTION("""COMPUTED_VALUE"""),10.81)</f>
        <v>10.81</v>
      </c>
      <c r="E841" s="2">
        <f>IFERROR(__xludf.DUMMYFUNCTION("""COMPUTED_VALUE"""),10.86)</f>
        <v>10.86</v>
      </c>
      <c r="F841" s="2">
        <f>IFERROR(__xludf.DUMMYFUNCTION("""COMPUTED_VALUE"""),7841727.0)</f>
        <v>7841727</v>
      </c>
    </row>
    <row r="842">
      <c r="A842" s="3">
        <f>IFERROR(__xludf.DUMMYFUNCTION("""COMPUTED_VALUE"""),41576.666666666664)</f>
        <v>41576.66667</v>
      </c>
      <c r="B842" s="2">
        <f>IFERROR(__xludf.DUMMYFUNCTION("""COMPUTED_VALUE"""),10.85)</f>
        <v>10.85</v>
      </c>
      <c r="C842" s="2">
        <f>IFERROR(__xludf.DUMMYFUNCTION("""COMPUTED_VALUE"""),11.03)</f>
        <v>11.03</v>
      </c>
      <c r="D842" s="2">
        <f>IFERROR(__xludf.DUMMYFUNCTION("""COMPUTED_VALUE"""),10.2)</f>
        <v>10.2</v>
      </c>
      <c r="E842" s="2">
        <f>IFERROR(__xludf.DUMMYFUNCTION("""COMPUTED_VALUE"""),10.96)</f>
        <v>10.96</v>
      </c>
      <c r="F842" s="2">
        <f>IFERROR(__xludf.DUMMYFUNCTION("""COMPUTED_VALUE"""),1.4111737E7)</f>
        <v>14111737</v>
      </c>
    </row>
    <row r="843">
      <c r="A843" s="3">
        <f>IFERROR(__xludf.DUMMYFUNCTION("""COMPUTED_VALUE"""),41577.666666666664)</f>
        <v>41577.66667</v>
      </c>
      <c r="B843" s="2">
        <f>IFERROR(__xludf.DUMMYFUNCTION("""COMPUTED_VALUE"""),10.98)</f>
        <v>10.98</v>
      </c>
      <c r="C843" s="2">
        <f>IFERROR(__xludf.DUMMYFUNCTION("""COMPUTED_VALUE"""),11.18)</f>
        <v>11.18</v>
      </c>
      <c r="D843" s="2">
        <f>IFERROR(__xludf.DUMMYFUNCTION("""COMPUTED_VALUE"""),10.54)</f>
        <v>10.54</v>
      </c>
      <c r="E843" s="2">
        <f>IFERROR(__xludf.DUMMYFUNCTION("""COMPUTED_VALUE"""),10.61)</f>
        <v>10.61</v>
      </c>
      <c r="F843" s="2">
        <f>IFERROR(__xludf.DUMMYFUNCTION("""COMPUTED_VALUE"""),8401756.0)</f>
        <v>8401756</v>
      </c>
    </row>
    <row r="844">
      <c r="A844" s="3">
        <f>IFERROR(__xludf.DUMMYFUNCTION("""COMPUTED_VALUE"""),41578.666666666664)</f>
        <v>41578.66667</v>
      </c>
      <c r="B844" s="2">
        <f>IFERROR(__xludf.DUMMYFUNCTION("""COMPUTED_VALUE"""),10.38)</f>
        <v>10.38</v>
      </c>
      <c r="C844" s="2">
        <f>IFERROR(__xludf.DUMMYFUNCTION("""COMPUTED_VALUE"""),10.83)</f>
        <v>10.83</v>
      </c>
      <c r="D844" s="2">
        <f>IFERROR(__xludf.DUMMYFUNCTION("""COMPUTED_VALUE"""),10.22)</f>
        <v>10.22</v>
      </c>
      <c r="E844" s="2">
        <f>IFERROR(__xludf.DUMMYFUNCTION("""COMPUTED_VALUE"""),10.66)</f>
        <v>10.66</v>
      </c>
      <c r="F844" s="2">
        <f>IFERROR(__xludf.DUMMYFUNCTION("""COMPUTED_VALUE"""),9340455.0)</f>
        <v>9340455</v>
      </c>
    </row>
    <row r="845">
      <c r="A845" s="3">
        <f>IFERROR(__xludf.DUMMYFUNCTION("""COMPUTED_VALUE"""),41579.666666666664)</f>
        <v>41579.66667</v>
      </c>
      <c r="B845" s="2">
        <f>IFERROR(__xludf.DUMMYFUNCTION("""COMPUTED_VALUE"""),10.87)</f>
        <v>10.87</v>
      </c>
      <c r="C845" s="2">
        <f>IFERROR(__xludf.DUMMYFUNCTION("""COMPUTED_VALUE"""),11.06)</f>
        <v>11.06</v>
      </c>
      <c r="D845" s="2">
        <f>IFERROR(__xludf.DUMMYFUNCTION("""COMPUTED_VALUE"""),10.69)</f>
        <v>10.69</v>
      </c>
      <c r="E845" s="2">
        <f>IFERROR(__xludf.DUMMYFUNCTION("""COMPUTED_VALUE"""),10.81)</f>
        <v>10.81</v>
      </c>
      <c r="F845" s="2">
        <f>IFERROR(__xludf.DUMMYFUNCTION("""COMPUTED_VALUE"""),7180583.0)</f>
        <v>7180583</v>
      </c>
    </row>
    <row r="846">
      <c r="A846" s="3">
        <f>IFERROR(__xludf.DUMMYFUNCTION("""COMPUTED_VALUE"""),41582.666666666664)</f>
        <v>41582.66667</v>
      </c>
      <c r="B846" s="2">
        <f>IFERROR(__xludf.DUMMYFUNCTION("""COMPUTED_VALUE"""),11.0)</f>
        <v>11</v>
      </c>
      <c r="C846" s="2">
        <f>IFERROR(__xludf.DUMMYFUNCTION("""COMPUTED_VALUE"""),11.69)</f>
        <v>11.69</v>
      </c>
      <c r="D846" s="2">
        <f>IFERROR(__xludf.DUMMYFUNCTION("""COMPUTED_VALUE"""),10.95)</f>
        <v>10.95</v>
      </c>
      <c r="E846" s="2">
        <f>IFERROR(__xludf.DUMMYFUNCTION("""COMPUTED_VALUE"""),11.68)</f>
        <v>11.68</v>
      </c>
      <c r="F846" s="2">
        <f>IFERROR(__xludf.DUMMYFUNCTION("""COMPUTED_VALUE"""),1.3120374E7)</f>
        <v>13120374</v>
      </c>
    </row>
    <row r="847">
      <c r="A847" s="3">
        <f>IFERROR(__xludf.DUMMYFUNCTION("""COMPUTED_VALUE"""),41583.666666666664)</f>
        <v>41583.66667</v>
      </c>
      <c r="B847" s="2">
        <f>IFERROR(__xludf.DUMMYFUNCTION("""COMPUTED_VALUE"""),11.99)</f>
        <v>11.99</v>
      </c>
      <c r="C847" s="2">
        <f>IFERROR(__xludf.DUMMYFUNCTION("""COMPUTED_VALUE"""),12.1)</f>
        <v>12.1</v>
      </c>
      <c r="D847" s="2">
        <f>IFERROR(__xludf.DUMMYFUNCTION("""COMPUTED_VALUE"""),11.42)</f>
        <v>11.42</v>
      </c>
      <c r="E847" s="2">
        <f>IFERROR(__xludf.DUMMYFUNCTION("""COMPUTED_VALUE"""),11.79)</f>
        <v>11.79</v>
      </c>
      <c r="F847" s="2">
        <f>IFERROR(__xludf.DUMMYFUNCTION("""COMPUTED_VALUE"""),2.24671E7)</f>
        <v>22467100</v>
      </c>
    </row>
    <row r="848">
      <c r="A848" s="3">
        <f>IFERROR(__xludf.DUMMYFUNCTION("""COMPUTED_VALUE"""),41584.666666666664)</f>
        <v>41584.66667</v>
      </c>
      <c r="B848" s="2">
        <f>IFERROR(__xludf.DUMMYFUNCTION("""COMPUTED_VALUE"""),10.33)</f>
        <v>10.33</v>
      </c>
      <c r="C848" s="2">
        <f>IFERROR(__xludf.DUMMYFUNCTION("""COMPUTED_VALUE"""),10.72)</f>
        <v>10.72</v>
      </c>
      <c r="D848" s="2">
        <f>IFERROR(__xludf.DUMMYFUNCTION("""COMPUTED_VALUE"""),9.76)</f>
        <v>9.76</v>
      </c>
      <c r="E848" s="2">
        <f>IFERROR(__xludf.DUMMYFUNCTION("""COMPUTED_VALUE"""),10.08)</f>
        <v>10.08</v>
      </c>
      <c r="F848" s="2">
        <f>IFERROR(__xludf.DUMMYFUNCTION("""COMPUTED_VALUE"""),3.1071726E7)</f>
        <v>31071726</v>
      </c>
    </row>
    <row r="849">
      <c r="A849" s="3">
        <f>IFERROR(__xludf.DUMMYFUNCTION("""COMPUTED_VALUE"""),41585.666666666664)</f>
        <v>41585.66667</v>
      </c>
      <c r="B849" s="2">
        <f>IFERROR(__xludf.DUMMYFUNCTION("""COMPUTED_VALUE"""),9.61)</f>
        <v>9.61</v>
      </c>
      <c r="C849" s="2">
        <f>IFERROR(__xludf.DUMMYFUNCTION("""COMPUTED_VALUE"""),9.71)</f>
        <v>9.71</v>
      </c>
      <c r="D849" s="2">
        <f>IFERROR(__xludf.DUMMYFUNCTION("""COMPUTED_VALUE"""),9.17)</f>
        <v>9.17</v>
      </c>
      <c r="E849" s="2">
        <f>IFERROR(__xludf.DUMMYFUNCTION("""COMPUTED_VALUE"""),9.32)</f>
        <v>9.32</v>
      </c>
      <c r="F849" s="2">
        <f>IFERROR(__xludf.DUMMYFUNCTION("""COMPUTED_VALUE"""),2.2284744E7)</f>
        <v>22284744</v>
      </c>
    </row>
    <row r="850">
      <c r="A850" s="3">
        <f>IFERROR(__xludf.DUMMYFUNCTION("""COMPUTED_VALUE"""),41586.666666666664)</f>
        <v>41586.66667</v>
      </c>
      <c r="B850" s="2">
        <f>IFERROR(__xludf.DUMMYFUNCTION("""COMPUTED_VALUE"""),9.06)</f>
        <v>9.06</v>
      </c>
      <c r="C850" s="2">
        <f>IFERROR(__xludf.DUMMYFUNCTION("""COMPUTED_VALUE"""),9.37)</f>
        <v>9.37</v>
      </c>
      <c r="D850" s="2">
        <f>IFERROR(__xludf.DUMMYFUNCTION("""COMPUTED_VALUE"""),8.82)</f>
        <v>8.82</v>
      </c>
      <c r="E850" s="2">
        <f>IFERROR(__xludf.DUMMYFUNCTION("""COMPUTED_VALUE"""),9.2)</f>
        <v>9.2</v>
      </c>
      <c r="F850" s="2">
        <f>IFERROR(__xludf.DUMMYFUNCTION("""COMPUTED_VALUE"""),2.247786E7)</f>
        <v>22477860</v>
      </c>
    </row>
    <row r="851">
      <c r="A851" s="3">
        <f>IFERROR(__xludf.DUMMYFUNCTION("""COMPUTED_VALUE"""),41589.666666666664)</f>
        <v>41589.66667</v>
      </c>
      <c r="B851" s="2">
        <f>IFERROR(__xludf.DUMMYFUNCTION("""COMPUTED_VALUE"""),9.4)</f>
        <v>9.4</v>
      </c>
      <c r="C851" s="2">
        <f>IFERROR(__xludf.DUMMYFUNCTION("""COMPUTED_VALUE"""),9.69)</f>
        <v>9.69</v>
      </c>
      <c r="D851" s="2">
        <f>IFERROR(__xludf.DUMMYFUNCTION("""COMPUTED_VALUE"""),9.14)</f>
        <v>9.14</v>
      </c>
      <c r="E851" s="2">
        <f>IFERROR(__xludf.DUMMYFUNCTION("""COMPUTED_VALUE"""),9.65)</f>
        <v>9.65</v>
      </c>
      <c r="F851" s="2">
        <f>IFERROR(__xludf.DUMMYFUNCTION("""COMPUTED_VALUE"""),1.3997591E7)</f>
        <v>13997591</v>
      </c>
    </row>
    <row r="852">
      <c r="A852" s="3">
        <f>IFERROR(__xludf.DUMMYFUNCTION("""COMPUTED_VALUE"""),41590.666666666664)</f>
        <v>41590.66667</v>
      </c>
      <c r="B852" s="2">
        <f>IFERROR(__xludf.DUMMYFUNCTION("""COMPUTED_VALUE"""),9.65)</f>
        <v>9.65</v>
      </c>
      <c r="C852" s="2">
        <f>IFERROR(__xludf.DUMMYFUNCTION("""COMPUTED_VALUE"""),9.65)</f>
        <v>9.65</v>
      </c>
      <c r="D852" s="2">
        <f>IFERROR(__xludf.DUMMYFUNCTION("""COMPUTED_VALUE"""),9.08)</f>
        <v>9.08</v>
      </c>
      <c r="E852" s="2">
        <f>IFERROR(__xludf.DUMMYFUNCTION("""COMPUTED_VALUE"""),9.19)</f>
        <v>9.19</v>
      </c>
      <c r="F852" s="2">
        <f>IFERROR(__xludf.DUMMYFUNCTION("""COMPUTED_VALUE"""),1.4985162E7)</f>
        <v>14985162</v>
      </c>
    </row>
    <row r="853">
      <c r="A853" s="3">
        <f>IFERROR(__xludf.DUMMYFUNCTION("""COMPUTED_VALUE"""),41591.666666666664)</f>
        <v>41591.66667</v>
      </c>
      <c r="B853" s="2">
        <f>IFERROR(__xludf.DUMMYFUNCTION("""COMPUTED_VALUE"""),9.39)</f>
        <v>9.39</v>
      </c>
      <c r="C853" s="2">
        <f>IFERROR(__xludf.DUMMYFUNCTION("""COMPUTED_VALUE"""),9.49)</f>
        <v>9.49</v>
      </c>
      <c r="D853" s="2">
        <f>IFERROR(__xludf.DUMMYFUNCTION("""COMPUTED_VALUE"""),9.09)</f>
        <v>9.09</v>
      </c>
      <c r="E853" s="2">
        <f>IFERROR(__xludf.DUMMYFUNCTION("""COMPUTED_VALUE"""),9.25)</f>
        <v>9.25</v>
      </c>
      <c r="F853" s="2">
        <f>IFERROR(__xludf.DUMMYFUNCTION("""COMPUTED_VALUE"""),1.2658272E7)</f>
        <v>12658272</v>
      </c>
    </row>
    <row r="854">
      <c r="A854" s="3">
        <f>IFERROR(__xludf.DUMMYFUNCTION("""COMPUTED_VALUE"""),41592.666666666664)</f>
        <v>41592.66667</v>
      </c>
      <c r="B854" s="2">
        <f>IFERROR(__xludf.DUMMYFUNCTION("""COMPUTED_VALUE"""),9.26)</f>
        <v>9.26</v>
      </c>
      <c r="C854" s="2">
        <f>IFERROR(__xludf.DUMMYFUNCTION("""COMPUTED_VALUE"""),9.36)</f>
        <v>9.36</v>
      </c>
      <c r="D854" s="2">
        <f>IFERROR(__xludf.DUMMYFUNCTION("""COMPUTED_VALUE"""),8.94)</f>
        <v>8.94</v>
      </c>
      <c r="E854" s="2">
        <f>IFERROR(__xludf.DUMMYFUNCTION("""COMPUTED_VALUE"""),9.17)</f>
        <v>9.17</v>
      </c>
      <c r="F854" s="2">
        <f>IFERROR(__xludf.DUMMYFUNCTION("""COMPUTED_VALUE"""),1.22037E7)</f>
        <v>12203700</v>
      </c>
    </row>
    <row r="855">
      <c r="A855" s="3">
        <f>IFERROR(__xludf.DUMMYFUNCTION("""COMPUTED_VALUE"""),41593.666666666664)</f>
        <v>41593.66667</v>
      </c>
      <c r="B855" s="2">
        <f>IFERROR(__xludf.DUMMYFUNCTION("""COMPUTED_VALUE"""),9.1)</f>
        <v>9.1</v>
      </c>
      <c r="C855" s="2">
        <f>IFERROR(__xludf.DUMMYFUNCTION("""COMPUTED_VALUE"""),9.2)</f>
        <v>9.2</v>
      </c>
      <c r="D855" s="2">
        <f>IFERROR(__xludf.DUMMYFUNCTION("""COMPUTED_VALUE"""),8.96)</f>
        <v>8.96</v>
      </c>
      <c r="E855" s="2">
        <f>IFERROR(__xludf.DUMMYFUNCTION("""COMPUTED_VALUE"""),9.03)</f>
        <v>9.03</v>
      </c>
      <c r="F855" s="2">
        <f>IFERROR(__xludf.DUMMYFUNCTION("""COMPUTED_VALUE"""),9900176.0)</f>
        <v>9900176</v>
      </c>
    </row>
    <row r="856">
      <c r="A856" s="3">
        <f>IFERROR(__xludf.DUMMYFUNCTION("""COMPUTED_VALUE"""),41596.666666666664)</f>
        <v>41596.66667</v>
      </c>
      <c r="B856" s="2">
        <f>IFERROR(__xludf.DUMMYFUNCTION("""COMPUTED_VALUE"""),9.02)</f>
        <v>9.02</v>
      </c>
      <c r="C856" s="2">
        <f>IFERROR(__xludf.DUMMYFUNCTION("""COMPUTED_VALUE"""),9.03)</f>
        <v>9.03</v>
      </c>
      <c r="D856" s="2">
        <f>IFERROR(__xludf.DUMMYFUNCTION("""COMPUTED_VALUE"""),7.97)</f>
        <v>7.97</v>
      </c>
      <c r="E856" s="2">
        <f>IFERROR(__xludf.DUMMYFUNCTION("""COMPUTED_VALUE"""),8.11)</f>
        <v>8.11</v>
      </c>
      <c r="F856" s="2">
        <f>IFERROR(__xludf.DUMMYFUNCTION("""COMPUTED_VALUE"""),2.3138242E7)</f>
        <v>23138242</v>
      </c>
    </row>
    <row r="857">
      <c r="A857" s="3">
        <f>IFERROR(__xludf.DUMMYFUNCTION("""COMPUTED_VALUE"""),41597.666666666664)</f>
        <v>41597.66667</v>
      </c>
      <c r="B857" s="2">
        <f>IFERROR(__xludf.DUMMYFUNCTION("""COMPUTED_VALUE"""),7.97)</f>
        <v>7.97</v>
      </c>
      <c r="C857" s="2">
        <f>IFERROR(__xludf.DUMMYFUNCTION("""COMPUTED_VALUE"""),8.6)</f>
        <v>8.6</v>
      </c>
      <c r="D857" s="2">
        <f>IFERROR(__xludf.DUMMYFUNCTION("""COMPUTED_VALUE"""),7.95)</f>
        <v>7.95</v>
      </c>
      <c r="E857" s="2">
        <f>IFERROR(__xludf.DUMMYFUNCTION("""COMPUTED_VALUE"""),8.41)</f>
        <v>8.41</v>
      </c>
      <c r="F857" s="2">
        <f>IFERROR(__xludf.DUMMYFUNCTION("""COMPUTED_VALUE"""),1.9816154E7)</f>
        <v>19816154</v>
      </c>
    </row>
    <row r="858">
      <c r="A858" s="3">
        <f>IFERROR(__xludf.DUMMYFUNCTION("""COMPUTED_VALUE"""),41598.666666666664)</f>
        <v>41598.66667</v>
      </c>
      <c r="B858" s="2">
        <f>IFERROR(__xludf.DUMMYFUNCTION("""COMPUTED_VALUE"""),8.43)</f>
        <v>8.43</v>
      </c>
      <c r="C858" s="2">
        <f>IFERROR(__xludf.DUMMYFUNCTION("""COMPUTED_VALUE"""),8.5)</f>
        <v>8.5</v>
      </c>
      <c r="D858" s="2">
        <f>IFERROR(__xludf.DUMMYFUNCTION("""COMPUTED_VALUE"""),7.94)</f>
        <v>7.94</v>
      </c>
      <c r="E858" s="2">
        <f>IFERROR(__xludf.DUMMYFUNCTION("""COMPUTED_VALUE"""),8.07)</f>
        <v>8.07</v>
      </c>
      <c r="F858" s="2">
        <f>IFERROR(__xludf.DUMMYFUNCTION("""COMPUTED_VALUE"""),1.3849554E7)</f>
        <v>13849554</v>
      </c>
    </row>
    <row r="859">
      <c r="A859" s="3">
        <f>IFERROR(__xludf.DUMMYFUNCTION("""COMPUTED_VALUE"""),41599.666666666664)</f>
        <v>41599.66667</v>
      </c>
      <c r="B859" s="2">
        <f>IFERROR(__xludf.DUMMYFUNCTION("""COMPUTED_VALUE"""),8.19)</f>
        <v>8.19</v>
      </c>
      <c r="C859" s="2">
        <f>IFERROR(__xludf.DUMMYFUNCTION("""COMPUTED_VALUE"""),8.32)</f>
        <v>8.32</v>
      </c>
      <c r="D859" s="2">
        <f>IFERROR(__xludf.DUMMYFUNCTION("""COMPUTED_VALUE"""),8.02)</f>
        <v>8.02</v>
      </c>
      <c r="E859" s="2">
        <f>IFERROR(__xludf.DUMMYFUNCTION("""COMPUTED_VALUE"""),8.14)</f>
        <v>8.14</v>
      </c>
      <c r="F859" s="2">
        <f>IFERROR(__xludf.DUMMYFUNCTION("""COMPUTED_VALUE"""),1.1903803E7)</f>
        <v>11903803</v>
      </c>
    </row>
    <row r="860">
      <c r="A860" s="3">
        <f>IFERROR(__xludf.DUMMYFUNCTION("""COMPUTED_VALUE"""),41600.666666666664)</f>
        <v>41600.66667</v>
      </c>
      <c r="B860" s="2">
        <f>IFERROR(__xludf.DUMMYFUNCTION("""COMPUTED_VALUE"""),8.11)</f>
        <v>8.11</v>
      </c>
      <c r="C860" s="2">
        <f>IFERROR(__xludf.DUMMYFUNCTION("""COMPUTED_VALUE"""),8.18)</f>
        <v>8.18</v>
      </c>
      <c r="D860" s="2">
        <f>IFERROR(__xludf.DUMMYFUNCTION("""COMPUTED_VALUE"""),7.86)</f>
        <v>7.86</v>
      </c>
      <c r="E860" s="2">
        <f>IFERROR(__xludf.DUMMYFUNCTION("""COMPUTED_VALUE"""),8.09)</f>
        <v>8.09</v>
      </c>
      <c r="F860" s="2">
        <f>IFERROR(__xludf.DUMMYFUNCTION("""COMPUTED_VALUE"""),1.1104146E7)</f>
        <v>11104146</v>
      </c>
    </row>
    <row r="861">
      <c r="A861" s="3">
        <f>IFERROR(__xludf.DUMMYFUNCTION("""COMPUTED_VALUE"""),41603.666666666664)</f>
        <v>41603.66667</v>
      </c>
      <c r="B861" s="2">
        <f>IFERROR(__xludf.DUMMYFUNCTION("""COMPUTED_VALUE"""),8.3)</f>
        <v>8.3</v>
      </c>
      <c r="C861" s="2">
        <f>IFERROR(__xludf.DUMMYFUNCTION("""COMPUTED_VALUE"""),8.39)</f>
        <v>8.39</v>
      </c>
      <c r="D861" s="2">
        <f>IFERROR(__xludf.DUMMYFUNCTION("""COMPUTED_VALUE"""),8.02)</f>
        <v>8.02</v>
      </c>
      <c r="E861" s="2">
        <f>IFERROR(__xludf.DUMMYFUNCTION("""COMPUTED_VALUE"""),8.06)</f>
        <v>8.06</v>
      </c>
      <c r="F861" s="2">
        <f>IFERROR(__xludf.DUMMYFUNCTION("""COMPUTED_VALUE"""),1.0275348E7)</f>
        <v>10275348</v>
      </c>
    </row>
    <row r="862">
      <c r="A862" s="3">
        <f>IFERROR(__xludf.DUMMYFUNCTION("""COMPUTED_VALUE"""),41604.666666666664)</f>
        <v>41604.66667</v>
      </c>
      <c r="B862" s="2">
        <f>IFERROR(__xludf.DUMMYFUNCTION("""COMPUTED_VALUE"""),7.96)</f>
        <v>7.96</v>
      </c>
      <c r="C862" s="2">
        <f>IFERROR(__xludf.DUMMYFUNCTION("""COMPUTED_VALUE"""),8.18)</f>
        <v>8.18</v>
      </c>
      <c r="D862" s="2">
        <f>IFERROR(__xludf.DUMMYFUNCTION("""COMPUTED_VALUE"""),7.74)</f>
        <v>7.74</v>
      </c>
      <c r="E862" s="2">
        <f>IFERROR(__xludf.DUMMYFUNCTION("""COMPUTED_VALUE"""),8.03)</f>
        <v>8.03</v>
      </c>
      <c r="F862" s="2">
        <f>IFERROR(__xludf.DUMMYFUNCTION("""COMPUTED_VALUE"""),1.3885522E7)</f>
        <v>13885522</v>
      </c>
    </row>
    <row r="863">
      <c r="A863" s="3">
        <f>IFERROR(__xludf.DUMMYFUNCTION("""COMPUTED_VALUE"""),41605.666666666664)</f>
        <v>41605.66667</v>
      </c>
      <c r="B863" s="2">
        <f>IFERROR(__xludf.DUMMYFUNCTION("""COMPUTED_VALUE"""),8.09)</f>
        <v>8.09</v>
      </c>
      <c r="C863" s="2">
        <f>IFERROR(__xludf.DUMMYFUNCTION("""COMPUTED_VALUE"""),8.46)</f>
        <v>8.46</v>
      </c>
      <c r="D863" s="2">
        <f>IFERROR(__xludf.DUMMYFUNCTION("""COMPUTED_VALUE"""),7.97)</f>
        <v>7.97</v>
      </c>
      <c r="E863" s="2">
        <f>IFERROR(__xludf.DUMMYFUNCTION("""COMPUTED_VALUE"""),8.46)</f>
        <v>8.46</v>
      </c>
      <c r="F863" s="2">
        <f>IFERROR(__xludf.DUMMYFUNCTION("""COMPUTED_VALUE"""),1.2367634E7)</f>
        <v>12367634</v>
      </c>
    </row>
    <row r="864">
      <c r="A864" s="3">
        <f>IFERROR(__xludf.DUMMYFUNCTION("""COMPUTED_VALUE"""),41607.666666666664)</f>
        <v>41607.66667</v>
      </c>
      <c r="B864" s="2">
        <f>IFERROR(__xludf.DUMMYFUNCTION("""COMPUTED_VALUE"""),8.65)</f>
        <v>8.65</v>
      </c>
      <c r="C864" s="2">
        <f>IFERROR(__xludf.DUMMYFUNCTION("""COMPUTED_VALUE"""),8.71)</f>
        <v>8.71</v>
      </c>
      <c r="D864" s="2">
        <f>IFERROR(__xludf.DUMMYFUNCTION("""COMPUTED_VALUE"""),8.47)</f>
        <v>8.47</v>
      </c>
      <c r="E864" s="2">
        <f>IFERROR(__xludf.DUMMYFUNCTION("""COMPUTED_VALUE"""),8.49)</f>
        <v>8.49</v>
      </c>
      <c r="F864" s="2">
        <f>IFERROR(__xludf.DUMMYFUNCTION("""COMPUTED_VALUE"""),9716219.0)</f>
        <v>9716219</v>
      </c>
    </row>
    <row r="865">
      <c r="A865" s="3">
        <f>IFERROR(__xludf.DUMMYFUNCTION("""COMPUTED_VALUE"""),41610.666666666664)</f>
        <v>41610.66667</v>
      </c>
      <c r="B865" s="2">
        <f>IFERROR(__xludf.DUMMYFUNCTION("""COMPUTED_VALUE"""),8.42)</f>
        <v>8.42</v>
      </c>
      <c r="C865" s="2">
        <f>IFERROR(__xludf.DUMMYFUNCTION("""COMPUTED_VALUE"""),8.57)</f>
        <v>8.57</v>
      </c>
      <c r="D865" s="2">
        <f>IFERROR(__xludf.DUMMYFUNCTION("""COMPUTED_VALUE"""),8.26)</f>
        <v>8.26</v>
      </c>
      <c r="E865" s="2">
        <f>IFERROR(__xludf.DUMMYFUNCTION("""COMPUTED_VALUE"""),8.28)</f>
        <v>8.28</v>
      </c>
      <c r="F865" s="2">
        <f>IFERROR(__xludf.DUMMYFUNCTION("""COMPUTED_VALUE"""),7751211.0)</f>
        <v>7751211</v>
      </c>
    </row>
    <row r="866">
      <c r="A866" s="3">
        <f>IFERROR(__xludf.DUMMYFUNCTION("""COMPUTED_VALUE"""),41611.666666666664)</f>
        <v>41611.66667</v>
      </c>
      <c r="B866" s="2">
        <f>IFERROR(__xludf.DUMMYFUNCTION("""COMPUTED_VALUE"""),8.85)</f>
        <v>8.85</v>
      </c>
      <c r="C866" s="2">
        <f>IFERROR(__xludf.DUMMYFUNCTION("""COMPUTED_VALUE"""),9.66)</f>
        <v>9.66</v>
      </c>
      <c r="D866" s="2">
        <f>IFERROR(__xludf.DUMMYFUNCTION("""COMPUTED_VALUE"""),8.77)</f>
        <v>8.77</v>
      </c>
      <c r="E866" s="2">
        <f>IFERROR(__xludf.DUMMYFUNCTION("""COMPUTED_VALUE"""),9.65)</f>
        <v>9.65</v>
      </c>
      <c r="F866" s="2">
        <f>IFERROR(__xludf.DUMMYFUNCTION("""COMPUTED_VALUE"""),2.5682404E7)</f>
        <v>25682404</v>
      </c>
    </row>
    <row r="867">
      <c r="A867" s="3">
        <f>IFERROR(__xludf.DUMMYFUNCTION("""COMPUTED_VALUE"""),41612.666666666664)</f>
        <v>41612.66667</v>
      </c>
      <c r="B867" s="2">
        <f>IFERROR(__xludf.DUMMYFUNCTION("""COMPUTED_VALUE"""),9.62)</f>
        <v>9.62</v>
      </c>
      <c r="C867" s="2">
        <f>IFERROR(__xludf.DUMMYFUNCTION("""COMPUTED_VALUE"""),9.63)</f>
        <v>9.63</v>
      </c>
      <c r="D867" s="2">
        <f>IFERROR(__xludf.DUMMYFUNCTION("""COMPUTED_VALUE"""),9.14)</f>
        <v>9.14</v>
      </c>
      <c r="E867" s="2">
        <f>IFERROR(__xludf.DUMMYFUNCTION("""COMPUTED_VALUE"""),9.26)</f>
        <v>9.26</v>
      </c>
      <c r="F867" s="2">
        <f>IFERROR(__xludf.DUMMYFUNCTION("""COMPUTED_VALUE"""),1.3147688E7)</f>
        <v>13147688</v>
      </c>
    </row>
    <row r="868">
      <c r="A868" s="3">
        <f>IFERROR(__xludf.DUMMYFUNCTION("""COMPUTED_VALUE"""),41613.666666666664)</f>
        <v>41613.66667</v>
      </c>
      <c r="B868" s="2">
        <f>IFERROR(__xludf.DUMMYFUNCTION("""COMPUTED_VALUE"""),9.35)</f>
        <v>9.35</v>
      </c>
      <c r="C868" s="2">
        <f>IFERROR(__xludf.DUMMYFUNCTION("""COMPUTED_VALUE"""),9.56)</f>
        <v>9.56</v>
      </c>
      <c r="D868" s="2">
        <f>IFERROR(__xludf.DUMMYFUNCTION("""COMPUTED_VALUE"""),9.3)</f>
        <v>9.3</v>
      </c>
      <c r="E868" s="2">
        <f>IFERROR(__xludf.DUMMYFUNCTION("""COMPUTED_VALUE"""),9.37)</f>
        <v>9.37</v>
      </c>
      <c r="F868" s="2">
        <f>IFERROR(__xludf.DUMMYFUNCTION("""COMPUTED_VALUE"""),9288415.0)</f>
        <v>9288415</v>
      </c>
    </row>
    <row r="869">
      <c r="A869" s="3">
        <f>IFERROR(__xludf.DUMMYFUNCTION("""COMPUTED_VALUE"""),41614.666666666664)</f>
        <v>41614.66667</v>
      </c>
      <c r="B869" s="2">
        <f>IFERROR(__xludf.DUMMYFUNCTION("""COMPUTED_VALUE"""),9.43)</f>
        <v>9.43</v>
      </c>
      <c r="C869" s="2">
        <f>IFERROR(__xludf.DUMMYFUNCTION("""COMPUTED_VALUE"""),9.5)</f>
        <v>9.5</v>
      </c>
      <c r="D869" s="2">
        <f>IFERROR(__xludf.DUMMYFUNCTION("""COMPUTED_VALUE"""),9.09)</f>
        <v>9.09</v>
      </c>
      <c r="E869" s="2">
        <f>IFERROR(__xludf.DUMMYFUNCTION("""COMPUTED_VALUE"""),9.16)</f>
        <v>9.16</v>
      </c>
      <c r="F869" s="2">
        <f>IFERROR(__xludf.DUMMYFUNCTION("""COMPUTED_VALUE"""),7909596.0)</f>
        <v>7909596</v>
      </c>
    </row>
    <row r="870">
      <c r="A870" s="3">
        <f>IFERROR(__xludf.DUMMYFUNCTION("""COMPUTED_VALUE"""),41617.666666666664)</f>
        <v>41617.66667</v>
      </c>
      <c r="B870" s="2">
        <f>IFERROR(__xludf.DUMMYFUNCTION("""COMPUTED_VALUE"""),9.13)</f>
        <v>9.13</v>
      </c>
      <c r="C870" s="2">
        <f>IFERROR(__xludf.DUMMYFUNCTION("""COMPUTED_VALUE"""),9.45)</f>
        <v>9.45</v>
      </c>
      <c r="D870" s="2">
        <f>IFERROR(__xludf.DUMMYFUNCTION("""COMPUTED_VALUE"""),8.95)</f>
        <v>8.95</v>
      </c>
      <c r="E870" s="2">
        <f>IFERROR(__xludf.DUMMYFUNCTION("""COMPUTED_VALUE"""),9.44)</f>
        <v>9.44</v>
      </c>
      <c r="F870" s="2">
        <f>IFERROR(__xludf.DUMMYFUNCTION("""COMPUTED_VALUE"""),9061485.0)</f>
        <v>9061485</v>
      </c>
    </row>
    <row r="871">
      <c r="A871" s="3">
        <f>IFERROR(__xludf.DUMMYFUNCTION("""COMPUTED_VALUE"""),41618.666666666664)</f>
        <v>41618.66667</v>
      </c>
      <c r="B871" s="2">
        <f>IFERROR(__xludf.DUMMYFUNCTION("""COMPUTED_VALUE"""),9.33)</f>
        <v>9.33</v>
      </c>
      <c r="C871" s="2">
        <f>IFERROR(__xludf.DUMMYFUNCTION("""COMPUTED_VALUE"""),9.72)</f>
        <v>9.72</v>
      </c>
      <c r="D871" s="2">
        <f>IFERROR(__xludf.DUMMYFUNCTION("""COMPUTED_VALUE"""),9.32)</f>
        <v>9.32</v>
      </c>
      <c r="E871" s="2">
        <f>IFERROR(__xludf.DUMMYFUNCTION("""COMPUTED_VALUE"""),9.48)</f>
        <v>9.48</v>
      </c>
      <c r="F871" s="2">
        <f>IFERROR(__xludf.DUMMYFUNCTION("""COMPUTED_VALUE"""),1.0748234E7)</f>
        <v>10748234</v>
      </c>
    </row>
    <row r="872">
      <c r="A872" s="3">
        <f>IFERROR(__xludf.DUMMYFUNCTION("""COMPUTED_VALUE"""),41619.666666666664)</f>
        <v>41619.66667</v>
      </c>
      <c r="B872" s="2">
        <f>IFERROR(__xludf.DUMMYFUNCTION("""COMPUTED_VALUE"""),9.46)</f>
        <v>9.46</v>
      </c>
      <c r="C872" s="2">
        <f>IFERROR(__xludf.DUMMYFUNCTION("""COMPUTED_VALUE"""),9.54)</f>
        <v>9.54</v>
      </c>
      <c r="D872" s="2">
        <f>IFERROR(__xludf.DUMMYFUNCTION("""COMPUTED_VALUE"""),9.3)</f>
        <v>9.3</v>
      </c>
      <c r="E872" s="2">
        <f>IFERROR(__xludf.DUMMYFUNCTION("""COMPUTED_VALUE"""),9.31)</f>
        <v>9.31</v>
      </c>
      <c r="F872" s="2">
        <f>IFERROR(__xludf.DUMMYFUNCTION("""COMPUTED_VALUE"""),7137842.0)</f>
        <v>7137842</v>
      </c>
    </row>
    <row r="873">
      <c r="A873" s="3">
        <f>IFERROR(__xludf.DUMMYFUNCTION("""COMPUTED_VALUE"""),41620.666666666664)</f>
        <v>41620.66667</v>
      </c>
      <c r="B873" s="2">
        <f>IFERROR(__xludf.DUMMYFUNCTION("""COMPUTED_VALUE"""),9.31)</f>
        <v>9.31</v>
      </c>
      <c r="C873" s="2">
        <f>IFERROR(__xludf.DUMMYFUNCTION("""COMPUTED_VALUE"""),9.88)</f>
        <v>9.88</v>
      </c>
      <c r="D873" s="2">
        <f>IFERROR(__xludf.DUMMYFUNCTION("""COMPUTED_VALUE"""),9.24)</f>
        <v>9.24</v>
      </c>
      <c r="E873" s="2">
        <f>IFERROR(__xludf.DUMMYFUNCTION("""COMPUTED_VALUE"""),9.83)</f>
        <v>9.83</v>
      </c>
      <c r="F873" s="2">
        <f>IFERROR(__xludf.DUMMYFUNCTION("""COMPUTED_VALUE"""),1.0767791E7)</f>
        <v>10767791</v>
      </c>
    </row>
    <row r="874">
      <c r="A874" s="3">
        <f>IFERROR(__xludf.DUMMYFUNCTION("""COMPUTED_VALUE"""),41621.666666666664)</f>
        <v>41621.66667</v>
      </c>
      <c r="B874" s="2">
        <f>IFERROR(__xludf.DUMMYFUNCTION("""COMPUTED_VALUE"""),9.87)</f>
        <v>9.87</v>
      </c>
      <c r="C874" s="2">
        <f>IFERROR(__xludf.DUMMYFUNCTION("""COMPUTED_VALUE"""),10.12)</f>
        <v>10.12</v>
      </c>
      <c r="D874" s="2">
        <f>IFERROR(__xludf.DUMMYFUNCTION("""COMPUTED_VALUE"""),9.82)</f>
        <v>9.82</v>
      </c>
      <c r="E874" s="2">
        <f>IFERROR(__xludf.DUMMYFUNCTION("""COMPUTED_VALUE"""),9.84)</f>
        <v>9.84</v>
      </c>
      <c r="F874" s="2">
        <f>IFERROR(__xludf.DUMMYFUNCTION("""COMPUTED_VALUE"""),1.0599775E7)</f>
        <v>10599775</v>
      </c>
    </row>
    <row r="875">
      <c r="A875" s="3">
        <f>IFERROR(__xludf.DUMMYFUNCTION("""COMPUTED_VALUE"""),41624.666666666664)</f>
        <v>41624.66667</v>
      </c>
      <c r="B875" s="2">
        <f>IFERROR(__xludf.DUMMYFUNCTION("""COMPUTED_VALUE"""),9.9)</f>
        <v>9.9</v>
      </c>
      <c r="C875" s="2">
        <f>IFERROR(__xludf.DUMMYFUNCTION("""COMPUTED_VALUE"""),10.03)</f>
        <v>10.03</v>
      </c>
      <c r="D875" s="2">
        <f>IFERROR(__xludf.DUMMYFUNCTION("""COMPUTED_VALUE"""),9.74)</f>
        <v>9.74</v>
      </c>
      <c r="E875" s="2">
        <f>IFERROR(__xludf.DUMMYFUNCTION("""COMPUTED_VALUE"""),9.86)</f>
        <v>9.86</v>
      </c>
      <c r="F875" s="2">
        <f>IFERROR(__xludf.DUMMYFUNCTION("""COMPUTED_VALUE"""),6675276.0)</f>
        <v>6675276</v>
      </c>
    </row>
    <row r="876">
      <c r="A876" s="3">
        <f>IFERROR(__xludf.DUMMYFUNCTION("""COMPUTED_VALUE"""),41625.666666666664)</f>
        <v>41625.66667</v>
      </c>
      <c r="B876" s="2">
        <f>IFERROR(__xludf.DUMMYFUNCTION("""COMPUTED_VALUE"""),9.79)</f>
        <v>9.79</v>
      </c>
      <c r="C876" s="2">
        <f>IFERROR(__xludf.DUMMYFUNCTION("""COMPUTED_VALUE"""),10.31)</f>
        <v>10.31</v>
      </c>
      <c r="D876" s="2">
        <f>IFERROR(__xludf.DUMMYFUNCTION("""COMPUTED_VALUE"""),9.75)</f>
        <v>9.75</v>
      </c>
      <c r="E876" s="2">
        <f>IFERROR(__xludf.DUMMYFUNCTION("""COMPUTED_VALUE"""),10.16)</f>
        <v>10.16</v>
      </c>
      <c r="F876" s="2">
        <f>IFERROR(__xludf.DUMMYFUNCTION("""COMPUTED_VALUE"""),1.0494969E7)</f>
        <v>10494969</v>
      </c>
    </row>
    <row r="877">
      <c r="A877" s="3">
        <f>IFERROR(__xludf.DUMMYFUNCTION("""COMPUTED_VALUE"""),41626.666666666664)</f>
        <v>41626.66667</v>
      </c>
      <c r="B877" s="2">
        <f>IFERROR(__xludf.DUMMYFUNCTION("""COMPUTED_VALUE"""),10.15)</f>
        <v>10.15</v>
      </c>
      <c r="C877" s="2">
        <f>IFERROR(__xludf.DUMMYFUNCTION("""COMPUTED_VALUE"""),10.33)</f>
        <v>10.33</v>
      </c>
      <c r="D877" s="2">
        <f>IFERROR(__xludf.DUMMYFUNCTION("""COMPUTED_VALUE"""),9.73)</f>
        <v>9.73</v>
      </c>
      <c r="E877" s="2">
        <f>IFERROR(__xludf.DUMMYFUNCTION("""COMPUTED_VALUE"""),9.87)</f>
        <v>9.87</v>
      </c>
      <c r="F877" s="2">
        <f>IFERROR(__xludf.DUMMYFUNCTION("""COMPUTED_VALUE"""),1.1581897E7)</f>
        <v>11581897</v>
      </c>
    </row>
    <row r="878">
      <c r="A878" s="3">
        <f>IFERROR(__xludf.DUMMYFUNCTION("""COMPUTED_VALUE"""),41627.666666666664)</f>
        <v>41627.66667</v>
      </c>
      <c r="B878" s="2">
        <f>IFERROR(__xludf.DUMMYFUNCTION("""COMPUTED_VALUE"""),9.79)</f>
        <v>9.79</v>
      </c>
      <c r="C878" s="2">
        <f>IFERROR(__xludf.DUMMYFUNCTION("""COMPUTED_VALUE"""),9.8)</f>
        <v>9.8</v>
      </c>
      <c r="D878" s="2">
        <f>IFERROR(__xludf.DUMMYFUNCTION("""COMPUTED_VALUE"""),9.27)</f>
        <v>9.27</v>
      </c>
      <c r="E878" s="2">
        <f>IFERROR(__xludf.DUMMYFUNCTION("""COMPUTED_VALUE"""),9.38)</f>
        <v>9.38</v>
      </c>
      <c r="F878" s="2">
        <f>IFERROR(__xludf.DUMMYFUNCTION("""COMPUTED_VALUE"""),1.2758613E7)</f>
        <v>12758613</v>
      </c>
    </row>
    <row r="879">
      <c r="A879" s="3">
        <f>IFERROR(__xludf.DUMMYFUNCTION("""COMPUTED_VALUE"""),41628.666666666664)</f>
        <v>41628.66667</v>
      </c>
      <c r="B879" s="2">
        <f>IFERROR(__xludf.DUMMYFUNCTION("""COMPUTED_VALUE"""),9.46)</f>
        <v>9.46</v>
      </c>
      <c r="C879" s="2">
        <f>IFERROR(__xludf.DUMMYFUNCTION("""COMPUTED_VALUE"""),9.62)</f>
        <v>9.62</v>
      </c>
      <c r="D879" s="2">
        <f>IFERROR(__xludf.DUMMYFUNCTION("""COMPUTED_VALUE"""),9.44)</f>
        <v>9.44</v>
      </c>
      <c r="E879" s="2">
        <f>IFERROR(__xludf.DUMMYFUNCTION("""COMPUTED_VALUE"""),9.55)</f>
        <v>9.55</v>
      </c>
      <c r="F879" s="2">
        <f>IFERROR(__xludf.DUMMYFUNCTION("""COMPUTED_VALUE"""),7422537.0)</f>
        <v>7422537</v>
      </c>
    </row>
    <row r="880">
      <c r="A880" s="3">
        <f>IFERROR(__xludf.DUMMYFUNCTION("""COMPUTED_VALUE"""),41631.666666666664)</f>
        <v>41631.66667</v>
      </c>
      <c r="B880" s="2">
        <f>IFERROR(__xludf.DUMMYFUNCTION("""COMPUTED_VALUE"""),9.66)</f>
        <v>9.66</v>
      </c>
      <c r="C880" s="2">
        <f>IFERROR(__xludf.DUMMYFUNCTION("""COMPUTED_VALUE"""),9.75)</f>
        <v>9.75</v>
      </c>
      <c r="D880" s="2">
        <f>IFERROR(__xludf.DUMMYFUNCTION("""COMPUTED_VALUE"""),9.51)</f>
        <v>9.51</v>
      </c>
      <c r="E880" s="2">
        <f>IFERROR(__xludf.DUMMYFUNCTION("""COMPUTED_VALUE"""),9.57)</f>
        <v>9.57</v>
      </c>
      <c r="F880" s="2">
        <f>IFERROR(__xludf.DUMMYFUNCTION("""COMPUTED_VALUE"""),5385506.0)</f>
        <v>5385506</v>
      </c>
    </row>
    <row r="881">
      <c r="A881" s="3">
        <f>IFERROR(__xludf.DUMMYFUNCTION("""COMPUTED_VALUE"""),41632.666666666664)</f>
        <v>41632.66667</v>
      </c>
      <c r="B881" s="2">
        <f>IFERROR(__xludf.DUMMYFUNCTION("""COMPUTED_VALUE"""),10.0)</f>
        <v>10</v>
      </c>
      <c r="C881" s="2">
        <f>IFERROR(__xludf.DUMMYFUNCTION("""COMPUTED_VALUE"""),10.33)</f>
        <v>10.33</v>
      </c>
      <c r="D881" s="2">
        <f>IFERROR(__xludf.DUMMYFUNCTION("""COMPUTED_VALUE"""),9.99)</f>
        <v>9.99</v>
      </c>
      <c r="E881" s="2">
        <f>IFERROR(__xludf.DUMMYFUNCTION("""COMPUTED_VALUE"""),10.09)</f>
        <v>10.09</v>
      </c>
      <c r="F881" s="2">
        <f>IFERROR(__xludf.DUMMYFUNCTION("""COMPUTED_VALUE"""),9941485.0)</f>
        <v>9941485</v>
      </c>
    </row>
    <row r="882">
      <c r="A882" s="3">
        <f>IFERROR(__xludf.DUMMYFUNCTION("""COMPUTED_VALUE"""),41634.666666666664)</f>
        <v>41634.66667</v>
      </c>
      <c r="B882" s="2">
        <f>IFERROR(__xludf.DUMMYFUNCTION("""COMPUTED_VALUE"""),10.33)</f>
        <v>10.33</v>
      </c>
      <c r="C882" s="2">
        <f>IFERROR(__xludf.DUMMYFUNCTION("""COMPUTED_VALUE"""),10.53)</f>
        <v>10.53</v>
      </c>
      <c r="D882" s="2">
        <f>IFERROR(__xludf.DUMMYFUNCTION("""COMPUTED_VALUE"""),10.29)</f>
        <v>10.29</v>
      </c>
      <c r="E882" s="2">
        <f>IFERROR(__xludf.DUMMYFUNCTION("""COMPUTED_VALUE"""),10.37)</f>
        <v>10.37</v>
      </c>
      <c r="F882" s="2">
        <f>IFERROR(__xludf.DUMMYFUNCTION("""COMPUTED_VALUE"""),7129526.0)</f>
        <v>7129526</v>
      </c>
    </row>
    <row r="883">
      <c r="A883" s="3">
        <f>IFERROR(__xludf.DUMMYFUNCTION("""COMPUTED_VALUE"""),41635.666666666664)</f>
        <v>41635.66667</v>
      </c>
      <c r="B883" s="2">
        <f>IFERROR(__xludf.DUMMYFUNCTION("""COMPUTED_VALUE"""),10.35)</f>
        <v>10.35</v>
      </c>
      <c r="C883" s="2">
        <f>IFERROR(__xludf.DUMMYFUNCTION("""COMPUTED_VALUE"""),10.37)</f>
        <v>10.37</v>
      </c>
      <c r="D883" s="2">
        <f>IFERROR(__xludf.DUMMYFUNCTION("""COMPUTED_VALUE"""),10.05)</f>
        <v>10.05</v>
      </c>
      <c r="E883" s="2">
        <f>IFERROR(__xludf.DUMMYFUNCTION("""COMPUTED_VALUE"""),10.07)</f>
        <v>10.07</v>
      </c>
      <c r="F883" s="2">
        <f>IFERROR(__xludf.DUMMYFUNCTION("""COMPUTED_VALUE"""),5469064.0)</f>
        <v>5469064</v>
      </c>
    </row>
    <row r="884">
      <c r="A884" s="3">
        <f>IFERROR(__xludf.DUMMYFUNCTION("""COMPUTED_VALUE"""),41638.666666666664)</f>
        <v>41638.66667</v>
      </c>
      <c r="B884" s="2">
        <f>IFERROR(__xludf.DUMMYFUNCTION("""COMPUTED_VALUE"""),10.07)</f>
        <v>10.07</v>
      </c>
      <c r="C884" s="2">
        <f>IFERROR(__xludf.DUMMYFUNCTION("""COMPUTED_VALUE"""),10.32)</f>
        <v>10.32</v>
      </c>
      <c r="D884" s="2">
        <f>IFERROR(__xludf.DUMMYFUNCTION("""COMPUTED_VALUE"""),10.05)</f>
        <v>10.05</v>
      </c>
      <c r="E884" s="2">
        <f>IFERROR(__xludf.DUMMYFUNCTION("""COMPUTED_VALUE"""),10.16)</f>
        <v>10.16</v>
      </c>
      <c r="F884" s="2">
        <f>IFERROR(__xludf.DUMMYFUNCTION("""COMPUTED_VALUE"""),4472076.0)</f>
        <v>4472076</v>
      </c>
    </row>
    <row r="885">
      <c r="A885" s="3">
        <f>IFERROR(__xludf.DUMMYFUNCTION("""COMPUTED_VALUE"""),41639.666666666664)</f>
        <v>41639.66667</v>
      </c>
      <c r="B885" s="2">
        <f>IFERROR(__xludf.DUMMYFUNCTION("""COMPUTED_VALUE"""),10.16)</f>
        <v>10.16</v>
      </c>
      <c r="C885" s="2">
        <f>IFERROR(__xludf.DUMMYFUNCTION("""COMPUTED_VALUE"""),10.21)</f>
        <v>10.21</v>
      </c>
      <c r="D885" s="2">
        <f>IFERROR(__xludf.DUMMYFUNCTION("""COMPUTED_VALUE"""),9.91)</f>
        <v>9.91</v>
      </c>
      <c r="E885" s="2">
        <f>IFERROR(__xludf.DUMMYFUNCTION("""COMPUTED_VALUE"""),10.03)</f>
        <v>10.03</v>
      </c>
      <c r="F885" s="2">
        <f>IFERROR(__xludf.DUMMYFUNCTION("""COMPUTED_VALUE"""),4266710.0)</f>
        <v>4266710</v>
      </c>
    </row>
    <row r="886">
      <c r="A886" s="3">
        <f>IFERROR(__xludf.DUMMYFUNCTION("""COMPUTED_VALUE"""),41641.666666666664)</f>
        <v>41641.66667</v>
      </c>
      <c r="B886" s="2">
        <f>IFERROR(__xludf.DUMMYFUNCTION("""COMPUTED_VALUE"""),9.99)</f>
        <v>9.99</v>
      </c>
      <c r="C886" s="2">
        <f>IFERROR(__xludf.DUMMYFUNCTION("""COMPUTED_VALUE"""),10.17)</f>
        <v>10.17</v>
      </c>
      <c r="D886" s="2">
        <f>IFERROR(__xludf.DUMMYFUNCTION("""COMPUTED_VALUE"""),9.77)</f>
        <v>9.77</v>
      </c>
      <c r="E886" s="2">
        <f>IFERROR(__xludf.DUMMYFUNCTION("""COMPUTED_VALUE"""),10.01)</f>
        <v>10.01</v>
      </c>
      <c r="F886" s="2">
        <f>IFERROR(__xludf.DUMMYFUNCTION("""COMPUTED_VALUE"""),6195355.0)</f>
        <v>6195355</v>
      </c>
    </row>
    <row r="887">
      <c r="A887" s="3">
        <f>IFERROR(__xludf.DUMMYFUNCTION("""COMPUTED_VALUE"""),41642.666666666664)</f>
        <v>41642.66667</v>
      </c>
      <c r="B887" s="2">
        <f>IFERROR(__xludf.DUMMYFUNCTION("""COMPUTED_VALUE"""),10.0)</f>
        <v>10</v>
      </c>
      <c r="C887" s="2">
        <f>IFERROR(__xludf.DUMMYFUNCTION("""COMPUTED_VALUE"""),10.15)</f>
        <v>10.15</v>
      </c>
      <c r="D887" s="2">
        <f>IFERROR(__xludf.DUMMYFUNCTION("""COMPUTED_VALUE"""),9.91)</f>
        <v>9.91</v>
      </c>
      <c r="E887" s="2">
        <f>IFERROR(__xludf.DUMMYFUNCTION("""COMPUTED_VALUE"""),9.97)</f>
        <v>9.97</v>
      </c>
      <c r="F887" s="2">
        <f>IFERROR(__xludf.DUMMYFUNCTION("""COMPUTED_VALUE"""),4698839.0)</f>
        <v>4698839</v>
      </c>
    </row>
    <row r="888">
      <c r="A888" s="3">
        <f>IFERROR(__xludf.DUMMYFUNCTION("""COMPUTED_VALUE"""),41645.666666666664)</f>
        <v>41645.66667</v>
      </c>
      <c r="B888" s="2">
        <f>IFERROR(__xludf.DUMMYFUNCTION("""COMPUTED_VALUE"""),10.0)</f>
        <v>10</v>
      </c>
      <c r="C888" s="2">
        <f>IFERROR(__xludf.DUMMYFUNCTION("""COMPUTED_VALUE"""),10.03)</f>
        <v>10.03</v>
      </c>
      <c r="D888" s="2">
        <f>IFERROR(__xludf.DUMMYFUNCTION("""COMPUTED_VALUE"""),9.68)</f>
        <v>9.68</v>
      </c>
      <c r="E888" s="2">
        <f>IFERROR(__xludf.DUMMYFUNCTION("""COMPUTED_VALUE"""),9.8)</f>
        <v>9.8</v>
      </c>
      <c r="F888" s="2">
        <f>IFERROR(__xludf.DUMMYFUNCTION("""COMPUTED_VALUE"""),5367320.0)</f>
        <v>5367320</v>
      </c>
    </row>
    <row r="889">
      <c r="A889" s="3">
        <f>IFERROR(__xludf.DUMMYFUNCTION("""COMPUTED_VALUE"""),41646.666666666664)</f>
        <v>41646.66667</v>
      </c>
      <c r="B889" s="2">
        <f>IFERROR(__xludf.DUMMYFUNCTION("""COMPUTED_VALUE"""),9.84)</f>
        <v>9.84</v>
      </c>
      <c r="C889" s="2">
        <f>IFERROR(__xludf.DUMMYFUNCTION("""COMPUTED_VALUE"""),10.03)</f>
        <v>10.03</v>
      </c>
      <c r="D889" s="2">
        <f>IFERROR(__xludf.DUMMYFUNCTION("""COMPUTED_VALUE"""),9.68)</f>
        <v>9.68</v>
      </c>
      <c r="E889" s="2">
        <f>IFERROR(__xludf.DUMMYFUNCTION("""COMPUTED_VALUE"""),9.96)</f>
        <v>9.96</v>
      </c>
      <c r="F889" s="2">
        <f>IFERROR(__xludf.DUMMYFUNCTION("""COMPUTED_VALUE"""),5041806.0)</f>
        <v>5041806</v>
      </c>
    </row>
    <row r="890">
      <c r="A890" s="3">
        <f>IFERROR(__xludf.DUMMYFUNCTION("""COMPUTED_VALUE"""),41647.666666666664)</f>
        <v>41647.66667</v>
      </c>
      <c r="B890" s="2">
        <f>IFERROR(__xludf.DUMMYFUNCTION("""COMPUTED_VALUE"""),9.92)</f>
        <v>9.92</v>
      </c>
      <c r="C890" s="2">
        <f>IFERROR(__xludf.DUMMYFUNCTION("""COMPUTED_VALUE"""),10.25)</f>
        <v>10.25</v>
      </c>
      <c r="D890" s="2">
        <f>IFERROR(__xludf.DUMMYFUNCTION("""COMPUTED_VALUE"""),9.92)</f>
        <v>9.92</v>
      </c>
      <c r="E890" s="2">
        <f>IFERROR(__xludf.DUMMYFUNCTION("""COMPUTED_VALUE"""),10.09)</f>
        <v>10.09</v>
      </c>
      <c r="F890" s="2">
        <f>IFERROR(__xludf.DUMMYFUNCTION("""COMPUTED_VALUE"""),6166674.0)</f>
        <v>6166674</v>
      </c>
    </row>
    <row r="891">
      <c r="A891" s="3">
        <f>IFERROR(__xludf.DUMMYFUNCTION("""COMPUTED_VALUE"""),41648.666666666664)</f>
        <v>41648.66667</v>
      </c>
      <c r="B891" s="2">
        <f>IFERROR(__xludf.DUMMYFUNCTION("""COMPUTED_VALUE"""),10.17)</f>
        <v>10.17</v>
      </c>
      <c r="C891" s="2">
        <f>IFERROR(__xludf.DUMMYFUNCTION("""COMPUTED_VALUE"""),10.23)</f>
        <v>10.23</v>
      </c>
      <c r="D891" s="2">
        <f>IFERROR(__xludf.DUMMYFUNCTION("""COMPUTED_VALUE"""),9.79)</f>
        <v>9.79</v>
      </c>
      <c r="E891" s="2">
        <f>IFERROR(__xludf.DUMMYFUNCTION("""COMPUTED_VALUE"""),9.84)</f>
        <v>9.84</v>
      </c>
      <c r="F891" s="2">
        <f>IFERROR(__xludf.DUMMYFUNCTION("""COMPUTED_VALUE"""),5388905.0)</f>
        <v>5388905</v>
      </c>
    </row>
    <row r="892">
      <c r="A892" s="3">
        <f>IFERROR(__xludf.DUMMYFUNCTION("""COMPUTED_VALUE"""),41649.666666666664)</f>
        <v>41649.66667</v>
      </c>
      <c r="B892" s="2">
        <f>IFERROR(__xludf.DUMMYFUNCTION("""COMPUTED_VALUE"""),9.9)</f>
        <v>9.9</v>
      </c>
      <c r="C892" s="2">
        <f>IFERROR(__xludf.DUMMYFUNCTION("""COMPUTED_VALUE"""),9.93)</f>
        <v>9.93</v>
      </c>
      <c r="D892" s="2">
        <f>IFERROR(__xludf.DUMMYFUNCTION("""COMPUTED_VALUE"""),9.48)</f>
        <v>9.48</v>
      </c>
      <c r="E892" s="2">
        <f>IFERROR(__xludf.DUMMYFUNCTION("""COMPUTED_VALUE"""),9.71)</f>
        <v>9.71</v>
      </c>
      <c r="F892" s="2">
        <f>IFERROR(__xludf.DUMMYFUNCTION("""COMPUTED_VALUE"""),7450531.0)</f>
        <v>7450531</v>
      </c>
    </row>
    <row r="893">
      <c r="A893" s="3">
        <f>IFERROR(__xludf.DUMMYFUNCTION("""COMPUTED_VALUE"""),41652.666666666664)</f>
        <v>41652.66667</v>
      </c>
      <c r="B893" s="2">
        <f>IFERROR(__xludf.DUMMYFUNCTION("""COMPUTED_VALUE"""),9.71)</f>
        <v>9.71</v>
      </c>
      <c r="C893" s="2">
        <f>IFERROR(__xludf.DUMMYFUNCTION("""COMPUTED_VALUE"""),9.8)</f>
        <v>9.8</v>
      </c>
      <c r="D893" s="2">
        <f>IFERROR(__xludf.DUMMYFUNCTION("""COMPUTED_VALUE"""),9.19)</f>
        <v>9.19</v>
      </c>
      <c r="E893" s="2">
        <f>IFERROR(__xludf.DUMMYFUNCTION("""COMPUTED_VALUE"""),9.29)</f>
        <v>9.29</v>
      </c>
      <c r="F893" s="2">
        <f>IFERROR(__xludf.DUMMYFUNCTION("""COMPUTED_VALUE"""),6324647.0)</f>
        <v>6324647</v>
      </c>
    </row>
    <row r="894">
      <c r="A894" s="3">
        <f>IFERROR(__xludf.DUMMYFUNCTION("""COMPUTED_VALUE"""),41653.666666666664)</f>
        <v>41653.66667</v>
      </c>
      <c r="B894" s="2">
        <f>IFERROR(__xludf.DUMMYFUNCTION("""COMPUTED_VALUE"""),9.37)</f>
        <v>9.37</v>
      </c>
      <c r="C894" s="2">
        <f>IFERROR(__xludf.DUMMYFUNCTION("""COMPUTED_VALUE"""),10.8)</f>
        <v>10.8</v>
      </c>
      <c r="D894" s="2">
        <f>IFERROR(__xludf.DUMMYFUNCTION("""COMPUTED_VALUE"""),9.11)</f>
        <v>9.11</v>
      </c>
      <c r="E894" s="2">
        <f>IFERROR(__xludf.DUMMYFUNCTION("""COMPUTED_VALUE"""),10.75)</f>
        <v>10.75</v>
      </c>
      <c r="F894" s="2">
        <f>IFERROR(__xludf.DUMMYFUNCTION("""COMPUTED_VALUE"""),2.7935828E7)</f>
        <v>27935828</v>
      </c>
    </row>
    <row r="895">
      <c r="A895" s="3">
        <f>IFERROR(__xludf.DUMMYFUNCTION("""COMPUTED_VALUE"""),41654.666666666664)</f>
        <v>41654.66667</v>
      </c>
      <c r="B895" s="2">
        <f>IFERROR(__xludf.DUMMYFUNCTION("""COMPUTED_VALUE"""),11.22)</f>
        <v>11.22</v>
      </c>
      <c r="C895" s="2">
        <f>IFERROR(__xludf.DUMMYFUNCTION("""COMPUTED_VALUE"""),11.48)</f>
        <v>11.48</v>
      </c>
      <c r="D895" s="2">
        <f>IFERROR(__xludf.DUMMYFUNCTION("""COMPUTED_VALUE"""),10.81)</f>
        <v>10.81</v>
      </c>
      <c r="E895" s="2">
        <f>IFERROR(__xludf.DUMMYFUNCTION("""COMPUTED_VALUE"""),10.94)</f>
        <v>10.94</v>
      </c>
      <c r="F895" s="2">
        <f>IFERROR(__xludf.DUMMYFUNCTION("""COMPUTED_VALUE"""),2.0488981E7)</f>
        <v>20488981</v>
      </c>
    </row>
    <row r="896">
      <c r="A896" s="3">
        <f>IFERROR(__xludf.DUMMYFUNCTION("""COMPUTED_VALUE"""),41655.666666666664)</f>
        <v>41655.66667</v>
      </c>
      <c r="B896" s="2">
        <f>IFERROR(__xludf.DUMMYFUNCTION("""COMPUTED_VALUE"""),10.83)</f>
        <v>10.83</v>
      </c>
      <c r="C896" s="2">
        <f>IFERROR(__xludf.DUMMYFUNCTION("""COMPUTED_VALUE"""),11.51)</f>
        <v>11.51</v>
      </c>
      <c r="D896" s="2">
        <f>IFERROR(__xludf.DUMMYFUNCTION("""COMPUTED_VALUE"""),10.83)</f>
        <v>10.83</v>
      </c>
      <c r="E896" s="2">
        <f>IFERROR(__xludf.DUMMYFUNCTION("""COMPUTED_VALUE"""),11.4)</f>
        <v>11.4</v>
      </c>
      <c r="F896" s="2">
        <f>IFERROR(__xludf.DUMMYFUNCTION("""COMPUTED_VALUE"""),1.1982099E7)</f>
        <v>11982099</v>
      </c>
    </row>
    <row r="897">
      <c r="A897" s="3">
        <f>IFERROR(__xludf.DUMMYFUNCTION("""COMPUTED_VALUE"""),41656.666666666664)</f>
        <v>41656.66667</v>
      </c>
      <c r="B897" s="2">
        <f>IFERROR(__xludf.DUMMYFUNCTION("""COMPUTED_VALUE"""),11.35)</f>
        <v>11.35</v>
      </c>
      <c r="C897" s="2">
        <f>IFERROR(__xludf.DUMMYFUNCTION("""COMPUTED_VALUE"""),11.55)</f>
        <v>11.55</v>
      </c>
      <c r="D897" s="2">
        <f>IFERROR(__xludf.DUMMYFUNCTION("""COMPUTED_VALUE"""),11.2)</f>
        <v>11.2</v>
      </c>
      <c r="E897" s="2">
        <f>IFERROR(__xludf.DUMMYFUNCTION("""COMPUTED_VALUE"""),11.33)</f>
        <v>11.33</v>
      </c>
      <c r="F897" s="2">
        <f>IFERROR(__xludf.DUMMYFUNCTION("""COMPUTED_VALUE"""),9216028.0)</f>
        <v>9216028</v>
      </c>
    </row>
    <row r="898">
      <c r="A898" s="3">
        <f>IFERROR(__xludf.DUMMYFUNCTION("""COMPUTED_VALUE"""),41660.666666666664)</f>
        <v>41660.66667</v>
      </c>
      <c r="B898" s="2">
        <f>IFERROR(__xludf.DUMMYFUNCTION("""COMPUTED_VALUE"""),11.42)</f>
        <v>11.42</v>
      </c>
      <c r="C898" s="2">
        <f>IFERROR(__xludf.DUMMYFUNCTION("""COMPUTED_VALUE"""),11.82)</f>
        <v>11.82</v>
      </c>
      <c r="D898" s="2">
        <f>IFERROR(__xludf.DUMMYFUNCTION("""COMPUTED_VALUE"""),11.39)</f>
        <v>11.39</v>
      </c>
      <c r="E898" s="2">
        <f>IFERROR(__xludf.DUMMYFUNCTION("""COMPUTED_VALUE"""),11.78)</f>
        <v>11.78</v>
      </c>
      <c r="F898" s="2">
        <f>IFERROR(__xludf.DUMMYFUNCTION("""COMPUTED_VALUE"""),9745765.0)</f>
        <v>9745765</v>
      </c>
    </row>
    <row r="899">
      <c r="A899" s="3">
        <f>IFERROR(__xludf.DUMMYFUNCTION("""COMPUTED_VALUE"""),41661.666666666664)</f>
        <v>41661.66667</v>
      </c>
      <c r="B899" s="2">
        <f>IFERROR(__xludf.DUMMYFUNCTION("""COMPUTED_VALUE"""),11.86)</f>
        <v>11.86</v>
      </c>
      <c r="C899" s="2">
        <f>IFERROR(__xludf.DUMMYFUNCTION("""COMPUTED_VALUE"""),12.02)</f>
        <v>12.02</v>
      </c>
      <c r="D899" s="2">
        <f>IFERROR(__xludf.DUMMYFUNCTION("""COMPUTED_VALUE"""),11.65)</f>
        <v>11.65</v>
      </c>
      <c r="E899" s="2">
        <f>IFERROR(__xludf.DUMMYFUNCTION("""COMPUTED_VALUE"""),11.9)</f>
        <v>11.9</v>
      </c>
      <c r="F899" s="2">
        <f>IFERROR(__xludf.DUMMYFUNCTION("""COMPUTED_VALUE"""),7036758.0)</f>
        <v>7036758</v>
      </c>
    </row>
    <row r="900">
      <c r="A900" s="3">
        <f>IFERROR(__xludf.DUMMYFUNCTION("""COMPUTED_VALUE"""),41662.666666666664)</f>
        <v>41662.66667</v>
      </c>
      <c r="B900" s="2">
        <f>IFERROR(__xludf.DUMMYFUNCTION("""COMPUTED_VALUE"""),11.82)</f>
        <v>11.82</v>
      </c>
      <c r="C900" s="2">
        <f>IFERROR(__xludf.DUMMYFUNCTION("""COMPUTED_VALUE"""),12.16)</f>
        <v>12.16</v>
      </c>
      <c r="D900" s="2">
        <f>IFERROR(__xludf.DUMMYFUNCTION("""COMPUTED_VALUE"""),11.56)</f>
        <v>11.56</v>
      </c>
      <c r="E900" s="2">
        <f>IFERROR(__xludf.DUMMYFUNCTION("""COMPUTED_VALUE"""),12.1)</f>
        <v>12.1</v>
      </c>
      <c r="F900" s="2">
        <f>IFERROR(__xludf.DUMMYFUNCTION("""COMPUTED_VALUE"""),7899515.0)</f>
        <v>7899515</v>
      </c>
    </row>
    <row r="901">
      <c r="A901" s="3">
        <f>IFERROR(__xludf.DUMMYFUNCTION("""COMPUTED_VALUE"""),41663.666666666664)</f>
        <v>41663.66667</v>
      </c>
      <c r="B901" s="2">
        <f>IFERROR(__xludf.DUMMYFUNCTION("""COMPUTED_VALUE"""),11.86)</f>
        <v>11.86</v>
      </c>
      <c r="C901" s="2">
        <f>IFERROR(__xludf.DUMMYFUNCTION("""COMPUTED_VALUE"""),12.03)</f>
        <v>12.03</v>
      </c>
      <c r="D901" s="2">
        <f>IFERROR(__xludf.DUMMYFUNCTION("""COMPUTED_VALUE"""),11.57)</f>
        <v>11.57</v>
      </c>
      <c r="E901" s="2">
        <f>IFERROR(__xludf.DUMMYFUNCTION("""COMPUTED_VALUE"""),11.64)</f>
        <v>11.64</v>
      </c>
      <c r="F901" s="2">
        <f>IFERROR(__xludf.DUMMYFUNCTION("""COMPUTED_VALUE"""),7711296.0)</f>
        <v>7711296</v>
      </c>
    </row>
    <row r="902">
      <c r="A902" s="3">
        <f>IFERROR(__xludf.DUMMYFUNCTION("""COMPUTED_VALUE"""),41666.666666666664)</f>
        <v>41666.66667</v>
      </c>
      <c r="B902" s="2">
        <f>IFERROR(__xludf.DUMMYFUNCTION("""COMPUTED_VALUE"""),11.67)</f>
        <v>11.67</v>
      </c>
      <c r="C902" s="2">
        <f>IFERROR(__xludf.DUMMYFUNCTION("""COMPUTED_VALUE"""),11.86)</f>
        <v>11.86</v>
      </c>
      <c r="D902" s="2">
        <f>IFERROR(__xludf.DUMMYFUNCTION("""COMPUTED_VALUE"""),10.98)</f>
        <v>10.98</v>
      </c>
      <c r="E902" s="2">
        <f>IFERROR(__xludf.DUMMYFUNCTION("""COMPUTED_VALUE"""),11.31)</f>
        <v>11.31</v>
      </c>
      <c r="F902" s="2">
        <f>IFERROR(__xludf.DUMMYFUNCTION("""COMPUTED_VALUE"""),8737773.0)</f>
        <v>8737773</v>
      </c>
    </row>
    <row r="903">
      <c r="A903" s="3">
        <f>IFERROR(__xludf.DUMMYFUNCTION("""COMPUTED_VALUE"""),41667.666666666664)</f>
        <v>41667.66667</v>
      </c>
      <c r="B903" s="2">
        <f>IFERROR(__xludf.DUMMYFUNCTION("""COMPUTED_VALUE"""),11.43)</f>
        <v>11.43</v>
      </c>
      <c r="C903" s="2">
        <f>IFERROR(__xludf.DUMMYFUNCTION("""COMPUTED_VALUE"""),11.93)</f>
        <v>11.93</v>
      </c>
      <c r="D903" s="2">
        <f>IFERROR(__xludf.DUMMYFUNCTION("""COMPUTED_VALUE"""),11.4)</f>
        <v>11.4</v>
      </c>
      <c r="E903" s="2">
        <f>IFERROR(__xludf.DUMMYFUNCTION("""COMPUTED_VALUE"""),11.89)</f>
        <v>11.89</v>
      </c>
      <c r="F903" s="2">
        <f>IFERROR(__xludf.DUMMYFUNCTION("""COMPUTED_VALUE"""),6128237.0)</f>
        <v>6128237</v>
      </c>
    </row>
    <row r="904">
      <c r="A904" s="3">
        <f>IFERROR(__xludf.DUMMYFUNCTION("""COMPUTED_VALUE"""),41668.666666666664)</f>
        <v>41668.66667</v>
      </c>
      <c r="B904" s="2">
        <f>IFERROR(__xludf.DUMMYFUNCTION("""COMPUTED_VALUE"""),11.69)</f>
        <v>11.69</v>
      </c>
      <c r="C904" s="2">
        <f>IFERROR(__xludf.DUMMYFUNCTION("""COMPUTED_VALUE"""),11.94)</f>
        <v>11.94</v>
      </c>
      <c r="D904" s="2">
        <f>IFERROR(__xludf.DUMMYFUNCTION("""COMPUTED_VALUE"""),11.54)</f>
        <v>11.54</v>
      </c>
      <c r="E904" s="2">
        <f>IFERROR(__xludf.DUMMYFUNCTION("""COMPUTED_VALUE"""),11.68)</f>
        <v>11.68</v>
      </c>
      <c r="F904" s="2">
        <f>IFERROR(__xludf.DUMMYFUNCTION("""COMPUTED_VALUE"""),5956817.0)</f>
        <v>5956817</v>
      </c>
    </row>
    <row r="905">
      <c r="A905" s="3">
        <f>IFERROR(__xludf.DUMMYFUNCTION("""COMPUTED_VALUE"""),41669.666666666664)</f>
        <v>41669.66667</v>
      </c>
      <c r="B905" s="2">
        <f>IFERROR(__xludf.DUMMYFUNCTION("""COMPUTED_VALUE"""),11.87)</f>
        <v>11.87</v>
      </c>
      <c r="C905" s="2">
        <f>IFERROR(__xludf.DUMMYFUNCTION("""COMPUTED_VALUE"""),12.32)</f>
        <v>12.32</v>
      </c>
      <c r="D905" s="2">
        <f>IFERROR(__xludf.DUMMYFUNCTION("""COMPUTED_VALUE"""),11.8)</f>
        <v>11.8</v>
      </c>
      <c r="E905" s="2">
        <f>IFERROR(__xludf.DUMMYFUNCTION("""COMPUTED_VALUE"""),12.19)</f>
        <v>12.19</v>
      </c>
      <c r="F905" s="2">
        <f>IFERROR(__xludf.DUMMYFUNCTION("""COMPUTED_VALUE"""),8575210.0)</f>
        <v>8575210</v>
      </c>
    </row>
    <row r="906">
      <c r="A906" s="3">
        <f>IFERROR(__xludf.DUMMYFUNCTION("""COMPUTED_VALUE"""),41670.666666666664)</f>
        <v>41670.66667</v>
      </c>
      <c r="B906" s="2">
        <f>IFERROR(__xludf.DUMMYFUNCTION("""COMPUTED_VALUE"""),11.92)</f>
        <v>11.92</v>
      </c>
      <c r="C906" s="2">
        <f>IFERROR(__xludf.DUMMYFUNCTION("""COMPUTED_VALUE"""),12.4)</f>
        <v>12.4</v>
      </c>
      <c r="D906" s="2">
        <f>IFERROR(__xludf.DUMMYFUNCTION("""COMPUTED_VALUE"""),11.9)</f>
        <v>11.9</v>
      </c>
      <c r="E906" s="2">
        <f>IFERROR(__xludf.DUMMYFUNCTION("""COMPUTED_VALUE"""),12.09)</f>
        <v>12.09</v>
      </c>
      <c r="F906" s="2">
        <f>IFERROR(__xludf.DUMMYFUNCTION("""COMPUTED_VALUE"""),6512951.0)</f>
        <v>6512951</v>
      </c>
    </row>
    <row r="907">
      <c r="A907" s="3">
        <f>IFERROR(__xludf.DUMMYFUNCTION("""COMPUTED_VALUE"""),41673.666666666664)</f>
        <v>41673.66667</v>
      </c>
      <c r="B907" s="2">
        <f>IFERROR(__xludf.DUMMYFUNCTION("""COMPUTED_VALUE"""),12.19)</f>
        <v>12.19</v>
      </c>
      <c r="C907" s="2">
        <f>IFERROR(__xludf.DUMMYFUNCTION("""COMPUTED_VALUE"""),12.33)</f>
        <v>12.33</v>
      </c>
      <c r="D907" s="2">
        <f>IFERROR(__xludf.DUMMYFUNCTION("""COMPUTED_VALUE"""),11.68)</f>
        <v>11.68</v>
      </c>
      <c r="E907" s="2">
        <f>IFERROR(__xludf.DUMMYFUNCTION("""COMPUTED_VALUE"""),11.81)</f>
        <v>11.81</v>
      </c>
      <c r="F907" s="2">
        <f>IFERROR(__xludf.DUMMYFUNCTION("""COMPUTED_VALUE"""),6778609.0)</f>
        <v>6778609</v>
      </c>
    </row>
    <row r="908">
      <c r="A908" s="3">
        <f>IFERROR(__xludf.DUMMYFUNCTION("""COMPUTED_VALUE"""),41674.666666666664)</f>
        <v>41674.66667</v>
      </c>
      <c r="B908" s="2">
        <f>IFERROR(__xludf.DUMMYFUNCTION("""COMPUTED_VALUE"""),12.0)</f>
        <v>12</v>
      </c>
      <c r="C908" s="2">
        <f>IFERROR(__xludf.DUMMYFUNCTION("""COMPUTED_VALUE"""),12.11)</f>
        <v>12.11</v>
      </c>
      <c r="D908" s="2">
        <f>IFERROR(__xludf.DUMMYFUNCTION("""COMPUTED_VALUE"""),11.75)</f>
        <v>11.75</v>
      </c>
      <c r="E908" s="2">
        <f>IFERROR(__xludf.DUMMYFUNCTION("""COMPUTED_VALUE"""),11.92)</f>
        <v>11.92</v>
      </c>
      <c r="F908" s="2">
        <f>IFERROR(__xludf.DUMMYFUNCTION("""COMPUTED_VALUE"""),4690883.0)</f>
        <v>4690883</v>
      </c>
    </row>
    <row r="909">
      <c r="A909" s="3">
        <f>IFERROR(__xludf.DUMMYFUNCTION("""COMPUTED_VALUE"""),41675.666666666664)</f>
        <v>41675.66667</v>
      </c>
      <c r="B909" s="2">
        <f>IFERROR(__xludf.DUMMYFUNCTION("""COMPUTED_VALUE"""),11.89)</f>
        <v>11.89</v>
      </c>
      <c r="C909" s="2">
        <f>IFERROR(__xludf.DUMMYFUNCTION("""COMPUTED_VALUE"""),12.04)</f>
        <v>12.04</v>
      </c>
      <c r="D909" s="2">
        <f>IFERROR(__xludf.DUMMYFUNCTION("""COMPUTED_VALUE"""),11.29)</f>
        <v>11.29</v>
      </c>
      <c r="E909" s="2">
        <f>IFERROR(__xludf.DUMMYFUNCTION("""COMPUTED_VALUE"""),11.63)</f>
        <v>11.63</v>
      </c>
      <c r="F909" s="2">
        <f>IFERROR(__xludf.DUMMYFUNCTION("""COMPUTED_VALUE"""),7275952.0)</f>
        <v>7275952</v>
      </c>
    </row>
    <row r="910">
      <c r="A910" s="3">
        <f>IFERROR(__xludf.DUMMYFUNCTION("""COMPUTED_VALUE"""),41676.666666666664)</f>
        <v>41676.66667</v>
      </c>
      <c r="B910" s="2">
        <f>IFERROR(__xludf.DUMMYFUNCTION("""COMPUTED_VALUE"""),11.76)</f>
        <v>11.76</v>
      </c>
      <c r="C910" s="2">
        <f>IFERROR(__xludf.DUMMYFUNCTION("""COMPUTED_VALUE"""),12.01)</f>
        <v>12.01</v>
      </c>
      <c r="D910" s="2">
        <f>IFERROR(__xludf.DUMMYFUNCTION("""COMPUTED_VALUE"""),11.73)</f>
        <v>11.73</v>
      </c>
      <c r="E910" s="2">
        <f>IFERROR(__xludf.DUMMYFUNCTION("""COMPUTED_VALUE"""),11.89)</f>
        <v>11.89</v>
      </c>
      <c r="F910" s="2">
        <f>IFERROR(__xludf.DUMMYFUNCTION("""COMPUTED_VALUE"""),5847953.0)</f>
        <v>5847953</v>
      </c>
    </row>
    <row r="911">
      <c r="A911" s="3">
        <f>IFERROR(__xludf.DUMMYFUNCTION("""COMPUTED_VALUE"""),41677.666666666664)</f>
        <v>41677.66667</v>
      </c>
      <c r="B911" s="2">
        <f>IFERROR(__xludf.DUMMYFUNCTION("""COMPUTED_VALUE"""),12.07)</f>
        <v>12.07</v>
      </c>
      <c r="C911" s="2">
        <f>IFERROR(__xludf.DUMMYFUNCTION("""COMPUTED_VALUE"""),12.44)</f>
        <v>12.44</v>
      </c>
      <c r="D911" s="2">
        <f>IFERROR(__xludf.DUMMYFUNCTION("""COMPUTED_VALUE"""),11.97)</f>
        <v>11.97</v>
      </c>
      <c r="E911" s="2">
        <f>IFERROR(__xludf.DUMMYFUNCTION("""COMPUTED_VALUE"""),12.44)</f>
        <v>12.44</v>
      </c>
      <c r="F911" s="2">
        <f>IFERROR(__xludf.DUMMYFUNCTION("""COMPUTED_VALUE"""),8964054.0)</f>
        <v>8964054</v>
      </c>
    </row>
    <row r="912">
      <c r="A912" s="3">
        <f>IFERROR(__xludf.DUMMYFUNCTION("""COMPUTED_VALUE"""),41680.666666666664)</f>
        <v>41680.66667</v>
      </c>
      <c r="B912" s="2">
        <f>IFERROR(__xludf.DUMMYFUNCTION("""COMPUTED_VALUE"""),12.62)</f>
        <v>12.62</v>
      </c>
      <c r="C912" s="2">
        <f>IFERROR(__xludf.DUMMYFUNCTION("""COMPUTED_VALUE"""),13.29)</f>
        <v>13.29</v>
      </c>
      <c r="D912" s="2">
        <f>IFERROR(__xludf.DUMMYFUNCTION("""COMPUTED_VALUE"""),12.62)</f>
        <v>12.62</v>
      </c>
      <c r="E912" s="2">
        <f>IFERROR(__xludf.DUMMYFUNCTION("""COMPUTED_VALUE"""),13.1)</f>
        <v>13.1</v>
      </c>
      <c r="F912" s="2">
        <f>IFERROR(__xludf.DUMMYFUNCTION("""COMPUTED_VALUE"""),1.2989286E7)</f>
        <v>12989286</v>
      </c>
    </row>
    <row r="913">
      <c r="A913" s="3">
        <f>IFERROR(__xludf.DUMMYFUNCTION("""COMPUTED_VALUE"""),41681.666666666664)</f>
        <v>41681.66667</v>
      </c>
      <c r="B913" s="2">
        <f>IFERROR(__xludf.DUMMYFUNCTION("""COMPUTED_VALUE"""),13.26)</f>
        <v>13.26</v>
      </c>
      <c r="C913" s="2">
        <f>IFERROR(__xludf.DUMMYFUNCTION("""COMPUTED_VALUE"""),13.48)</f>
        <v>13.48</v>
      </c>
      <c r="D913" s="2">
        <f>IFERROR(__xludf.DUMMYFUNCTION("""COMPUTED_VALUE"""),12.85)</f>
        <v>12.85</v>
      </c>
      <c r="E913" s="2">
        <f>IFERROR(__xludf.DUMMYFUNCTION("""COMPUTED_VALUE"""),13.11)</f>
        <v>13.11</v>
      </c>
      <c r="F913" s="2">
        <f>IFERROR(__xludf.DUMMYFUNCTION("""COMPUTED_VALUE"""),1.0734472E7)</f>
        <v>10734472</v>
      </c>
    </row>
    <row r="914">
      <c r="A914" s="3">
        <f>IFERROR(__xludf.DUMMYFUNCTION("""COMPUTED_VALUE"""),41682.666666666664)</f>
        <v>41682.66667</v>
      </c>
      <c r="B914" s="2">
        <f>IFERROR(__xludf.DUMMYFUNCTION("""COMPUTED_VALUE"""),13.05)</f>
        <v>13.05</v>
      </c>
      <c r="C914" s="2">
        <f>IFERROR(__xludf.DUMMYFUNCTION("""COMPUTED_VALUE"""),13.22)</f>
        <v>13.22</v>
      </c>
      <c r="D914" s="2">
        <f>IFERROR(__xludf.DUMMYFUNCTION("""COMPUTED_VALUE"""),12.95)</f>
        <v>12.95</v>
      </c>
      <c r="E914" s="2">
        <f>IFERROR(__xludf.DUMMYFUNCTION("""COMPUTED_VALUE"""),13.02)</f>
        <v>13.02</v>
      </c>
      <c r="F914" s="2">
        <f>IFERROR(__xludf.DUMMYFUNCTION("""COMPUTED_VALUE"""),5181313.0)</f>
        <v>5181313</v>
      </c>
    </row>
    <row r="915">
      <c r="A915" s="3">
        <f>IFERROR(__xludf.DUMMYFUNCTION("""COMPUTED_VALUE"""),41683.666666666664)</f>
        <v>41683.66667</v>
      </c>
      <c r="B915" s="2">
        <f>IFERROR(__xludf.DUMMYFUNCTION("""COMPUTED_VALUE"""),12.89)</f>
        <v>12.89</v>
      </c>
      <c r="C915" s="2">
        <f>IFERROR(__xludf.DUMMYFUNCTION("""COMPUTED_VALUE"""),13.51)</f>
        <v>13.51</v>
      </c>
      <c r="D915" s="2">
        <f>IFERROR(__xludf.DUMMYFUNCTION("""COMPUTED_VALUE"""),12.88)</f>
        <v>12.88</v>
      </c>
      <c r="E915" s="2">
        <f>IFERROR(__xludf.DUMMYFUNCTION("""COMPUTED_VALUE"""),13.31)</f>
        <v>13.31</v>
      </c>
      <c r="F915" s="2">
        <f>IFERROR(__xludf.DUMMYFUNCTION("""COMPUTED_VALUE"""),8174049.0)</f>
        <v>8174049</v>
      </c>
    </row>
    <row r="916">
      <c r="A916" s="3">
        <f>IFERROR(__xludf.DUMMYFUNCTION("""COMPUTED_VALUE"""),41684.666666666664)</f>
        <v>41684.66667</v>
      </c>
      <c r="B916" s="2">
        <f>IFERROR(__xludf.DUMMYFUNCTION("""COMPUTED_VALUE"""),13.2)</f>
        <v>13.2</v>
      </c>
      <c r="C916" s="2">
        <f>IFERROR(__xludf.DUMMYFUNCTION("""COMPUTED_VALUE"""),13.46)</f>
        <v>13.46</v>
      </c>
      <c r="D916" s="2">
        <f>IFERROR(__xludf.DUMMYFUNCTION("""COMPUTED_VALUE"""),13.13)</f>
        <v>13.13</v>
      </c>
      <c r="E916" s="2">
        <f>IFERROR(__xludf.DUMMYFUNCTION("""COMPUTED_VALUE"""),13.22)</f>
        <v>13.22</v>
      </c>
      <c r="F916" s="2">
        <f>IFERROR(__xludf.DUMMYFUNCTION("""COMPUTED_VALUE"""),6173462.0)</f>
        <v>6173462</v>
      </c>
    </row>
    <row r="917">
      <c r="A917" s="3">
        <f>IFERROR(__xludf.DUMMYFUNCTION("""COMPUTED_VALUE"""),41688.666666666664)</f>
        <v>41688.66667</v>
      </c>
      <c r="B917" s="2">
        <f>IFERROR(__xludf.DUMMYFUNCTION("""COMPUTED_VALUE"""),13.67)</f>
        <v>13.67</v>
      </c>
      <c r="C917" s="2">
        <f>IFERROR(__xludf.DUMMYFUNCTION("""COMPUTED_VALUE"""),13.73)</f>
        <v>13.73</v>
      </c>
      <c r="D917" s="2">
        <f>IFERROR(__xludf.DUMMYFUNCTION("""COMPUTED_VALUE"""),13.42)</f>
        <v>13.42</v>
      </c>
      <c r="E917" s="2">
        <f>IFERROR(__xludf.DUMMYFUNCTION("""COMPUTED_VALUE"""),13.58)</f>
        <v>13.58</v>
      </c>
      <c r="F917" s="2">
        <f>IFERROR(__xludf.DUMMYFUNCTION("""COMPUTED_VALUE"""),9355871.0)</f>
        <v>9355871</v>
      </c>
    </row>
    <row r="918">
      <c r="A918" s="3">
        <f>IFERROR(__xludf.DUMMYFUNCTION("""COMPUTED_VALUE"""),41689.666666666664)</f>
        <v>41689.66667</v>
      </c>
      <c r="B918" s="2">
        <f>IFERROR(__xludf.DUMMYFUNCTION("""COMPUTED_VALUE"""),13.58)</f>
        <v>13.58</v>
      </c>
      <c r="C918" s="2">
        <f>IFERROR(__xludf.DUMMYFUNCTION("""COMPUTED_VALUE"""),13.58)</f>
        <v>13.58</v>
      </c>
      <c r="D918" s="2">
        <f>IFERROR(__xludf.DUMMYFUNCTION("""COMPUTED_VALUE"""),12.89)</f>
        <v>12.89</v>
      </c>
      <c r="E918" s="2">
        <f>IFERROR(__xludf.DUMMYFUNCTION("""COMPUTED_VALUE"""),12.91)</f>
        <v>12.91</v>
      </c>
      <c r="F918" s="2">
        <f>IFERROR(__xludf.DUMMYFUNCTION("""COMPUTED_VALUE"""),1.6419899E7)</f>
        <v>16419899</v>
      </c>
    </row>
    <row r="919">
      <c r="A919" s="3">
        <f>IFERROR(__xludf.DUMMYFUNCTION("""COMPUTED_VALUE"""),41690.666666666664)</f>
        <v>41690.66667</v>
      </c>
      <c r="B919" s="2">
        <f>IFERROR(__xludf.DUMMYFUNCTION("""COMPUTED_VALUE"""),14.33)</f>
        <v>14.33</v>
      </c>
      <c r="C919" s="2">
        <f>IFERROR(__xludf.DUMMYFUNCTION("""COMPUTED_VALUE"""),14.35)</f>
        <v>14.35</v>
      </c>
      <c r="D919" s="2">
        <f>IFERROR(__xludf.DUMMYFUNCTION("""COMPUTED_VALUE"""),13.75)</f>
        <v>13.75</v>
      </c>
      <c r="E919" s="2">
        <f>IFERROR(__xludf.DUMMYFUNCTION("""COMPUTED_VALUE"""),14.0)</f>
        <v>14</v>
      </c>
      <c r="F919" s="2">
        <f>IFERROR(__xludf.DUMMYFUNCTION("""COMPUTED_VALUE"""),1.8022262E7)</f>
        <v>18022262</v>
      </c>
    </row>
    <row r="920">
      <c r="A920" s="3">
        <f>IFERROR(__xludf.DUMMYFUNCTION("""COMPUTED_VALUE"""),41691.666666666664)</f>
        <v>41691.66667</v>
      </c>
      <c r="B920" s="2">
        <f>IFERROR(__xludf.DUMMYFUNCTION("""COMPUTED_VALUE"""),14.08)</f>
        <v>14.08</v>
      </c>
      <c r="C920" s="2">
        <f>IFERROR(__xludf.DUMMYFUNCTION("""COMPUTED_VALUE"""),14.27)</f>
        <v>14.27</v>
      </c>
      <c r="D920" s="2">
        <f>IFERROR(__xludf.DUMMYFUNCTION("""COMPUTED_VALUE"""),13.95)</f>
        <v>13.95</v>
      </c>
      <c r="E920" s="2">
        <f>IFERROR(__xludf.DUMMYFUNCTION("""COMPUTED_VALUE"""),13.97)</f>
        <v>13.97</v>
      </c>
      <c r="F920" s="2">
        <f>IFERROR(__xludf.DUMMYFUNCTION("""COMPUTED_VALUE"""),7828981.0)</f>
        <v>7828981</v>
      </c>
    </row>
    <row r="921">
      <c r="A921" s="3">
        <f>IFERROR(__xludf.DUMMYFUNCTION("""COMPUTED_VALUE"""),41694.666666666664)</f>
        <v>41694.66667</v>
      </c>
      <c r="B921" s="2">
        <f>IFERROR(__xludf.DUMMYFUNCTION("""COMPUTED_VALUE"""),13.91)</f>
        <v>13.91</v>
      </c>
      <c r="C921" s="2">
        <f>IFERROR(__xludf.DUMMYFUNCTION("""COMPUTED_VALUE"""),14.56)</f>
        <v>14.56</v>
      </c>
      <c r="D921" s="2">
        <f>IFERROR(__xludf.DUMMYFUNCTION("""COMPUTED_VALUE"""),13.89)</f>
        <v>13.89</v>
      </c>
      <c r="E921" s="2">
        <f>IFERROR(__xludf.DUMMYFUNCTION("""COMPUTED_VALUE"""),14.51)</f>
        <v>14.51</v>
      </c>
      <c r="F921" s="2">
        <f>IFERROR(__xludf.DUMMYFUNCTION("""COMPUTED_VALUE"""),8303133.0)</f>
        <v>8303133</v>
      </c>
    </row>
    <row r="922">
      <c r="A922" s="3">
        <f>IFERROR(__xludf.DUMMYFUNCTION("""COMPUTED_VALUE"""),41695.666666666664)</f>
        <v>41695.66667</v>
      </c>
      <c r="B922" s="2">
        <f>IFERROR(__xludf.DUMMYFUNCTION("""COMPUTED_VALUE"""),15.33)</f>
        <v>15.33</v>
      </c>
      <c r="C922" s="2">
        <f>IFERROR(__xludf.DUMMYFUNCTION("""COMPUTED_VALUE"""),17.28)</f>
        <v>17.28</v>
      </c>
      <c r="D922" s="2">
        <f>IFERROR(__xludf.DUMMYFUNCTION("""COMPUTED_VALUE"""),15.23)</f>
        <v>15.23</v>
      </c>
      <c r="E922" s="2">
        <f>IFERROR(__xludf.DUMMYFUNCTION("""COMPUTED_VALUE"""),16.53)</f>
        <v>16.53</v>
      </c>
      <c r="F922" s="2">
        <f>IFERROR(__xludf.DUMMYFUNCTION("""COMPUTED_VALUE"""),3.2797E7)</f>
        <v>32797000</v>
      </c>
    </row>
    <row r="923">
      <c r="A923" s="3">
        <f>IFERROR(__xludf.DUMMYFUNCTION("""COMPUTED_VALUE"""),41696.666666666664)</f>
        <v>41696.66667</v>
      </c>
      <c r="B923" s="2">
        <f>IFERROR(__xludf.DUMMYFUNCTION("""COMPUTED_VALUE"""),17.24)</f>
        <v>17.24</v>
      </c>
      <c r="C923" s="2">
        <f>IFERROR(__xludf.DUMMYFUNCTION("""COMPUTED_VALUE"""),17.67)</f>
        <v>17.67</v>
      </c>
      <c r="D923" s="2">
        <f>IFERROR(__xludf.DUMMYFUNCTION("""COMPUTED_VALUE"""),16.5)</f>
        <v>16.5</v>
      </c>
      <c r="E923" s="2">
        <f>IFERROR(__xludf.DUMMYFUNCTION("""COMPUTED_VALUE"""),16.87)</f>
        <v>16.87</v>
      </c>
      <c r="F923" s="2">
        <f>IFERROR(__xludf.DUMMYFUNCTION("""COMPUTED_VALUE"""),2.4771194E7)</f>
        <v>24771194</v>
      </c>
    </row>
    <row r="924">
      <c r="A924" s="3">
        <f>IFERROR(__xludf.DUMMYFUNCTION("""COMPUTED_VALUE"""),41697.666666666664)</f>
        <v>41697.66667</v>
      </c>
      <c r="B924" s="2">
        <f>IFERROR(__xludf.DUMMYFUNCTION("""COMPUTED_VALUE"""),17.43)</f>
        <v>17.43</v>
      </c>
      <c r="C924" s="2">
        <f>IFERROR(__xludf.DUMMYFUNCTION("""COMPUTED_VALUE"""),17.46)</f>
        <v>17.46</v>
      </c>
      <c r="D924" s="2">
        <f>IFERROR(__xludf.DUMMYFUNCTION("""COMPUTED_VALUE"""),16.56)</f>
        <v>16.56</v>
      </c>
      <c r="E924" s="2">
        <f>IFERROR(__xludf.DUMMYFUNCTION("""COMPUTED_VALUE"""),16.84)</f>
        <v>16.84</v>
      </c>
      <c r="F924" s="2">
        <f>IFERROR(__xludf.DUMMYFUNCTION("""COMPUTED_VALUE"""),1.7970707E7)</f>
        <v>17970707</v>
      </c>
    </row>
    <row r="925">
      <c r="A925" s="3">
        <f>IFERROR(__xludf.DUMMYFUNCTION("""COMPUTED_VALUE"""),41698.666666666664)</f>
        <v>41698.66667</v>
      </c>
      <c r="B925" s="2">
        <f>IFERROR(__xludf.DUMMYFUNCTION("""COMPUTED_VALUE"""),16.67)</f>
        <v>16.67</v>
      </c>
      <c r="C925" s="2">
        <f>IFERROR(__xludf.DUMMYFUNCTION("""COMPUTED_VALUE"""),16.85)</f>
        <v>16.85</v>
      </c>
      <c r="D925" s="2">
        <f>IFERROR(__xludf.DUMMYFUNCTION("""COMPUTED_VALUE"""),16.17)</f>
        <v>16.17</v>
      </c>
      <c r="E925" s="2">
        <f>IFERROR(__xludf.DUMMYFUNCTION("""COMPUTED_VALUE"""),16.32)</f>
        <v>16.32</v>
      </c>
      <c r="F925" s="2">
        <f>IFERROR(__xludf.DUMMYFUNCTION("""COMPUTED_VALUE"""),1.4612693E7)</f>
        <v>14612693</v>
      </c>
    </row>
    <row r="926">
      <c r="A926" s="3">
        <f>IFERROR(__xludf.DUMMYFUNCTION("""COMPUTED_VALUE"""),41701.666666666664)</f>
        <v>41701.66667</v>
      </c>
      <c r="B926" s="2">
        <f>IFERROR(__xludf.DUMMYFUNCTION("""COMPUTED_VALUE"""),15.79)</f>
        <v>15.79</v>
      </c>
      <c r="C926" s="2">
        <f>IFERROR(__xludf.DUMMYFUNCTION("""COMPUTED_VALUE"""),16.78)</f>
        <v>16.78</v>
      </c>
      <c r="D926" s="2">
        <f>IFERROR(__xludf.DUMMYFUNCTION("""COMPUTED_VALUE"""),15.67)</f>
        <v>15.67</v>
      </c>
      <c r="E926" s="2">
        <f>IFERROR(__xludf.DUMMYFUNCTION("""COMPUTED_VALUE"""),16.7)</f>
        <v>16.7</v>
      </c>
      <c r="F926" s="2">
        <f>IFERROR(__xludf.DUMMYFUNCTION("""COMPUTED_VALUE"""),1.3109303E7)</f>
        <v>13109303</v>
      </c>
    </row>
    <row r="927">
      <c r="A927" s="3">
        <f>IFERROR(__xludf.DUMMYFUNCTION("""COMPUTED_VALUE"""),41702.666666666664)</f>
        <v>41702.66667</v>
      </c>
      <c r="B927" s="2">
        <f>IFERROR(__xludf.DUMMYFUNCTION("""COMPUTED_VALUE"""),17.23)</f>
        <v>17.23</v>
      </c>
      <c r="C927" s="2">
        <f>IFERROR(__xludf.DUMMYFUNCTION("""COMPUTED_VALUE"""),17.33)</f>
        <v>17.33</v>
      </c>
      <c r="D927" s="2">
        <f>IFERROR(__xludf.DUMMYFUNCTION("""COMPUTED_VALUE"""),16.86)</f>
        <v>16.86</v>
      </c>
      <c r="E927" s="2">
        <f>IFERROR(__xludf.DUMMYFUNCTION("""COMPUTED_VALUE"""),16.99)</f>
        <v>16.99</v>
      </c>
      <c r="F927" s="2">
        <f>IFERROR(__xludf.DUMMYFUNCTION("""COMPUTED_VALUE"""),8765392.0)</f>
        <v>8765392</v>
      </c>
    </row>
    <row r="928">
      <c r="A928" s="3">
        <f>IFERROR(__xludf.DUMMYFUNCTION("""COMPUTED_VALUE"""),41703.666666666664)</f>
        <v>41703.66667</v>
      </c>
      <c r="B928" s="2">
        <f>IFERROR(__xludf.DUMMYFUNCTION("""COMPUTED_VALUE"""),17.11)</f>
        <v>17.11</v>
      </c>
      <c r="C928" s="2">
        <f>IFERROR(__xludf.DUMMYFUNCTION("""COMPUTED_VALUE"""),17.13)</f>
        <v>17.13</v>
      </c>
      <c r="D928" s="2">
        <f>IFERROR(__xludf.DUMMYFUNCTION("""COMPUTED_VALUE"""),16.79)</f>
        <v>16.79</v>
      </c>
      <c r="E928" s="2">
        <f>IFERROR(__xludf.DUMMYFUNCTION("""COMPUTED_VALUE"""),16.84)</f>
        <v>16.84</v>
      </c>
      <c r="F928" s="2">
        <f>IFERROR(__xludf.DUMMYFUNCTION("""COMPUTED_VALUE"""),5946736.0)</f>
        <v>5946736</v>
      </c>
    </row>
    <row r="929">
      <c r="A929" s="3">
        <f>IFERROR(__xludf.DUMMYFUNCTION("""COMPUTED_VALUE"""),41704.666666666664)</f>
        <v>41704.66667</v>
      </c>
      <c r="B929" s="2">
        <f>IFERROR(__xludf.DUMMYFUNCTION("""COMPUTED_VALUE"""),16.94)</f>
        <v>16.94</v>
      </c>
      <c r="C929" s="2">
        <f>IFERROR(__xludf.DUMMYFUNCTION("""COMPUTED_VALUE"""),17.17)</f>
        <v>17.17</v>
      </c>
      <c r="D929" s="2">
        <f>IFERROR(__xludf.DUMMYFUNCTION("""COMPUTED_VALUE"""),16.63)</f>
        <v>16.63</v>
      </c>
      <c r="E929" s="2">
        <f>IFERROR(__xludf.DUMMYFUNCTION("""COMPUTED_VALUE"""),16.86)</f>
        <v>16.86</v>
      </c>
      <c r="F929" s="2">
        <f>IFERROR(__xludf.DUMMYFUNCTION("""COMPUTED_VALUE"""),7374719.0)</f>
        <v>7374719</v>
      </c>
    </row>
    <row r="930">
      <c r="A930" s="3">
        <f>IFERROR(__xludf.DUMMYFUNCTION("""COMPUTED_VALUE"""),41705.666666666664)</f>
        <v>41705.66667</v>
      </c>
      <c r="B930" s="2">
        <f>IFERROR(__xludf.DUMMYFUNCTION("""COMPUTED_VALUE"""),16.86)</f>
        <v>16.86</v>
      </c>
      <c r="C930" s="2">
        <f>IFERROR(__xludf.DUMMYFUNCTION("""COMPUTED_VALUE"""),16.99)</f>
        <v>16.99</v>
      </c>
      <c r="D930" s="2">
        <f>IFERROR(__xludf.DUMMYFUNCTION("""COMPUTED_VALUE"""),16.29)</f>
        <v>16.29</v>
      </c>
      <c r="E930" s="2">
        <f>IFERROR(__xludf.DUMMYFUNCTION("""COMPUTED_VALUE"""),16.41)</f>
        <v>16.41</v>
      </c>
      <c r="F930" s="2">
        <f>IFERROR(__xludf.DUMMYFUNCTION("""COMPUTED_VALUE"""),7818465.0)</f>
        <v>7818465</v>
      </c>
    </row>
    <row r="931">
      <c r="A931" s="3">
        <f>IFERROR(__xludf.DUMMYFUNCTION("""COMPUTED_VALUE"""),41708.666666666664)</f>
        <v>41708.66667</v>
      </c>
      <c r="B931" s="2">
        <f>IFERROR(__xludf.DUMMYFUNCTION("""COMPUTED_VALUE"""),16.18)</f>
        <v>16.18</v>
      </c>
      <c r="C931" s="2">
        <f>IFERROR(__xludf.DUMMYFUNCTION("""COMPUTED_VALUE"""),16.2)</f>
        <v>16.2</v>
      </c>
      <c r="D931" s="2">
        <f>IFERROR(__xludf.DUMMYFUNCTION("""COMPUTED_VALUE"""),15.74)</f>
        <v>15.74</v>
      </c>
      <c r="E931" s="2">
        <f>IFERROR(__xludf.DUMMYFUNCTION("""COMPUTED_VALUE"""),15.92)</f>
        <v>15.92</v>
      </c>
      <c r="F931" s="2">
        <f>IFERROR(__xludf.DUMMYFUNCTION("""COMPUTED_VALUE"""),7745751.0)</f>
        <v>7745751</v>
      </c>
    </row>
    <row r="932">
      <c r="A932" s="3">
        <f>IFERROR(__xludf.DUMMYFUNCTION("""COMPUTED_VALUE"""),41709.666666666664)</f>
        <v>41709.66667</v>
      </c>
      <c r="B932" s="2">
        <f>IFERROR(__xludf.DUMMYFUNCTION("""COMPUTED_VALUE"""),15.74)</f>
        <v>15.74</v>
      </c>
      <c r="C932" s="2">
        <f>IFERROR(__xludf.DUMMYFUNCTION("""COMPUTED_VALUE"""),16.31)</f>
        <v>16.31</v>
      </c>
      <c r="D932" s="2">
        <f>IFERROR(__xludf.DUMMYFUNCTION("""COMPUTED_VALUE"""),15.5)</f>
        <v>15.5</v>
      </c>
      <c r="E932" s="2">
        <f>IFERROR(__xludf.DUMMYFUNCTION("""COMPUTED_VALUE"""),15.63)</f>
        <v>15.63</v>
      </c>
      <c r="F932" s="2">
        <f>IFERROR(__xludf.DUMMYFUNCTION("""COMPUTED_VALUE"""),8836349.0)</f>
        <v>8836349</v>
      </c>
    </row>
    <row r="933">
      <c r="A933" s="3">
        <f>IFERROR(__xludf.DUMMYFUNCTION("""COMPUTED_VALUE"""),41710.666666666664)</f>
        <v>41710.66667</v>
      </c>
      <c r="B933" s="2">
        <f>IFERROR(__xludf.DUMMYFUNCTION("""COMPUTED_VALUE"""),15.41)</f>
        <v>15.41</v>
      </c>
      <c r="C933" s="2">
        <f>IFERROR(__xludf.DUMMYFUNCTION("""COMPUTED_VALUE"""),16.5)</f>
        <v>16.5</v>
      </c>
      <c r="D933" s="2">
        <f>IFERROR(__xludf.DUMMYFUNCTION("""COMPUTED_VALUE"""),15.41)</f>
        <v>15.41</v>
      </c>
      <c r="E933" s="2">
        <f>IFERROR(__xludf.DUMMYFUNCTION("""COMPUTED_VALUE"""),16.1)</f>
        <v>16.1</v>
      </c>
      <c r="F933" s="2">
        <f>IFERROR(__xludf.DUMMYFUNCTION("""COMPUTED_VALUE"""),9763911.0)</f>
        <v>9763911</v>
      </c>
    </row>
    <row r="934">
      <c r="A934" s="3">
        <f>IFERROR(__xludf.DUMMYFUNCTION("""COMPUTED_VALUE"""),41711.666666666664)</f>
        <v>41711.66667</v>
      </c>
      <c r="B934" s="2">
        <f>IFERROR(__xludf.DUMMYFUNCTION("""COMPUTED_VALUE"""),16.25)</f>
        <v>16.25</v>
      </c>
      <c r="C934" s="2">
        <f>IFERROR(__xludf.DUMMYFUNCTION("""COMPUTED_VALUE"""),16.28)</f>
        <v>16.28</v>
      </c>
      <c r="D934" s="2">
        <f>IFERROR(__xludf.DUMMYFUNCTION("""COMPUTED_VALUE"""),15.6)</f>
        <v>15.6</v>
      </c>
      <c r="E934" s="2">
        <f>IFERROR(__xludf.DUMMYFUNCTION("""COMPUTED_VALUE"""),15.85)</f>
        <v>15.85</v>
      </c>
      <c r="F934" s="2">
        <f>IFERROR(__xludf.DUMMYFUNCTION("""COMPUTED_VALUE"""),6236325.0)</f>
        <v>6236325</v>
      </c>
    </row>
    <row r="935">
      <c r="A935" s="3">
        <f>IFERROR(__xludf.DUMMYFUNCTION("""COMPUTED_VALUE"""),41712.666666666664)</f>
        <v>41712.66667</v>
      </c>
      <c r="B935" s="2">
        <f>IFERROR(__xludf.DUMMYFUNCTION("""COMPUTED_VALUE"""),15.69)</f>
        <v>15.69</v>
      </c>
      <c r="C935" s="2">
        <f>IFERROR(__xludf.DUMMYFUNCTION("""COMPUTED_VALUE"""),15.8)</f>
        <v>15.8</v>
      </c>
      <c r="D935" s="2">
        <f>IFERROR(__xludf.DUMMYFUNCTION("""COMPUTED_VALUE"""),15.22)</f>
        <v>15.22</v>
      </c>
      <c r="E935" s="2">
        <f>IFERROR(__xludf.DUMMYFUNCTION("""COMPUTED_VALUE"""),15.4)</f>
        <v>15.4</v>
      </c>
      <c r="F935" s="2">
        <f>IFERROR(__xludf.DUMMYFUNCTION("""COMPUTED_VALUE"""),8289733.0)</f>
        <v>8289733</v>
      </c>
    </row>
    <row r="936">
      <c r="A936" s="3">
        <f>IFERROR(__xludf.DUMMYFUNCTION("""COMPUTED_VALUE"""),41715.666666666664)</f>
        <v>41715.66667</v>
      </c>
      <c r="B936" s="2">
        <f>IFERROR(__xludf.DUMMYFUNCTION("""COMPUTED_VALUE"""),15.67)</f>
        <v>15.67</v>
      </c>
      <c r="C936" s="2">
        <f>IFERROR(__xludf.DUMMYFUNCTION("""COMPUTED_VALUE"""),15.86)</f>
        <v>15.86</v>
      </c>
      <c r="D936" s="2">
        <f>IFERROR(__xludf.DUMMYFUNCTION("""COMPUTED_VALUE"""),15.37)</f>
        <v>15.37</v>
      </c>
      <c r="E936" s="2">
        <f>IFERROR(__xludf.DUMMYFUNCTION("""COMPUTED_VALUE"""),15.6)</f>
        <v>15.6</v>
      </c>
      <c r="F936" s="2">
        <f>IFERROR(__xludf.DUMMYFUNCTION("""COMPUTED_VALUE"""),5912592.0)</f>
        <v>5912592</v>
      </c>
    </row>
    <row r="937">
      <c r="A937" s="3">
        <f>IFERROR(__xludf.DUMMYFUNCTION("""COMPUTED_VALUE"""),41716.666666666664)</f>
        <v>41716.66667</v>
      </c>
      <c r="B937" s="2">
        <f>IFERROR(__xludf.DUMMYFUNCTION("""COMPUTED_VALUE"""),15.8)</f>
        <v>15.8</v>
      </c>
      <c r="C937" s="2">
        <f>IFERROR(__xludf.DUMMYFUNCTION("""COMPUTED_VALUE"""),16.1)</f>
        <v>16.1</v>
      </c>
      <c r="D937" s="2">
        <f>IFERROR(__xludf.DUMMYFUNCTION("""COMPUTED_VALUE"""),15.67)</f>
        <v>15.67</v>
      </c>
      <c r="E937" s="2">
        <f>IFERROR(__xludf.DUMMYFUNCTION("""COMPUTED_VALUE"""),16.0)</f>
        <v>16</v>
      </c>
      <c r="F937" s="2">
        <f>IFERROR(__xludf.DUMMYFUNCTION("""COMPUTED_VALUE"""),6242349.0)</f>
        <v>6242349</v>
      </c>
    </row>
    <row r="938">
      <c r="A938" s="3">
        <f>IFERROR(__xludf.DUMMYFUNCTION("""COMPUTED_VALUE"""),41717.666666666664)</f>
        <v>41717.66667</v>
      </c>
      <c r="B938" s="2">
        <f>IFERROR(__xludf.DUMMYFUNCTION("""COMPUTED_VALUE"""),16.09)</f>
        <v>16.09</v>
      </c>
      <c r="C938" s="2">
        <f>IFERROR(__xludf.DUMMYFUNCTION("""COMPUTED_VALUE"""),16.1)</f>
        <v>16.1</v>
      </c>
      <c r="D938" s="2">
        <f>IFERROR(__xludf.DUMMYFUNCTION("""COMPUTED_VALUE"""),15.57)</f>
        <v>15.57</v>
      </c>
      <c r="E938" s="2">
        <f>IFERROR(__xludf.DUMMYFUNCTION("""COMPUTED_VALUE"""),15.72)</f>
        <v>15.72</v>
      </c>
      <c r="F938" s="2">
        <f>IFERROR(__xludf.DUMMYFUNCTION("""COMPUTED_VALUE"""),5071327.0)</f>
        <v>5071327</v>
      </c>
    </row>
    <row r="939">
      <c r="A939" s="3">
        <f>IFERROR(__xludf.DUMMYFUNCTION("""COMPUTED_VALUE"""),41718.666666666664)</f>
        <v>41718.66667</v>
      </c>
      <c r="B939" s="2">
        <f>IFERROR(__xludf.DUMMYFUNCTION("""COMPUTED_VALUE"""),15.73)</f>
        <v>15.73</v>
      </c>
      <c r="C939" s="2">
        <f>IFERROR(__xludf.DUMMYFUNCTION("""COMPUTED_VALUE"""),15.95)</f>
        <v>15.95</v>
      </c>
      <c r="D939" s="2">
        <f>IFERROR(__xludf.DUMMYFUNCTION("""COMPUTED_VALUE"""),15.56)</f>
        <v>15.56</v>
      </c>
      <c r="E939" s="2">
        <f>IFERROR(__xludf.DUMMYFUNCTION("""COMPUTED_VALUE"""),15.66)</f>
        <v>15.66</v>
      </c>
      <c r="F939" s="2">
        <f>IFERROR(__xludf.DUMMYFUNCTION("""COMPUTED_VALUE"""),3817905.0)</f>
        <v>3817905</v>
      </c>
    </row>
    <row r="940">
      <c r="A940" s="3">
        <f>IFERROR(__xludf.DUMMYFUNCTION("""COMPUTED_VALUE"""),41719.666666666664)</f>
        <v>41719.66667</v>
      </c>
      <c r="B940" s="2">
        <f>IFERROR(__xludf.DUMMYFUNCTION("""COMPUTED_VALUE"""),15.73)</f>
        <v>15.73</v>
      </c>
      <c r="C940" s="2">
        <f>IFERROR(__xludf.DUMMYFUNCTION("""COMPUTED_VALUE"""),15.75)</f>
        <v>15.75</v>
      </c>
      <c r="D940" s="2">
        <f>IFERROR(__xludf.DUMMYFUNCTION("""COMPUTED_VALUE"""),15.17)</f>
        <v>15.17</v>
      </c>
      <c r="E940" s="2">
        <f>IFERROR(__xludf.DUMMYFUNCTION("""COMPUTED_VALUE"""),15.26)</f>
        <v>15.26</v>
      </c>
      <c r="F940" s="2">
        <f>IFERROR(__xludf.DUMMYFUNCTION("""COMPUTED_VALUE"""),8227311.0)</f>
        <v>8227311</v>
      </c>
    </row>
    <row r="941">
      <c r="A941" s="3">
        <f>IFERROR(__xludf.DUMMYFUNCTION("""COMPUTED_VALUE"""),41722.666666666664)</f>
        <v>41722.66667</v>
      </c>
      <c r="B941" s="2">
        <f>IFERROR(__xludf.DUMMYFUNCTION("""COMPUTED_VALUE"""),15.32)</f>
        <v>15.32</v>
      </c>
      <c r="C941" s="2">
        <f>IFERROR(__xludf.DUMMYFUNCTION("""COMPUTED_VALUE"""),15.33)</f>
        <v>15.33</v>
      </c>
      <c r="D941" s="2">
        <f>IFERROR(__xludf.DUMMYFUNCTION("""COMPUTED_VALUE"""),14.02)</f>
        <v>14.02</v>
      </c>
      <c r="E941" s="2">
        <f>IFERROR(__xludf.DUMMYFUNCTION("""COMPUTED_VALUE"""),14.68)</f>
        <v>14.68</v>
      </c>
      <c r="F941" s="2">
        <f>IFERROR(__xludf.DUMMYFUNCTION("""COMPUTED_VALUE"""),1.1332947E7)</f>
        <v>11332947</v>
      </c>
    </row>
    <row r="942">
      <c r="A942" s="3">
        <f>IFERROR(__xludf.DUMMYFUNCTION("""COMPUTED_VALUE"""),41723.666666666664)</f>
        <v>41723.66667</v>
      </c>
      <c r="B942" s="2">
        <f>IFERROR(__xludf.DUMMYFUNCTION("""COMPUTED_VALUE"""),14.94)</f>
        <v>14.94</v>
      </c>
      <c r="C942" s="2">
        <f>IFERROR(__xludf.DUMMYFUNCTION("""COMPUTED_VALUE"""),15.14)</f>
        <v>15.14</v>
      </c>
      <c r="D942" s="2">
        <f>IFERROR(__xludf.DUMMYFUNCTION("""COMPUTED_VALUE"""),14.53)</f>
        <v>14.53</v>
      </c>
      <c r="E942" s="2">
        <f>IFERROR(__xludf.DUMMYFUNCTION("""COMPUTED_VALUE"""),14.7)</f>
        <v>14.7</v>
      </c>
      <c r="F942" s="2">
        <f>IFERROR(__xludf.DUMMYFUNCTION("""COMPUTED_VALUE"""),7865375.0)</f>
        <v>7865375</v>
      </c>
    </row>
    <row r="943">
      <c r="A943" s="3">
        <f>IFERROR(__xludf.DUMMYFUNCTION("""COMPUTED_VALUE"""),41724.666666666664)</f>
        <v>41724.66667</v>
      </c>
      <c r="B943" s="2">
        <f>IFERROR(__xludf.DUMMYFUNCTION("""COMPUTED_VALUE"""),14.77)</f>
        <v>14.77</v>
      </c>
      <c r="C943" s="2">
        <f>IFERROR(__xludf.DUMMYFUNCTION("""COMPUTED_VALUE"""),14.84)</f>
        <v>14.84</v>
      </c>
      <c r="D943" s="2">
        <f>IFERROR(__xludf.DUMMYFUNCTION("""COMPUTED_VALUE"""),14.09)</f>
        <v>14.09</v>
      </c>
      <c r="E943" s="2">
        <f>IFERROR(__xludf.DUMMYFUNCTION("""COMPUTED_VALUE"""),14.2)</f>
        <v>14.2</v>
      </c>
      <c r="F943" s="2">
        <f>IFERROR(__xludf.DUMMYFUNCTION("""COMPUTED_VALUE"""),6907306.0)</f>
        <v>6907306</v>
      </c>
    </row>
    <row r="944">
      <c r="A944" s="3">
        <f>IFERROR(__xludf.DUMMYFUNCTION("""COMPUTED_VALUE"""),41725.666666666664)</f>
        <v>41725.66667</v>
      </c>
      <c r="B944" s="2">
        <f>IFERROR(__xludf.DUMMYFUNCTION("""COMPUTED_VALUE"""),14.15)</f>
        <v>14.15</v>
      </c>
      <c r="C944" s="2">
        <f>IFERROR(__xludf.DUMMYFUNCTION("""COMPUTED_VALUE"""),14.24)</f>
        <v>14.24</v>
      </c>
      <c r="D944" s="2">
        <f>IFERROR(__xludf.DUMMYFUNCTION("""COMPUTED_VALUE"""),13.53)</f>
        <v>13.53</v>
      </c>
      <c r="E944" s="2">
        <f>IFERROR(__xludf.DUMMYFUNCTION("""COMPUTED_VALUE"""),13.82)</f>
        <v>13.82</v>
      </c>
      <c r="F944" s="2">
        <f>IFERROR(__xludf.DUMMYFUNCTION("""COMPUTED_VALUE"""),9505307.0)</f>
        <v>9505307</v>
      </c>
    </row>
    <row r="945">
      <c r="A945" s="3">
        <f>IFERROR(__xludf.DUMMYFUNCTION("""COMPUTED_VALUE"""),41726.666666666664)</f>
        <v>41726.66667</v>
      </c>
      <c r="B945" s="2">
        <f>IFERROR(__xludf.DUMMYFUNCTION("""COMPUTED_VALUE"""),14.19)</f>
        <v>14.19</v>
      </c>
      <c r="C945" s="2">
        <f>IFERROR(__xludf.DUMMYFUNCTION("""COMPUTED_VALUE"""),14.45)</f>
        <v>14.45</v>
      </c>
      <c r="D945" s="2">
        <f>IFERROR(__xludf.DUMMYFUNCTION("""COMPUTED_VALUE"""),14.02)</f>
        <v>14.02</v>
      </c>
      <c r="E945" s="2">
        <f>IFERROR(__xludf.DUMMYFUNCTION("""COMPUTED_VALUE"""),14.16)</f>
        <v>14.16</v>
      </c>
      <c r="F945" s="2">
        <f>IFERROR(__xludf.DUMMYFUNCTION("""COMPUTED_VALUE"""),9684761.0)</f>
        <v>9684761</v>
      </c>
    </row>
    <row r="946">
      <c r="A946" s="3">
        <f>IFERROR(__xludf.DUMMYFUNCTION("""COMPUTED_VALUE"""),41729.666666666664)</f>
        <v>41729.66667</v>
      </c>
      <c r="B946" s="2">
        <f>IFERROR(__xludf.DUMMYFUNCTION("""COMPUTED_VALUE"""),14.45)</f>
        <v>14.45</v>
      </c>
      <c r="C946" s="2">
        <f>IFERROR(__xludf.DUMMYFUNCTION("""COMPUTED_VALUE"""),14.45)</f>
        <v>14.45</v>
      </c>
      <c r="D946" s="2">
        <f>IFERROR(__xludf.DUMMYFUNCTION("""COMPUTED_VALUE"""),13.76)</f>
        <v>13.76</v>
      </c>
      <c r="E946" s="2">
        <f>IFERROR(__xludf.DUMMYFUNCTION("""COMPUTED_VALUE"""),13.9)</f>
        <v>13.9</v>
      </c>
      <c r="F946" s="2">
        <f>IFERROR(__xludf.DUMMYFUNCTION("""COMPUTED_VALUE"""),8380023.0)</f>
        <v>8380023</v>
      </c>
    </row>
    <row r="947">
      <c r="A947" s="3">
        <f>IFERROR(__xludf.DUMMYFUNCTION("""COMPUTED_VALUE"""),41730.666666666664)</f>
        <v>41730.66667</v>
      </c>
      <c r="B947" s="2">
        <f>IFERROR(__xludf.DUMMYFUNCTION("""COMPUTED_VALUE"""),13.93)</f>
        <v>13.93</v>
      </c>
      <c r="C947" s="2">
        <f>IFERROR(__xludf.DUMMYFUNCTION("""COMPUTED_VALUE"""),14.54)</f>
        <v>14.54</v>
      </c>
      <c r="D947" s="2">
        <f>IFERROR(__xludf.DUMMYFUNCTION("""COMPUTED_VALUE"""),13.91)</f>
        <v>13.91</v>
      </c>
      <c r="E947" s="2">
        <f>IFERROR(__xludf.DUMMYFUNCTION("""COMPUTED_VALUE"""),14.46)</f>
        <v>14.46</v>
      </c>
      <c r="F947" s="2">
        <f>IFERROR(__xludf.DUMMYFUNCTION("""COMPUTED_VALUE"""),7371422.0)</f>
        <v>7371422</v>
      </c>
    </row>
    <row r="948">
      <c r="A948" s="3">
        <f>IFERROR(__xludf.DUMMYFUNCTION("""COMPUTED_VALUE"""),41731.666666666664)</f>
        <v>41731.66667</v>
      </c>
      <c r="B948" s="2">
        <f>IFERROR(__xludf.DUMMYFUNCTION("""COMPUTED_VALUE"""),14.67)</f>
        <v>14.67</v>
      </c>
      <c r="C948" s="2">
        <f>IFERROR(__xludf.DUMMYFUNCTION("""COMPUTED_VALUE"""),15.39)</f>
        <v>15.39</v>
      </c>
      <c r="D948" s="2">
        <f>IFERROR(__xludf.DUMMYFUNCTION("""COMPUTED_VALUE"""),14.54)</f>
        <v>14.54</v>
      </c>
      <c r="E948" s="2">
        <f>IFERROR(__xludf.DUMMYFUNCTION("""COMPUTED_VALUE"""),15.35)</f>
        <v>15.35</v>
      </c>
      <c r="F948" s="2">
        <f>IFERROR(__xludf.DUMMYFUNCTION("""COMPUTED_VALUE"""),1.0782251E7)</f>
        <v>10782251</v>
      </c>
    </row>
    <row r="949">
      <c r="A949" s="3">
        <f>IFERROR(__xludf.DUMMYFUNCTION("""COMPUTED_VALUE"""),41732.666666666664)</f>
        <v>41732.66667</v>
      </c>
      <c r="B949" s="2">
        <f>IFERROR(__xludf.DUMMYFUNCTION("""COMPUTED_VALUE"""),15.35)</f>
        <v>15.35</v>
      </c>
      <c r="C949" s="2">
        <f>IFERROR(__xludf.DUMMYFUNCTION("""COMPUTED_VALUE"""),15.72)</f>
        <v>15.72</v>
      </c>
      <c r="D949" s="2">
        <f>IFERROR(__xludf.DUMMYFUNCTION("""COMPUTED_VALUE"""),14.8)</f>
        <v>14.8</v>
      </c>
      <c r="E949" s="2">
        <f>IFERROR(__xludf.DUMMYFUNCTION("""COMPUTED_VALUE"""),15.03)</f>
        <v>15.03</v>
      </c>
      <c r="F949" s="2">
        <f>IFERROR(__xludf.DUMMYFUNCTION("""COMPUTED_VALUE"""),1.0923734E7)</f>
        <v>10923734</v>
      </c>
    </row>
    <row r="950">
      <c r="A950" s="3">
        <f>IFERROR(__xludf.DUMMYFUNCTION("""COMPUTED_VALUE"""),41733.666666666664)</f>
        <v>41733.66667</v>
      </c>
      <c r="B950" s="2">
        <f>IFERROR(__xludf.DUMMYFUNCTION("""COMPUTED_VALUE"""),15.07)</f>
        <v>15.07</v>
      </c>
      <c r="C950" s="2">
        <f>IFERROR(__xludf.DUMMYFUNCTION("""COMPUTED_VALUE"""),15.22)</f>
        <v>15.22</v>
      </c>
      <c r="D950" s="2">
        <f>IFERROR(__xludf.DUMMYFUNCTION("""COMPUTED_VALUE"""),14.08)</f>
        <v>14.08</v>
      </c>
      <c r="E950" s="2">
        <f>IFERROR(__xludf.DUMMYFUNCTION("""COMPUTED_VALUE"""),14.15)</f>
        <v>14.15</v>
      </c>
      <c r="F950" s="2">
        <f>IFERROR(__xludf.DUMMYFUNCTION("""COMPUTED_VALUE"""),1.1345618E7)</f>
        <v>11345618</v>
      </c>
    </row>
    <row r="951">
      <c r="A951" s="3">
        <f>IFERROR(__xludf.DUMMYFUNCTION("""COMPUTED_VALUE"""),41736.666666666664)</f>
        <v>41736.66667</v>
      </c>
      <c r="B951" s="2">
        <f>IFERROR(__xludf.DUMMYFUNCTION("""COMPUTED_VALUE"""),13.72)</f>
        <v>13.72</v>
      </c>
      <c r="C951" s="2">
        <f>IFERROR(__xludf.DUMMYFUNCTION("""COMPUTED_VALUE"""),14.41)</f>
        <v>14.41</v>
      </c>
      <c r="D951" s="2">
        <f>IFERROR(__xludf.DUMMYFUNCTION("""COMPUTED_VALUE"""),13.57)</f>
        <v>13.57</v>
      </c>
      <c r="E951" s="2">
        <f>IFERROR(__xludf.DUMMYFUNCTION("""COMPUTED_VALUE"""),13.83)</f>
        <v>13.83</v>
      </c>
      <c r="F951" s="2">
        <f>IFERROR(__xludf.DUMMYFUNCTION("""COMPUTED_VALUE"""),9855478.0)</f>
        <v>9855478</v>
      </c>
    </row>
    <row r="952">
      <c r="A952" s="3">
        <f>IFERROR(__xludf.DUMMYFUNCTION("""COMPUTED_VALUE"""),41737.666666666664)</f>
        <v>41737.66667</v>
      </c>
      <c r="B952" s="2">
        <f>IFERROR(__xludf.DUMMYFUNCTION("""COMPUTED_VALUE"""),14.0)</f>
        <v>14</v>
      </c>
      <c r="C952" s="2">
        <f>IFERROR(__xludf.DUMMYFUNCTION("""COMPUTED_VALUE"""),14.43)</f>
        <v>14.43</v>
      </c>
      <c r="D952" s="2">
        <f>IFERROR(__xludf.DUMMYFUNCTION("""COMPUTED_VALUE"""),13.76)</f>
        <v>13.76</v>
      </c>
      <c r="E952" s="2">
        <f>IFERROR(__xludf.DUMMYFUNCTION("""COMPUTED_VALUE"""),14.36)</f>
        <v>14.36</v>
      </c>
      <c r="F952" s="2">
        <f>IFERROR(__xludf.DUMMYFUNCTION("""COMPUTED_VALUE"""),6889296.0)</f>
        <v>6889296</v>
      </c>
    </row>
    <row r="953">
      <c r="A953" s="3">
        <f>IFERROR(__xludf.DUMMYFUNCTION("""COMPUTED_VALUE"""),41738.666666666664)</f>
        <v>41738.66667</v>
      </c>
      <c r="B953" s="2">
        <f>IFERROR(__xludf.DUMMYFUNCTION("""COMPUTED_VALUE"""),14.47)</f>
        <v>14.47</v>
      </c>
      <c r="C953" s="2">
        <f>IFERROR(__xludf.DUMMYFUNCTION("""COMPUTED_VALUE"""),14.56)</f>
        <v>14.56</v>
      </c>
      <c r="D953" s="2">
        <f>IFERROR(__xludf.DUMMYFUNCTION("""COMPUTED_VALUE"""),14.06)</f>
        <v>14.06</v>
      </c>
      <c r="E953" s="2">
        <f>IFERROR(__xludf.DUMMYFUNCTION("""COMPUTED_VALUE"""),14.46)</f>
        <v>14.46</v>
      </c>
      <c r="F953" s="2">
        <f>IFERROR(__xludf.DUMMYFUNCTION("""COMPUTED_VALUE"""),5157923.0)</f>
        <v>5157923</v>
      </c>
    </row>
    <row r="954">
      <c r="A954" s="3">
        <f>IFERROR(__xludf.DUMMYFUNCTION("""COMPUTED_VALUE"""),41739.666666666664)</f>
        <v>41739.66667</v>
      </c>
      <c r="B954" s="2">
        <f>IFERROR(__xludf.DUMMYFUNCTION("""COMPUTED_VALUE"""),14.45)</f>
        <v>14.45</v>
      </c>
      <c r="C954" s="2">
        <f>IFERROR(__xludf.DUMMYFUNCTION("""COMPUTED_VALUE"""),14.5)</f>
        <v>14.5</v>
      </c>
      <c r="D954" s="2">
        <f>IFERROR(__xludf.DUMMYFUNCTION("""COMPUTED_VALUE"""),13.59)</f>
        <v>13.59</v>
      </c>
      <c r="E954" s="2">
        <f>IFERROR(__xludf.DUMMYFUNCTION("""COMPUTED_VALUE"""),13.61)</f>
        <v>13.61</v>
      </c>
      <c r="F954" s="2">
        <f>IFERROR(__xludf.DUMMYFUNCTION("""COMPUTED_VALUE"""),7211492.0)</f>
        <v>7211492</v>
      </c>
    </row>
    <row r="955">
      <c r="A955" s="3">
        <f>IFERROR(__xludf.DUMMYFUNCTION("""COMPUTED_VALUE"""),41740.666666666664)</f>
        <v>41740.66667</v>
      </c>
      <c r="B955" s="2">
        <f>IFERROR(__xludf.DUMMYFUNCTION("""COMPUTED_VALUE"""),13.38)</f>
        <v>13.38</v>
      </c>
      <c r="C955" s="2">
        <f>IFERROR(__xludf.DUMMYFUNCTION("""COMPUTED_VALUE"""),13.8)</f>
        <v>13.8</v>
      </c>
      <c r="D955" s="2">
        <f>IFERROR(__xludf.DUMMYFUNCTION("""COMPUTED_VALUE"""),13.24)</f>
        <v>13.24</v>
      </c>
      <c r="E955" s="2">
        <f>IFERROR(__xludf.DUMMYFUNCTION("""COMPUTED_VALUE"""),13.59)</f>
        <v>13.59</v>
      </c>
      <c r="F955" s="2">
        <f>IFERROR(__xludf.DUMMYFUNCTION("""COMPUTED_VALUE"""),9071300.0)</f>
        <v>9071300</v>
      </c>
    </row>
    <row r="956">
      <c r="A956" s="3">
        <f>IFERROR(__xludf.DUMMYFUNCTION("""COMPUTED_VALUE"""),41743.666666666664)</f>
        <v>41743.66667</v>
      </c>
      <c r="B956" s="2">
        <f>IFERROR(__xludf.DUMMYFUNCTION("""COMPUTED_VALUE"""),13.84)</f>
        <v>13.84</v>
      </c>
      <c r="C956" s="2">
        <f>IFERROR(__xludf.DUMMYFUNCTION("""COMPUTED_VALUE"""),13.9)</f>
        <v>13.9</v>
      </c>
      <c r="D956" s="2">
        <f>IFERROR(__xludf.DUMMYFUNCTION("""COMPUTED_VALUE"""),12.96)</f>
        <v>12.96</v>
      </c>
      <c r="E956" s="2">
        <f>IFERROR(__xludf.DUMMYFUNCTION("""COMPUTED_VALUE"""),13.21)</f>
        <v>13.21</v>
      </c>
      <c r="F956" s="2">
        <f>IFERROR(__xludf.DUMMYFUNCTION("""COMPUTED_VALUE"""),7703031.0)</f>
        <v>7703031</v>
      </c>
    </row>
    <row r="957">
      <c r="A957" s="3">
        <f>IFERROR(__xludf.DUMMYFUNCTION("""COMPUTED_VALUE"""),41744.666666666664)</f>
        <v>41744.66667</v>
      </c>
      <c r="B957" s="2">
        <f>IFERROR(__xludf.DUMMYFUNCTION("""COMPUTED_VALUE"""),13.27)</f>
        <v>13.27</v>
      </c>
      <c r="C957" s="2">
        <f>IFERROR(__xludf.DUMMYFUNCTION("""COMPUTED_VALUE"""),13.29)</f>
        <v>13.29</v>
      </c>
      <c r="D957" s="2">
        <f>IFERROR(__xludf.DUMMYFUNCTION("""COMPUTED_VALUE"""),12.29)</f>
        <v>12.29</v>
      </c>
      <c r="E957" s="2">
        <f>IFERROR(__xludf.DUMMYFUNCTION("""COMPUTED_VALUE"""),12.93)</f>
        <v>12.93</v>
      </c>
      <c r="F957" s="2">
        <f>IFERROR(__xludf.DUMMYFUNCTION("""COMPUTED_VALUE"""),1.3667071E7)</f>
        <v>13667071</v>
      </c>
    </row>
    <row r="958">
      <c r="A958" s="3">
        <f>IFERROR(__xludf.DUMMYFUNCTION("""COMPUTED_VALUE"""),41745.666666666664)</f>
        <v>41745.66667</v>
      </c>
      <c r="B958" s="2">
        <f>IFERROR(__xludf.DUMMYFUNCTION("""COMPUTED_VALUE"""),13.13)</f>
        <v>13.13</v>
      </c>
      <c r="C958" s="2">
        <f>IFERROR(__xludf.DUMMYFUNCTION("""COMPUTED_VALUE"""),13.33)</f>
        <v>13.33</v>
      </c>
      <c r="D958" s="2">
        <f>IFERROR(__xludf.DUMMYFUNCTION("""COMPUTED_VALUE"""),12.72)</f>
        <v>12.72</v>
      </c>
      <c r="E958" s="2">
        <f>IFERROR(__xludf.DUMMYFUNCTION("""COMPUTED_VALUE"""),13.27)</f>
        <v>13.27</v>
      </c>
      <c r="F958" s="2">
        <f>IFERROR(__xludf.DUMMYFUNCTION("""COMPUTED_VALUE"""),7205319.0)</f>
        <v>7205319</v>
      </c>
    </row>
    <row r="959">
      <c r="A959" s="3">
        <f>IFERROR(__xludf.DUMMYFUNCTION("""COMPUTED_VALUE"""),41746.666666666664)</f>
        <v>41746.66667</v>
      </c>
      <c r="B959" s="2">
        <f>IFERROR(__xludf.DUMMYFUNCTION("""COMPUTED_VALUE"""),13.31)</f>
        <v>13.31</v>
      </c>
      <c r="C959" s="2">
        <f>IFERROR(__xludf.DUMMYFUNCTION("""COMPUTED_VALUE"""),13.49)</f>
        <v>13.49</v>
      </c>
      <c r="D959" s="2">
        <f>IFERROR(__xludf.DUMMYFUNCTION("""COMPUTED_VALUE"""),12.94)</f>
        <v>12.94</v>
      </c>
      <c r="E959" s="2">
        <f>IFERROR(__xludf.DUMMYFUNCTION("""COMPUTED_VALUE"""),13.21)</f>
        <v>13.21</v>
      </c>
      <c r="F959" s="2">
        <f>IFERROR(__xludf.DUMMYFUNCTION("""COMPUTED_VALUE"""),5929506.0)</f>
        <v>5929506</v>
      </c>
    </row>
    <row r="960">
      <c r="A960" s="3">
        <f>IFERROR(__xludf.DUMMYFUNCTION("""COMPUTED_VALUE"""),41750.666666666664)</f>
        <v>41750.66667</v>
      </c>
      <c r="B960" s="2">
        <f>IFERROR(__xludf.DUMMYFUNCTION("""COMPUTED_VALUE"""),13.14)</f>
        <v>13.14</v>
      </c>
      <c r="C960" s="2">
        <f>IFERROR(__xludf.DUMMYFUNCTION("""COMPUTED_VALUE"""),13.75)</f>
        <v>13.75</v>
      </c>
      <c r="D960" s="2">
        <f>IFERROR(__xludf.DUMMYFUNCTION("""COMPUTED_VALUE"""),12.93)</f>
        <v>12.93</v>
      </c>
      <c r="E960" s="2">
        <f>IFERROR(__xludf.DUMMYFUNCTION("""COMPUTED_VALUE"""),13.63)</f>
        <v>13.63</v>
      </c>
      <c r="F960" s="2">
        <f>IFERROR(__xludf.DUMMYFUNCTION("""COMPUTED_VALUE"""),5266490.0)</f>
        <v>5266490</v>
      </c>
    </row>
    <row r="961">
      <c r="A961" s="3">
        <f>IFERROR(__xludf.DUMMYFUNCTION("""COMPUTED_VALUE"""),41751.666666666664)</f>
        <v>41751.66667</v>
      </c>
      <c r="B961" s="2">
        <f>IFERROR(__xludf.DUMMYFUNCTION("""COMPUTED_VALUE"""),13.76)</f>
        <v>13.76</v>
      </c>
      <c r="C961" s="2">
        <f>IFERROR(__xludf.DUMMYFUNCTION("""COMPUTED_VALUE"""),14.62)</f>
        <v>14.62</v>
      </c>
      <c r="D961" s="2">
        <f>IFERROR(__xludf.DUMMYFUNCTION("""COMPUTED_VALUE"""),13.67)</f>
        <v>13.67</v>
      </c>
      <c r="E961" s="2">
        <f>IFERROR(__xludf.DUMMYFUNCTION("""COMPUTED_VALUE"""),14.58)</f>
        <v>14.58</v>
      </c>
      <c r="F961" s="2">
        <f>IFERROR(__xludf.DUMMYFUNCTION("""COMPUTED_VALUE"""),9809333.0)</f>
        <v>9809333</v>
      </c>
    </row>
    <row r="962">
      <c r="A962" s="3">
        <f>IFERROR(__xludf.DUMMYFUNCTION("""COMPUTED_VALUE"""),41752.666666666664)</f>
        <v>41752.66667</v>
      </c>
      <c r="B962" s="2">
        <f>IFERROR(__xludf.DUMMYFUNCTION("""COMPUTED_VALUE"""),14.42)</f>
        <v>14.42</v>
      </c>
      <c r="C962" s="2">
        <f>IFERROR(__xludf.DUMMYFUNCTION("""COMPUTED_VALUE"""),14.45)</f>
        <v>14.45</v>
      </c>
      <c r="D962" s="2">
        <f>IFERROR(__xludf.DUMMYFUNCTION("""COMPUTED_VALUE"""),13.8)</f>
        <v>13.8</v>
      </c>
      <c r="E962" s="2">
        <f>IFERROR(__xludf.DUMMYFUNCTION("""COMPUTED_VALUE"""),13.87)</f>
        <v>13.87</v>
      </c>
      <c r="F962" s="2">
        <f>IFERROR(__xludf.DUMMYFUNCTION("""COMPUTED_VALUE"""),7295609.0)</f>
        <v>7295609</v>
      </c>
    </row>
    <row r="963">
      <c r="A963" s="3">
        <f>IFERROR(__xludf.DUMMYFUNCTION("""COMPUTED_VALUE"""),41753.666666666664)</f>
        <v>41753.66667</v>
      </c>
      <c r="B963" s="2">
        <f>IFERROR(__xludf.DUMMYFUNCTION("""COMPUTED_VALUE"""),14.05)</f>
        <v>14.05</v>
      </c>
      <c r="C963" s="2">
        <f>IFERROR(__xludf.DUMMYFUNCTION("""COMPUTED_VALUE"""),14.19)</f>
        <v>14.19</v>
      </c>
      <c r="D963" s="2">
        <f>IFERROR(__xludf.DUMMYFUNCTION("""COMPUTED_VALUE"""),13.55)</f>
        <v>13.55</v>
      </c>
      <c r="E963" s="2">
        <f>IFERROR(__xludf.DUMMYFUNCTION("""COMPUTED_VALUE"""),13.86)</f>
        <v>13.86</v>
      </c>
      <c r="F963" s="2">
        <f>IFERROR(__xludf.DUMMYFUNCTION("""COMPUTED_VALUE"""),5504768.0)</f>
        <v>5504768</v>
      </c>
    </row>
    <row r="964">
      <c r="A964" s="3">
        <f>IFERROR(__xludf.DUMMYFUNCTION("""COMPUTED_VALUE"""),41754.666666666664)</f>
        <v>41754.66667</v>
      </c>
      <c r="B964" s="2">
        <f>IFERROR(__xludf.DUMMYFUNCTION("""COMPUTED_VALUE"""),13.47)</f>
        <v>13.47</v>
      </c>
      <c r="C964" s="2">
        <f>IFERROR(__xludf.DUMMYFUNCTION("""COMPUTED_VALUE"""),13.78)</f>
        <v>13.78</v>
      </c>
      <c r="D964" s="2">
        <f>IFERROR(__xludf.DUMMYFUNCTION("""COMPUTED_VALUE"""),13.18)</f>
        <v>13.18</v>
      </c>
      <c r="E964" s="2">
        <f>IFERROR(__xludf.DUMMYFUNCTION("""COMPUTED_VALUE"""),13.32)</f>
        <v>13.32</v>
      </c>
      <c r="F964" s="2">
        <f>IFERROR(__xludf.DUMMYFUNCTION("""COMPUTED_VALUE"""),6996658.0)</f>
        <v>6996658</v>
      </c>
    </row>
    <row r="965">
      <c r="A965" s="3">
        <f>IFERROR(__xludf.DUMMYFUNCTION("""COMPUTED_VALUE"""),41757.666666666664)</f>
        <v>41757.66667</v>
      </c>
      <c r="B965" s="2">
        <f>IFERROR(__xludf.DUMMYFUNCTION("""COMPUTED_VALUE"""),13.33)</f>
        <v>13.33</v>
      </c>
      <c r="C965" s="2">
        <f>IFERROR(__xludf.DUMMYFUNCTION("""COMPUTED_VALUE"""),13.59)</f>
        <v>13.59</v>
      </c>
      <c r="D965" s="2">
        <f>IFERROR(__xludf.DUMMYFUNCTION("""COMPUTED_VALUE"""),12.7)</f>
        <v>12.7</v>
      </c>
      <c r="E965" s="2">
        <f>IFERROR(__xludf.DUMMYFUNCTION("""COMPUTED_VALUE"""),13.23)</f>
        <v>13.23</v>
      </c>
      <c r="F965" s="2">
        <f>IFERROR(__xludf.DUMMYFUNCTION("""COMPUTED_VALUE"""),7041983.0)</f>
        <v>7041983</v>
      </c>
    </row>
    <row r="966">
      <c r="A966" s="3">
        <f>IFERROR(__xludf.DUMMYFUNCTION("""COMPUTED_VALUE"""),41758.666666666664)</f>
        <v>41758.66667</v>
      </c>
      <c r="B966" s="2">
        <f>IFERROR(__xludf.DUMMYFUNCTION("""COMPUTED_VALUE"""),13.21)</f>
        <v>13.21</v>
      </c>
      <c r="C966" s="2">
        <f>IFERROR(__xludf.DUMMYFUNCTION("""COMPUTED_VALUE"""),13.81)</f>
        <v>13.81</v>
      </c>
      <c r="D966" s="2">
        <f>IFERROR(__xludf.DUMMYFUNCTION("""COMPUTED_VALUE"""),13.04)</f>
        <v>13.04</v>
      </c>
      <c r="E966" s="2">
        <f>IFERROR(__xludf.DUMMYFUNCTION("""COMPUTED_VALUE"""),13.79)</f>
        <v>13.79</v>
      </c>
      <c r="F966" s="2">
        <f>IFERROR(__xludf.DUMMYFUNCTION("""COMPUTED_VALUE"""),5787369.0)</f>
        <v>5787369</v>
      </c>
    </row>
    <row r="967">
      <c r="A967" s="3">
        <f>IFERROR(__xludf.DUMMYFUNCTION("""COMPUTED_VALUE"""),41759.666666666664)</f>
        <v>41759.66667</v>
      </c>
      <c r="B967" s="2">
        <f>IFERROR(__xludf.DUMMYFUNCTION("""COMPUTED_VALUE"""),13.57)</f>
        <v>13.57</v>
      </c>
      <c r="C967" s="2">
        <f>IFERROR(__xludf.DUMMYFUNCTION("""COMPUTED_VALUE"""),13.88)</f>
        <v>13.88</v>
      </c>
      <c r="D967" s="2">
        <f>IFERROR(__xludf.DUMMYFUNCTION("""COMPUTED_VALUE"""),13.42)</f>
        <v>13.42</v>
      </c>
      <c r="E967" s="2">
        <f>IFERROR(__xludf.DUMMYFUNCTION("""COMPUTED_VALUE"""),13.86)</f>
        <v>13.86</v>
      </c>
      <c r="F967" s="2">
        <f>IFERROR(__xludf.DUMMYFUNCTION("""COMPUTED_VALUE"""),4443453.0)</f>
        <v>4443453</v>
      </c>
    </row>
    <row r="968">
      <c r="A968" s="3">
        <f>IFERROR(__xludf.DUMMYFUNCTION("""COMPUTED_VALUE"""),41760.666666666664)</f>
        <v>41760.66667</v>
      </c>
      <c r="B968" s="2">
        <f>IFERROR(__xludf.DUMMYFUNCTION("""COMPUTED_VALUE"""),13.81)</f>
        <v>13.81</v>
      </c>
      <c r="C968" s="2">
        <f>IFERROR(__xludf.DUMMYFUNCTION("""COMPUTED_VALUE"""),14.27)</f>
        <v>14.27</v>
      </c>
      <c r="D968" s="2">
        <f>IFERROR(__xludf.DUMMYFUNCTION("""COMPUTED_VALUE"""),13.71)</f>
        <v>13.71</v>
      </c>
      <c r="E968" s="2">
        <f>IFERROR(__xludf.DUMMYFUNCTION("""COMPUTED_VALUE"""),13.85)</f>
        <v>13.85</v>
      </c>
      <c r="F968" s="2">
        <f>IFERROR(__xludf.DUMMYFUNCTION("""COMPUTED_VALUE"""),5444670.0)</f>
        <v>5444670</v>
      </c>
    </row>
    <row r="969">
      <c r="A969" s="3">
        <f>IFERROR(__xludf.DUMMYFUNCTION("""COMPUTED_VALUE"""),41761.666666666664)</f>
        <v>41761.66667</v>
      </c>
      <c r="B969" s="2">
        <f>IFERROR(__xludf.DUMMYFUNCTION("""COMPUTED_VALUE"""),13.91)</f>
        <v>13.91</v>
      </c>
      <c r="C969" s="2">
        <f>IFERROR(__xludf.DUMMYFUNCTION("""COMPUTED_VALUE"""),14.09)</f>
        <v>14.09</v>
      </c>
      <c r="D969" s="2">
        <f>IFERROR(__xludf.DUMMYFUNCTION("""COMPUTED_VALUE"""),13.77)</f>
        <v>13.77</v>
      </c>
      <c r="E969" s="2">
        <f>IFERROR(__xludf.DUMMYFUNCTION("""COMPUTED_VALUE"""),14.06)</f>
        <v>14.06</v>
      </c>
      <c r="F969" s="2">
        <f>IFERROR(__xludf.DUMMYFUNCTION("""COMPUTED_VALUE"""),4091394.0)</f>
        <v>4091394</v>
      </c>
    </row>
    <row r="970">
      <c r="A970" s="3">
        <f>IFERROR(__xludf.DUMMYFUNCTION("""COMPUTED_VALUE"""),41764.666666666664)</f>
        <v>41764.66667</v>
      </c>
      <c r="B970" s="2">
        <f>IFERROR(__xludf.DUMMYFUNCTION("""COMPUTED_VALUE"""),13.96)</f>
        <v>13.96</v>
      </c>
      <c r="C970" s="2">
        <f>IFERROR(__xludf.DUMMYFUNCTION("""COMPUTED_VALUE"""),14.51)</f>
        <v>14.51</v>
      </c>
      <c r="D970" s="2">
        <f>IFERROR(__xludf.DUMMYFUNCTION("""COMPUTED_VALUE"""),13.9)</f>
        <v>13.9</v>
      </c>
      <c r="E970" s="2">
        <f>IFERROR(__xludf.DUMMYFUNCTION("""COMPUTED_VALUE"""),14.44)</f>
        <v>14.44</v>
      </c>
      <c r="F970" s="2">
        <f>IFERROR(__xludf.DUMMYFUNCTION("""COMPUTED_VALUE"""),5152343.0)</f>
        <v>5152343</v>
      </c>
    </row>
    <row r="971">
      <c r="A971" s="3">
        <f>IFERROR(__xludf.DUMMYFUNCTION("""COMPUTED_VALUE"""),41765.666666666664)</f>
        <v>41765.66667</v>
      </c>
      <c r="B971" s="2">
        <f>IFERROR(__xludf.DUMMYFUNCTION("""COMPUTED_VALUE"""),14.44)</f>
        <v>14.44</v>
      </c>
      <c r="C971" s="2">
        <f>IFERROR(__xludf.DUMMYFUNCTION("""COMPUTED_VALUE"""),14.58)</f>
        <v>14.58</v>
      </c>
      <c r="D971" s="2">
        <f>IFERROR(__xludf.DUMMYFUNCTION("""COMPUTED_VALUE"""),13.79)</f>
        <v>13.79</v>
      </c>
      <c r="E971" s="2">
        <f>IFERROR(__xludf.DUMMYFUNCTION("""COMPUTED_VALUE"""),13.82)</f>
        <v>13.82</v>
      </c>
      <c r="F971" s="2">
        <f>IFERROR(__xludf.DUMMYFUNCTION("""COMPUTED_VALUE"""),5636725.0)</f>
        <v>5636725</v>
      </c>
    </row>
    <row r="972">
      <c r="A972" s="3">
        <f>IFERROR(__xludf.DUMMYFUNCTION("""COMPUTED_VALUE"""),41766.666666666664)</f>
        <v>41766.66667</v>
      </c>
      <c r="B972" s="2">
        <f>IFERROR(__xludf.DUMMYFUNCTION("""COMPUTED_VALUE"""),13.98)</f>
        <v>13.98</v>
      </c>
      <c r="C972" s="2">
        <f>IFERROR(__xludf.DUMMYFUNCTION("""COMPUTED_VALUE"""),14.01)</f>
        <v>14.01</v>
      </c>
      <c r="D972" s="2">
        <f>IFERROR(__xludf.DUMMYFUNCTION("""COMPUTED_VALUE"""),13.15)</f>
        <v>13.15</v>
      </c>
      <c r="E972" s="2">
        <f>IFERROR(__xludf.DUMMYFUNCTION("""COMPUTED_VALUE"""),13.42)</f>
        <v>13.42</v>
      </c>
      <c r="F972" s="2">
        <f>IFERROR(__xludf.DUMMYFUNCTION("""COMPUTED_VALUE"""),1.0179291E7)</f>
        <v>10179291</v>
      </c>
    </row>
    <row r="973">
      <c r="A973" s="3">
        <f>IFERROR(__xludf.DUMMYFUNCTION("""COMPUTED_VALUE"""),41767.666666666664)</f>
        <v>41767.66667</v>
      </c>
      <c r="B973" s="2">
        <f>IFERROR(__xludf.DUMMYFUNCTION("""COMPUTED_VALUE"""),12.15)</f>
        <v>12.15</v>
      </c>
      <c r="C973" s="2">
        <f>IFERROR(__xludf.DUMMYFUNCTION("""COMPUTED_VALUE"""),12.96)</f>
        <v>12.96</v>
      </c>
      <c r="D973" s="2">
        <f>IFERROR(__xludf.DUMMYFUNCTION("""COMPUTED_VALUE"""),11.87)</f>
        <v>11.87</v>
      </c>
      <c r="E973" s="2">
        <f>IFERROR(__xludf.DUMMYFUNCTION("""COMPUTED_VALUE"""),11.91)</f>
        <v>11.91</v>
      </c>
      <c r="F973" s="2">
        <f>IFERROR(__xludf.DUMMYFUNCTION("""COMPUTED_VALUE"""),2.0056591E7)</f>
        <v>20056591</v>
      </c>
    </row>
    <row r="974">
      <c r="A974" s="3">
        <f>IFERROR(__xludf.DUMMYFUNCTION("""COMPUTED_VALUE"""),41768.666666666664)</f>
        <v>41768.66667</v>
      </c>
      <c r="B974" s="2">
        <f>IFERROR(__xludf.DUMMYFUNCTION("""COMPUTED_VALUE"""),12.0)</f>
        <v>12</v>
      </c>
      <c r="C974" s="2">
        <f>IFERROR(__xludf.DUMMYFUNCTION("""COMPUTED_VALUE"""),12.23)</f>
        <v>12.23</v>
      </c>
      <c r="D974" s="2">
        <f>IFERROR(__xludf.DUMMYFUNCTION("""COMPUTED_VALUE"""),11.81)</f>
        <v>11.81</v>
      </c>
      <c r="E974" s="2">
        <f>IFERROR(__xludf.DUMMYFUNCTION("""COMPUTED_VALUE"""),12.15)</f>
        <v>12.15</v>
      </c>
      <c r="F974" s="2">
        <f>IFERROR(__xludf.DUMMYFUNCTION("""COMPUTED_VALUE"""),8495159.0)</f>
        <v>8495159</v>
      </c>
    </row>
    <row r="975">
      <c r="A975" s="3">
        <f>IFERROR(__xludf.DUMMYFUNCTION("""COMPUTED_VALUE"""),41771.666666666664)</f>
        <v>41771.66667</v>
      </c>
      <c r="B975" s="2">
        <f>IFERROR(__xludf.DUMMYFUNCTION("""COMPUTED_VALUE"""),12.26)</f>
        <v>12.26</v>
      </c>
      <c r="C975" s="2">
        <f>IFERROR(__xludf.DUMMYFUNCTION("""COMPUTED_VALUE"""),12.48)</f>
        <v>12.48</v>
      </c>
      <c r="D975" s="2">
        <f>IFERROR(__xludf.DUMMYFUNCTION("""COMPUTED_VALUE"""),11.99)</f>
        <v>11.99</v>
      </c>
      <c r="E975" s="2">
        <f>IFERROR(__xludf.DUMMYFUNCTION("""COMPUTED_VALUE"""),12.31)</f>
        <v>12.31</v>
      </c>
      <c r="F975" s="2">
        <f>IFERROR(__xludf.DUMMYFUNCTION("""COMPUTED_VALUE"""),7004330.0)</f>
        <v>7004330</v>
      </c>
    </row>
    <row r="976">
      <c r="A976" s="3">
        <f>IFERROR(__xludf.DUMMYFUNCTION("""COMPUTED_VALUE"""),41772.666666666664)</f>
        <v>41772.66667</v>
      </c>
      <c r="B976" s="2">
        <f>IFERROR(__xludf.DUMMYFUNCTION("""COMPUTED_VALUE"""),12.26)</f>
        <v>12.26</v>
      </c>
      <c r="C976" s="2">
        <f>IFERROR(__xludf.DUMMYFUNCTION("""COMPUTED_VALUE"""),12.76)</f>
        <v>12.76</v>
      </c>
      <c r="D976" s="2">
        <f>IFERROR(__xludf.DUMMYFUNCTION("""COMPUTED_VALUE"""),12.2)</f>
        <v>12.2</v>
      </c>
      <c r="E976" s="2">
        <f>IFERROR(__xludf.DUMMYFUNCTION("""COMPUTED_VALUE"""),12.68)</f>
        <v>12.68</v>
      </c>
      <c r="F976" s="2">
        <f>IFERROR(__xludf.DUMMYFUNCTION("""COMPUTED_VALUE"""),7097242.0)</f>
        <v>7097242</v>
      </c>
    </row>
    <row r="977">
      <c r="A977" s="3">
        <f>IFERROR(__xludf.DUMMYFUNCTION("""COMPUTED_VALUE"""),41773.666666666664)</f>
        <v>41773.66667</v>
      </c>
      <c r="B977" s="2">
        <f>IFERROR(__xludf.DUMMYFUNCTION("""COMPUTED_VALUE"""),12.6)</f>
        <v>12.6</v>
      </c>
      <c r="C977" s="2">
        <f>IFERROR(__xludf.DUMMYFUNCTION("""COMPUTED_VALUE"""),12.9)</f>
        <v>12.9</v>
      </c>
      <c r="D977" s="2">
        <f>IFERROR(__xludf.DUMMYFUNCTION("""COMPUTED_VALUE"""),12.47)</f>
        <v>12.47</v>
      </c>
      <c r="E977" s="2">
        <f>IFERROR(__xludf.DUMMYFUNCTION("""COMPUTED_VALUE"""),12.71)</f>
        <v>12.71</v>
      </c>
      <c r="F977" s="2">
        <f>IFERROR(__xludf.DUMMYFUNCTION("""COMPUTED_VALUE"""),5414945.0)</f>
        <v>5414945</v>
      </c>
    </row>
    <row r="978">
      <c r="A978" s="3">
        <f>IFERROR(__xludf.DUMMYFUNCTION("""COMPUTED_VALUE"""),41774.666666666664)</f>
        <v>41774.66667</v>
      </c>
      <c r="B978" s="2">
        <f>IFERROR(__xludf.DUMMYFUNCTION("""COMPUTED_VALUE"""),12.67)</f>
        <v>12.67</v>
      </c>
      <c r="C978" s="2">
        <f>IFERROR(__xludf.DUMMYFUNCTION("""COMPUTED_VALUE"""),12.84)</f>
        <v>12.84</v>
      </c>
      <c r="D978" s="2">
        <f>IFERROR(__xludf.DUMMYFUNCTION("""COMPUTED_VALUE"""),12.35)</f>
        <v>12.35</v>
      </c>
      <c r="E978" s="2">
        <f>IFERROR(__xludf.DUMMYFUNCTION("""COMPUTED_VALUE"""),12.57)</f>
        <v>12.57</v>
      </c>
      <c r="F978" s="2">
        <f>IFERROR(__xludf.DUMMYFUNCTION("""COMPUTED_VALUE"""),6046139.0)</f>
        <v>6046139</v>
      </c>
    </row>
    <row r="979">
      <c r="A979" s="3">
        <f>IFERROR(__xludf.DUMMYFUNCTION("""COMPUTED_VALUE"""),41775.666666666664)</f>
        <v>41775.66667</v>
      </c>
      <c r="B979" s="2">
        <f>IFERROR(__xludf.DUMMYFUNCTION("""COMPUTED_VALUE"""),12.6)</f>
        <v>12.6</v>
      </c>
      <c r="C979" s="2">
        <f>IFERROR(__xludf.DUMMYFUNCTION("""COMPUTED_VALUE"""),12.8)</f>
        <v>12.8</v>
      </c>
      <c r="D979" s="2">
        <f>IFERROR(__xludf.DUMMYFUNCTION("""COMPUTED_VALUE"""),12.51)</f>
        <v>12.51</v>
      </c>
      <c r="E979" s="2">
        <f>IFERROR(__xludf.DUMMYFUNCTION("""COMPUTED_VALUE"""),12.77)</f>
        <v>12.77</v>
      </c>
      <c r="F979" s="2">
        <f>IFERROR(__xludf.DUMMYFUNCTION("""COMPUTED_VALUE"""),4489312.0)</f>
        <v>4489312</v>
      </c>
    </row>
    <row r="980">
      <c r="A980" s="3">
        <f>IFERROR(__xludf.DUMMYFUNCTION("""COMPUTED_VALUE"""),41778.666666666664)</f>
        <v>41778.66667</v>
      </c>
      <c r="B980" s="2">
        <f>IFERROR(__xludf.DUMMYFUNCTION("""COMPUTED_VALUE"""),12.71)</f>
        <v>12.71</v>
      </c>
      <c r="C980" s="2">
        <f>IFERROR(__xludf.DUMMYFUNCTION("""COMPUTED_VALUE"""),13.13)</f>
        <v>13.13</v>
      </c>
      <c r="D980" s="2">
        <f>IFERROR(__xludf.DUMMYFUNCTION("""COMPUTED_VALUE"""),12.67)</f>
        <v>12.67</v>
      </c>
      <c r="E980" s="2">
        <f>IFERROR(__xludf.DUMMYFUNCTION("""COMPUTED_VALUE"""),13.07)</f>
        <v>13.07</v>
      </c>
      <c r="F980" s="2">
        <f>IFERROR(__xludf.DUMMYFUNCTION("""COMPUTED_VALUE"""),4571660.0)</f>
        <v>4571660</v>
      </c>
    </row>
    <row r="981">
      <c r="A981" s="3">
        <f>IFERROR(__xludf.DUMMYFUNCTION("""COMPUTED_VALUE"""),41779.666666666664)</f>
        <v>41779.66667</v>
      </c>
      <c r="B981" s="2">
        <f>IFERROR(__xludf.DUMMYFUNCTION("""COMPUTED_VALUE"""),13.13)</f>
        <v>13.13</v>
      </c>
      <c r="C981" s="2">
        <f>IFERROR(__xludf.DUMMYFUNCTION("""COMPUTED_VALUE"""),13.29)</f>
        <v>13.29</v>
      </c>
      <c r="D981" s="2">
        <f>IFERROR(__xludf.DUMMYFUNCTION("""COMPUTED_VALUE"""),12.87)</f>
        <v>12.87</v>
      </c>
      <c r="E981" s="2">
        <f>IFERROR(__xludf.DUMMYFUNCTION("""COMPUTED_VALUE"""),13.02)</f>
        <v>13.02</v>
      </c>
      <c r="F981" s="2">
        <f>IFERROR(__xludf.DUMMYFUNCTION("""COMPUTED_VALUE"""),5553877.0)</f>
        <v>5553877</v>
      </c>
    </row>
    <row r="982">
      <c r="A982" s="3">
        <f>IFERROR(__xludf.DUMMYFUNCTION("""COMPUTED_VALUE"""),41780.666666666664)</f>
        <v>41780.66667</v>
      </c>
      <c r="B982" s="2">
        <f>IFERROR(__xludf.DUMMYFUNCTION("""COMPUTED_VALUE"""),13.07)</f>
        <v>13.07</v>
      </c>
      <c r="C982" s="2">
        <f>IFERROR(__xludf.DUMMYFUNCTION("""COMPUTED_VALUE"""),13.32)</f>
        <v>13.32</v>
      </c>
      <c r="D982" s="2">
        <f>IFERROR(__xludf.DUMMYFUNCTION("""COMPUTED_VALUE"""),12.99)</f>
        <v>12.99</v>
      </c>
      <c r="E982" s="2">
        <f>IFERROR(__xludf.DUMMYFUNCTION("""COMPUTED_VALUE"""),13.3)</f>
        <v>13.3</v>
      </c>
      <c r="F982" s="2">
        <f>IFERROR(__xludf.DUMMYFUNCTION("""COMPUTED_VALUE"""),5290755.0)</f>
        <v>5290755</v>
      </c>
    </row>
    <row r="983">
      <c r="A983" s="3">
        <f>IFERROR(__xludf.DUMMYFUNCTION("""COMPUTED_VALUE"""),41781.666666666664)</f>
        <v>41781.66667</v>
      </c>
      <c r="B983" s="2">
        <f>IFERROR(__xludf.DUMMYFUNCTION("""COMPUTED_VALUE"""),13.33)</f>
        <v>13.33</v>
      </c>
      <c r="C983" s="2">
        <f>IFERROR(__xludf.DUMMYFUNCTION("""COMPUTED_VALUE"""),13.79)</f>
        <v>13.79</v>
      </c>
      <c r="D983" s="2">
        <f>IFERROR(__xludf.DUMMYFUNCTION("""COMPUTED_VALUE"""),13.3)</f>
        <v>13.3</v>
      </c>
      <c r="E983" s="2">
        <f>IFERROR(__xludf.DUMMYFUNCTION("""COMPUTED_VALUE"""),13.66)</f>
        <v>13.66</v>
      </c>
      <c r="F983" s="2">
        <f>IFERROR(__xludf.DUMMYFUNCTION("""COMPUTED_VALUE"""),6216255.0)</f>
        <v>6216255</v>
      </c>
    </row>
    <row r="984">
      <c r="A984" s="3">
        <f>IFERROR(__xludf.DUMMYFUNCTION("""COMPUTED_VALUE"""),41782.666666666664)</f>
        <v>41782.66667</v>
      </c>
      <c r="B984" s="2">
        <f>IFERROR(__xludf.DUMMYFUNCTION("""COMPUTED_VALUE"""),13.64)</f>
        <v>13.64</v>
      </c>
      <c r="C984" s="2">
        <f>IFERROR(__xludf.DUMMYFUNCTION("""COMPUTED_VALUE"""),13.85)</f>
        <v>13.85</v>
      </c>
      <c r="D984" s="2">
        <f>IFERROR(__xludf.DUMMYFUNCTION("""COMPUTED_VALUE"""),13.5)</f>
        <v>13.5</v>
      </c>
      <c r="E984" s="2">
        <f>IFERROR(__xludf.DUMMYFUNCTION("""COMPUTED_VALUE"""),13.82)</f>
        <v>13.82</v>
      </c>
      <c r="F984" s="2">
        <f>IFERROR(__xludf.DUMMYFUNCTION("""COMPUTED_VALUE"""),4010931.0)</f>
        <v>4010931</v>
      </c>
    </row>
    <row r="985">
      <c r="A985" s="3">
        <f>IFERROR(__xludf.DUMMYFUNCTION("""COMPUTED_VALUE"""),41786.666666666664)</f>
        <v>41786.66667</v>
      </c>
      <c r="B985" s="2">
        <f>IFERROR(__xludf.DUMMYFUNCTION("""COMPUTED_VALUE"""),13.9)</f>
        <v>13.9</v>
      </c>
      <c r="C985" s="2">
        <f>IFERROR(__xludf.DUMMYFUNCTION("""COMPUTED_VALUE"""),14.26)</f>
        <v>14.26</v>
      </c>
      <c r="D985" s="2">
        <f>IFERROR(__xludf.DUMMYFUNCTION("""COMPUTED_VALUE"""),13.85)</f>
        <v>13.85</v>
      </c>
      <c r="E985" s="2">
        <f>IFERROR(__xludf.DUMMYFUNCTION("""COMPUTED_VALUE"""),14.1)</f>
        <v>14.1</v>
      </c>
      <c r="F985" s="2">
        <f>IFERROR(__xludf.DUMMYFUNCTION("""COMPUTED_VALUE"""),5346788.0)</f>
        <v>5346788</v>
      </c>
    </row>
    <row r="986">
      <c r="A986" s="3">
        <f>IFERROR(__xludf.DUMMYFUNCTION("""COMPUTED_VALUE"""),41787.666666666664)</f>
        <v>41787.66667</v>
      </c>
      <c r="B986" s="2">
        <f>IFERROR(__xludf.DUMMYFUNCTION("""COMPUTED_VALUE"""),14.0)</f>
        <v>14</v>
      </c>
      <c r="C986" s="2">
        <f>IFERROR(__xludf.DUMMYFUNCTION("""COMPUTED_VALUE"""),14.18)</f>
        <v>14.18</v>
      </c>
      <c r="D986" s="2">
        <f>IFERROR(__xludf.DUMMYFUNCTION("""COMPUTED_VALUE"""),13.68)</f>
        <v>13.68</v>
      </c>
      <c r="E986" s="2">
        <f>IFERROR(__xludf.DUMMYFUNCTION("""COMPUTED_VALUE"""),14.02)</f>
        <v>14.02</v>
      </c>
      <c r="F986" s="2">
        <f>IFERROR(__xludf.DUMMYFUNCTION("""COMPUTED_VALUE"""),5496278.0)</f>
        <v>5496278</v>
      </c>
    </row>
    <row r="987">
      <c r="A987" s="3">
        <f>IFERROR(__xludf.DUMMYFUNCTION("""COMPUTED_VALUE"""),41788.666666666664)</f>
        <v>41788.66667</v>
      </c>
      <c r="B987" s="2">
        <f>IFERROR(__xludf.DUMMYFUNCTION("""COMPUTED_VALUE"""),14.04)</f>
        <v>14.04</v>
      </c>
      <c r="C987" s="2">
        <f>IFERROR(__xludf.DUMMYFUNCTION("""COMPUTED_VALUE"""),14.17)</f>
        <v>14.17</v>
      </c>
      <c r="D987" s="2">
        <f>IFERROR(__xludf.DUMMYFUNCTION("""COMPUTED_VALUE"""),13.85)</f>
        <v>13.85</v>
      </c>
      <c r="E987" s="2">
        <f>IFERROR(__xludf.DUMMYFUNCTION("""COMPUTED_VALUE"""),14.02)</f>
        <v>14.02</v>
      </c>
      <c r="F987" s="2">
        <f>IFERROR(__xludf.DUMMYFUNCTION("""COMPUTED_VALUE"""),3694596.0)</f>
        <v>3694596</v>
      </c>
    </row>
    <row r="988">
      <c r="A988" s="3">
        <f>IFERROR(__xludf.DUMMYFUNCTION("""COMPUTED_VALUE"""),41789.666666666664)</f>
        <v>41789.66667</v>
      </c>
      <c r="B988" s="2">
        <f>IFERROR(__xludf.DUMMYFUNCTION("""COMPUTED_VALUE"""),14.04)</f>
        <v>14.04</v>
      </c>
      <c r="C988" s="2">
        <f>IFERROR(__xludf.DUMMYFUNCTION("""COMPUTED_VALUE"""),14.32)</f>
        <v>14.32</v>
      </c>
      <c r="D988" s="2">
        <f>IFERROR(__xludf.DUMMYFUNCTION("""COMPUTED_VALUE"""),13.8)</f>
        <v>13.8</v>
      </c>
      <c r="E988" s="2">
        <f>IFERROR(__xludf.DUMMYFUNCTION("""COMPUTED_VALUE"""),13.85)</f>
        <v>13.85</v>
      </c>
      <c r="F988" s="2">
        <f>IFERROR(__xludf.DUMMYFUNCTION("""COMPUTED_VALUE"""),5586068.0)</f>
        <v>5586068</v>
      </c>
    </row>
    <row r="989">
      <c r="A989" s="3">
        <f>IFERROR(__xludf.DUMMYFUNCTION("""COMPUTED_VALUE"""),41792.666666666664)</f>
        <v>41792.66667</v>
      </c>
      <c r="B989" s="2">
        <f>IFERROR(__xludf.DUMMYFUNCTION("""COMPUTED_VALUE"""),13.82)</f>
        <v>13.82</v>
      </c>
      <c r="C989" s="2">
        <f>IFERROR(__xludf.DUMMYFUNCTION("""COMPUTED_VALUE"""),13.96)</f>
        <v>13.96</v>
      </c>
      <c r="D989" s="2">
        <f>IFERROR(__xludf.DUMMYFUNCTION("""COMPUTED_VALUE"""),13.44)</f>
        <v>13.44</v>
      </c>
      <c r="E989" s="2">
        <f>IFERROR(__xludf.DUMMYFUNCTION("""COMPUTED_VALUE"""),13.65)</f>
        <v>13.65</v>
      </c>
      <c r="F989" s="2">
        <f>IFERROR(__xludf.DUMMYFUNCTION("""COMPUTED_VALUE"""),4668115.0)</f>
        <v>4668115</v>
      </c>
    </row>
    <row r="990">
      <c r="A990" s="3">
        <f>IFERROR(__xludf.DUMMYFUNCTION("""COMPUTED_VALUE"""),41793.666666666664)</f>
        <v>41793.66667</v>
      </c>
      <c r="B990" s="2">
        <f>IFERROR(__xludf.DUMMYFUNCTION("""COMPUTED_VALUE"""),13.57)</f>
        <v>13.57</v>
      </c>
      <c r="C990" s="2">
        <f>IFERROR(__xludf.DUMMYFUNCTION("""COMPUTED_VALUE"""),13.87)</f>
        <v>13.87</v>
      </c>
      <c r="D990" s="2">
        <f>IFERROR(__xludf.DUMMYFUNCTION("""COMPUTED_VALUE"""),13.51)</f>
        <v>13.51</v>
      </c>
      <c r="E990" s="2">
        <f>IFERROR(__xludf.DUMMYFUNCTION("""COMPUTED_VALUE"""),13.66)</f>
        <v>13.66</v>
      </c>
      <c r="F990" s="2">
        <f>IFERROR(__xludf.DUMMYFUNCTION("""COMPUTED_VALUE"""),3866182.0)</f>
        <v>3866182</v>
      </c>
    </row>
    <row r="991">
      <c r="A991" s="3">
        <f>IFERROR(__xludf.DUMMYFUNCTION("""COMPUTED_VALUE"""),41794.666666666664)</f>
        <v>41794.66667</v>
      </c>
      <c r="B991" s="2">
        <f>IFERROR(__xludf.DUMMYFUNCTION("""COMPUTED_VALUE"""),13.62)</f>
        <v>13.62</v>
      </c>
      <c r="C991" s="2">
        <f>IFERROR(__xludf.DUMMYFUNCTION("""COMPUTED_VALUE"""),13.75)</f>
        <v>13.75</v>
      </c>
      <c r="D991" s="2">
        <f>IFERROR(__xludf.DUMMYFUNCTION("""COMPUTED_VALUE"""),13.36)</f>
        <v>13.36</v>
      </c>
      <c r="E991" s="2">
        <f>IFERROR(__xludf.DUMMYFUNCTION("""COMPUTED_VALUE"""),13.6)</f>
        <v>13.6</v>
      </c>
      <c r="F991" s="2">
        <f>IFERROR(__xludf.DUMMYFUNCTION("""COMPUTED_VALUE"""),3434502.0)</f>
        <v>3434502</v>
      </c>
    </row>
    <row r="992">
      <c r="A992" s="3">
        <f>IFERROR(__xludf.DUMMYFUNCTION("""COMPUTED_VALUE"""),41795.666666666664)</f>
        <v>41795.66667</v>
      </c>
      <c r="B992" s="2">
        <f>IFERROR(__xludf.DUMMYFUNCTION("""COMPUTED_VALUE"""),13.63)</f>
        <v>13.63</v>
      </c>
      <c r="C992" s="2">
        <f>IFERROR(__xludf.DUMMYFUNCTION("""COMPUTED_VALUE"""),13.95)</f>
        <v>13.95</v>
      </c>
      <c r="D992" s="2">
        <f>IFERROR(__xludf.DUMMYFUNCTION("""COMPUTED_VALUE"""),13.6)</f>
        <v>13.6</v>
      </c>
      <c r="E992" s="2">
        <f>IFERROR(__xludf.DUMMYFUNCTION("""COMPUTED_VALUE"""),13.79)</f>
        <v>13.79</v>
      </c>
      <c r="F992" s="2">
        <f>IFERROR(__xludf.DUMMYFUNCTION("""COMPUTED_VALUE"""),4059285.0)</f>
        <v>4059285</v>
      </c>
    </row>
    <row r="993">
      <c r="A993" s="3">
        <f>IFERROR(__xludf.DUMMYFUNCTION("""COMPUTED_VALUE"""),41796.666666666664)</f>
        <v>41796.66667</v>
      </c>
      <c r="B993" s="2">
        <f>IFERROR(__xludf.DUMMYFUNCTION("""COMPUTED_VALUE"""),13.98)</f>
        <v>13.98</v>
      </c>
      <c r="C993" s="2">
        <f>IFERROR(__xludf.DUMMYFUNCTION("""COMPUTED_VALUE"""),14.05)</f>
        <v>14.05</v>
      </c>
      <c r="D993" s="2">
        <f>IFERROR(__xludf.DUMMYFUNCTION("""COMPUTED_VALUE"""),13.81)</f>
        <v>13.81</v>
      </c>
      <c r="E993" s="2">
        <f>IFERROR(__xludf.DUMMYFUNCTION("""COMPUTED_VALUE"""),13.88)</f>
        <v>13.88</v>
      </c>
      <c r="F993" s="2">
        <f>IFERROR(__xludf.DUMMYFUNCTION("""COMPUTED_VALUE"""),3074900.0)</f>
        <v>3074900</v>
      </c>
    </row>
    <row r="994">
      <c r="A994" s="3">
        <f>IFERROR(__xludf.DUMMYFUNCTION("""COMPUTED_VALUE"""),41799.666666666664)</f>
        <v>41799.66667</v>
      </c>
      <c r="B994" s="2">
        <f>IFERROR(__xludf.DUMMYFUNCTION("""COMPUTED_VALUE"""),13.86)</f>
        <v>13.86</v>
      </c>
      <c r="C994" s="2">
        <f>IFERROR(__xludf.DUMMYFUNCTION("""COMPUTED_VALUE"""),14.0)</f>
        <v>14</v>
      </c>
      <c r="D994" s="2">
        <f>IFERROR(__xludf.DUMMYFUNCTION("""COMPUTED_VALUE"""),13.61)</f>
        <v>13.61</v>
      </c>
      <c r="E994" s="2">
        <f>IFERROR(__xludf.DUMMYFUNCTION("""COMPUTED_VALUE"""),13.69)</f>
        <v>13.69</v>
      </c>
      <c r="F994" s="2">
        <f>IFERROR(__xludf.DUMMYFUNCTION("""COMPUTED_VALUE"""),2813066.0)</f>
        <v>2813066</v>
      </c>
    </row>
    <row r="995">
      <c r="A995" s="3">
        <f>IFERROR(__xludf.DUMMYFUNCTION("""COMPUTED_VALUE"""),41800.666666666664)</f>
        <v>41800.66667</v>
      </c>
      <c r="B995" s="2">
        <f>IFERROR(__xludf.DUMMYFUNCTION("""COMPUTED_VALUE"""),13.63)</f>
        <v>13.63</v>
      </c>
      <c r="C995" s="2">
        <f>IFERROR(__xludf.DUMMYFUNCTION("""COMPUTED_VALUE"""),13.8)</f>
        <v>13.8</v>
      </c>
      <c r="D995" s="2">
        <f>IFERROR(__xludf.DUMMYFUNCTION("""COMPUTED_VALUE"""),13.44)</f>
        <v>13.44</v>
      </c>
      <c r="E995" s="2">
        <f>IFERROR(__xludf.DUMMYFUNCTION("""COMPUTED_VALUE"""),13.49)</f>
        <v>13.49</v>
      </c>
      <c r="F995" s="2">
        <f>IFERROR(__xludf.DUMMYFUNCTION("""COMPUTED_VALUE"""),3522336.0)</f>
        <v>3522336</v>
      </c>
    </row>
    <row r="996">
      <c r="A996" s="3">
        <f>IFERROR(__xludf.DUMMYFUNCTION("""COMPUTED_VALUE"""),41801.666666666664)</f>
        <v>41801.66667</v>
      </c>
      <c r="B996" s="2">
        <f>IFERROR(__xludf.DUMMYFUNCTION("""COMPUTED_VALUE"""),13.43)</f>
        <v>13.43</v>
      </c>
      <c r="C996" s="2">
        <f>IFERROR(__xludf.DUMMYFUNCTION("""COMPUTED_VALUE"""),13.67)</f>
        <v>13.67</v>
      </c>
      <c r="D996" s="2">
        <f>IFERROR(__xludf.DUMMYFUNCTION("""COMPUTED_VALUE"""),13.28)</f>
        <v>13.28</v>
      </c>
      <c r="E996" s="2">
        <f>IFERROR(__xludf.DUMMYFUNCTION("""COMPUTED_VALUE"""),13.63)</f>
        <v>13.63</v>
      </c>
      <c r="F996" s="2">
        <f>IFERROR(__xludf.DUMMYFUNCTION("""COMPUTED_VALUE"""),3980491.0)</f>
        <v>3980491</v>
      </c>
    </row>
    <row r="997">
      <c r="A997" s="3">
        <f>IFERROR(__xludf.DUMMYFUNCTION("""COMPUTED_VALUE"""),41802.666666666664)</f>
        <v>41802.66667</v>
      </c>
      <c r="B997" s="2">
        <f>IFERROR(__xludf.DUMMYFUNCTION("""COMPUTED_VALUE"""),13.67)</f>
        <v>13.67</v>
      </c>
      <c r="C997" s="2">
        <f>IFERROR(__xludf.DUMMYFUNCTION("""COMPUTED_VALUE"""),13.99)</f>
        <v>13.99</v>
      </c>
      <c r="D997" s="2">
        <f>IFERROR(__xludf.DUMMYFUNCTION("""COMPUTED_VALUE"""),13.51)</f>
        <v>13.51</v>
      </c>
      <c r="E997" s="2">
        <f>IFERROR(__xludf.DUMMYFUNCTION("""COMPUTED_VALUE"""),13.57)</f>
        <v>13.57</v>
      </c>
      <c r="F997" s="2">
        <f>IFERROR(__xludf.DUMMYFUNCTION("""COMPUTED_VALUE"""),5997144.0)</f>
        <v>5997144</v>
      </c>
    </row>
    <row r="998">
      <c r="A998" s="3">
        <f>IFERROR(__xludf.DUMMYFUNCTION("""COMPUTED_VALUE"""),41803.666666666664)</f>
        <v>41803.66667</v>
      </c>
      <c r="B998" s="2">
        <f>IFERROR(__xludf.DUMMYFUNCTION("""COMPUTED_VALUE"""),13.63)</f>
        <v>13.63</v>
      </c>
      <c r="C998" s="2">
        <f>IFERROR(__xludf.DUMMYFUNCTION("""COMPUTED_VALUE"""),13.79)</f>
        <v>13.79</v>
      </c>
      <c r="D998" s="2">
        <f>IFERROR(__xludf.DUMMYFUNCTION("""COMPUTED_VALUE"""),13.44)</f>
        <v>13.44</v>
      </c>
      <c r="E998" s="2">
        <f>IFERROR(__xludf.DUMMYFUNCTION("""COMPUTED_VALUE"""),13.76)</f>
        <v>13.76</v>
      </c>
      <c r="F998" s="2">
        <f>IFERROR(__xludf.DUMMYFUNCTION("""COMPUTED_VALUE"""),3546789.0)</f>
        <v>3546789</v>
      </c>
    </row>
    <row r="999">
      <c r="A999" s="3">
        <f>IFERROR(__xludf.DUMMYFUNCTION("""COMPUTED_VALUE"""),41806.666666666664)</f>
        <v>41806.66667</v>
      </c>
      <c r="B999" s="2">
        <f>IFERROR(__xludf.DUMMYFUNCTION("""COMPUTED_VALUE"""),13.75)</f>
        <v>13.75</v>
      </c>
      <c r="C999" s="2">
        <f>IFERROR(__xludf.DUMMYFUNCTION("""COMPUTED_VALUE"""),15.03)</f>
        <v>15.03</v>
      </c>
      <c r="D999" s="2">
        <f>IFERROR(__xludf.DUMMYFUNCTION("""COMPUTED_VALUE"""),13.75)</f>
        <v>13.75</v>
      </c>
      <c r="E999" s="2">
        <f>IFERROR(__xludf.DUMMYFUNCTION("""COMPUTED_VALUE"""),14.97)</f>
        <v>14.97</v>
      </c>
      <c r="F999" s="2">
        <f>IFERROR(__xludf.DUMMYFUNCTION("""COMPUTED_VALUE"""),1.3246352E7)</f>
        <v>13246352</v>
      </c>
    </row>
    <row r="1000">
      <c r="A1000" s="3">
        <f>IFERROR(__xludf.DUMMYFUNCTION("""COMPUTED_VALUE"""),41807.666666666664)</f>
        <v>41807.66667</v>
      </c>
      <c r="B1000" s="2">
        <f>IFERROR(__xludf.DUMMYFUNCTION("""COMPUTED_VALUE"""),14.93)</f>
        <v>14.93</v>
      </c>
      <c r="C1000" s="2">
        <f>IFERROR(__xludf.DUMMYFUNCTION("""COMPUTED_VALUE"""),15.7)</f>
        <v>15.7</v>
      </c>
      <c r="D1000" s="2">
        <f>IFERROR(__xludf.DUMMYFUNCTION("""COMPUTED_VALUE"""),14.86)</f>
        <v>14.86</v>
      </c>
      <c r="E1000" s="2">
        <f>IFERROR(__xludf.DUMMYFUNCTION("""COMPUTED_VALUE"""),15.44)</f>
        <v>15.44</v>
      </c>
      <c r="F1000" s="2">
        <f>IFERROR(__xludf.DUMMYFUNCTION("""COMPUTED_VALUE"""),1.3304907E7)</f>
        <v>13304907</v>
      </c>
    </row>
    <row r="1001">
      <c r="A1001" s="3">
        <f>IFERROR(__xludf.DUMMYFUNCTION("""COMPUTED_VALUE"""),41808.666666666664)</f>
        <v>41808.66667</v>
      </c>
      <c r="B1001" s="2">
        <f>IFERROR(__xludf.DUMMYFUNCTION("""COMPUTED_VALUE"""),15.43)</f>
        <v>15.43</v>
      </c>
      <c r="C1001" s="2">
        <f>IFERROR(__xludf.DUMMYFUNCTION("""COMPUTED_VALUE"""),15.45)</f>
        <v>15.45</v>
      </c>
      <c r="D1001" s="2">
        <f>IFERROR(__xludf.DUMMYFUNCTION("""COMPUTED_VALUE"""),15.07)</f>
        <v>15.07</v>
      </c>
      <c r="E1001" s="2">
        <f>IFERROR(__xludf.DUMMYFUNCTION("""COMPUTED_VALUE"""),15.14)</f>
        <v>15.14</v>
      </c>
      <c r="F1001" s="2">
        <f>IFERROR(__xludf.DUMMYFUNCTION("""COMPUTED_VALUE"""),6947053.0)</f>
        <v>6947053</v>
      </c>
    </row>
    <row r="1002">
      <c r="A1002" s="3">
        <f>IFERROR(__xludf.DUMMYFUNCTION("""COMPUTED_VALUE"""),41809.666666666664)</f>
        <v>41809.66667</v>
      </c>
      <c r="B1002" s="2">
        <f>IFERROR(__xludf.DUMMYFUNCTION("""COMPUTED_VALUE"""),15.26)</f>
        <v>15.26</v>
      </c>
      <c r="C1002" s="2">
        <f>IFERROR(__xludf.DUMMYFUNCTION("""COMPUTED_VALUE"""),15.69)</f>
        <v>15.69</v>
      </c>
      <c r="D1002" s="2">
        <f>IFERROR(__xludf.DUMMYFUNCTION("""COMPUTED_VALUE"""),15.13)</f>
        <v>15.13</v>
      </c>
      <c r="E1002" s="2">
        <f>IFERROR(__xludf.DUMMYFUNCTION("""COMPUTED_VALUE"""),15.19)</f>
        <v>15.19</v>
      </c>
      <c r="F1002" s="2">
        <f>IFERROR(__xludf.DUMMYFUNCTION("""COMPUTED_VALUE"""),8801907.0)</f>
        <v>8801907</v>
      </c>
    </row>
    <row r="1003">
      <c r="A1003" s="3">
        <f>IFERROR(__xludf.DUMMYFUNCTION("""COMPUTED_VALUE"""),41810.666666666664)</f>
        <v>41810.66667</v>
      </c>
      <c r="B1003" s="2">
        <f>IFERROR(__xludf.DUMMYFUNCTION("""COMPUTED_VALUE"""),15.22)</f>
        <v>15.22</v>
      </c>
      <c r="C1003" s="2">
        <f>IFERROR(__xludf.DUMMYFUNCTION("""COMPUTED_VALUE"""),15.42)</f>
        <v>15.42</v>
      </c>
      <c r="D1003" s="2">
        <f>IFERROR(__xludf.DUMMYFUNCTION("""COMPUTED_VALUE"""),15.08)</f>
        <v>15.08</v>
      </c>
      <c r="E1003" s="2">
        <f>IFERROR(__xludf.DUMMYFUNCTION("""COMPUTED_VALUE"""),15.31)</f>
        <v>15.31</v>
      </c>
      <c r="F1003" s="2">
        <f>IFERROR(__xludf.DUMMYFUNCTION("""COMPUTED_VALUE"""),4908077.0)</f>
        <v>4908077</v>
      </c>
    </row>
    <row r="1004">
      <c r="A1004" s="3">
        <f>IFERROR(__xludf.DUMMYFUNCTION("""COMPUTED_VALUE"""),41813.666666666664)</f>
        <v>41813.66667</v>
      </c>
      <c r="B1004" s="2">
        <f>IFERROR(__xludf.DUMMYFUNCTION("""COMPUTED_VALUE"""),15.3)</f>
        <v>15.3</v>
      </c>
      <c r="C1004" s="2">
        <f>IFERROR(__xludf.DUMMYFUNCTION("""COMPUTED_VALUE"""),15.93)</f>
        <v>15.93</v>
      </c>
      <c r="D1004" s="2">
        <f>IFERROR(__xludf.DUMMYFUNCTION("""COMPUTED_VALUE"""),15.21)</f>
        <v>15.21</v>
      </c>
      <c r="E1004" s="2">
        <f>IFERROR(__xludf.DUMMYFUNCTION("""COMPUTED_VALUE"""),15.81)</f>
        <v>15.81</v>
      </c>
      <c r="F1004" s="2">
        <f>IFERROR(__xludf.DUMMYFUNCTION("""COMPUTED_VALUE"""),7800189.0)</f>
        <v>7800189</v>
      </c>
    </row>
    <row r="1005">
      <c r="A1005" s="3">
        <f>IFERROR(__xludf.DUMMYFUNCTION("""COMPUTED_VALUE"""),41814.666666666664)</f>
        <v>41814.66667</v>
      </c>
      <c r="B1005" s="2">
        <f>IFERROR(__xludf.DUMMYFUNCTION("""COMPUTED_VALUE"""),15.92)</f>
        <v>15.92</v>
      </c>
      <c r="C1005" s="2">
        <f>IFERROR(__xludf.DUMMYFUNCTION("""COMPUTED_VALUE"""),16.13)</f>
        <v>16.13</v>
      </c>
      <c r="D1005" s="2">
        <f>IFERROR(__xludf.DUMMYFUNCTION("""COMPUTED_VALUE"""),15.44)</f>
        <v>15.44</v>
      </c>
      <c r="E1005" s="2">
        <f>IFERROR(__xludf.DUMMYFUNCTION("""COMPUTED_VALUE"""),15.5)</f>
        <v>15.5</v>
      </c>
      <c r="F1005" s="2">
        <f>IFERROR(__xludf.DUMMYFUNCTION("""COMPUTED_VALUE"""),8081109.0)</f>
        <v>8081109</v>
      </c>
    </row>
    <row r="1006">
      <c r="A1006" s="3">
        <f>IFERROR(__xludf.DUMMYFUNCTION("""COMPUTED_VALUE"""),41815.666666666664)</f>
        <v>41815.66667</v>
      </c>
      <c r="B1006" s="2">
        <f>IFERROR(__xludf.DUMMYFUNCTION("""COMPUTED_VALUE"""),15.54)</f>
        <v>15.54</v>
      </c>
      <c r="C1006" s="2">
        <f>IFERROR(__xludf.DUMMYFUNCTION("""COMPUTED_VALUE"""),15.84)</f>
        <v>15.84</v>
      </c>
      <c r="D1006" s="2">
        <f>IFERROR(__xludf.DUMMYFUNCTION("""COMPUTED_VALUE"""),15.35)</f>
        <v>15.35</v>
      </c>
      <c r="E1006" s="2">
        <f>IFERROR(__xludf.DUMMYFUNCTION("""COMPUTED_VALUE"""),15.79)</f>
        <v>15.79</v>
      </c>
      <c r="F1006" s="2">
        <f>IFERROR(__xludf.DUMMYFUNCTION("""COMPUTED_VALUE"""),5803257.0)</f>
        <v>5803257</v>
      </c>
    </row>
    <row r="1007">
      <c r="A1007" s="3">
        <f>IFERROR(__xludf.DUMMYFUNCTION("""COMPUTED_VALUE"""),41816.666666666664)</f>
        <v>41816.66667</v>
      </c>
      <c r="B1007" s="2">
        <f>IFERROR(__xludf.DUMMYFUNCTION("""COMPUTED_VALUE"""),15.81)</f>
        <v>15.81</v>
      </c>
      <c r="C1007" s="2">
        <f>IFERROR(__xludf.DUMMYFUNCTION("""COMPUTED_VALUE"""),16.03)</f>
        <v>16.03</v>
      </c>
      <c r="D1007" s="2">
        <f>IFERROR(__xludf.DUMMYFUNCTION("""COMPUTED_VALUE"""),15.61)</f>
        <v>15.61</v>
      </c>
      <c r="E1007" s="2">
        <f>IFERROR(__xludf.DUMMYFUNCTION("""COMPUTED_VALUE"""),15.71)</f>
        <v>15.71</v>
      </c>
      <c r="F1007" s="2">
        <f>IFERROR(__xludf.DUMMYFUNCTION("""COMPUTED_VALUE"""),5122972.0)</f>
        <v>5122972</v>
      </c>
    </row>
    <row r="1008">
      <c r="A1008" s="3">
        <f>IFERROR(__xludf.DUMMYFUNCTION("""COMPUTED_VALUE"""),41817.666666666664)</f>
        <v>41817.66667</v>
      </c>
      <c r="B1008" s="2">
        <f>IFERROR(__xludf.DUMMYFUNCTION("""COMPUTED_VALUE"""),15.65)</f>
        <v>15.65</v>
      </c>
      <c r="C1008" s="2">
        <f>IFERROR(__xludf.DUMMYFUNCTION("""COMPUTED_VALUE"""),16.0)</f>
        <v>16</v>
      </c>
      <c r="D1008" s="2">
        <f>IFERROR(__xludf.DUMMYFUNCTION("""COMPUTED_VALUE"""),15.63)</f>
        <v>15.63</v>
      </c>
      <c r="E1008" s="2">
        <f>IFERROR(__xludf.DUMMYFUNCTION("""COMPUTED_VALUE"""),15.94)</f>
        <v>15.94</v>
      </c>
      <c r="F1008" s="2">
        <f>IFERROR(__xludf.DUMMYFUNCTION("""COMPUTED_VALUE"""),5638787.0)</f>
        <v>5638787</v>
      </c>
    </row>
    <row r="1009">
      <c r="A1009" s="3">
        <f>IFERROR(__xludf.DUMMYFUNCTION("""COMPUTED_VALUE"""),41820.666666666664)</f>
        <v>41820.66667</v>
      </c>
      <c r="B1009" s="2">
        <f>IFERROR(__xludf.DUMMYFUNCTION("""COMPUTED_VALUE"""),15.97)</f>
        <v>15.97</v>
      </c>
      <c r="C1009" s="2">
        <f>IFERROR(__xludf.DUMMYFUNCTION("""COMPUTED_VALUE"""),16.3)</f>
        <v>16.3</v>
      </c>
      <c r="D1009" s="2">
        <f>IFERROR(__xludf.DUMMYFUNCTION("""COMPUTED_VALUE"""),15.93)</f>
        <v>15.93</v>
      </c>
      <c r="E1009" s="2">
        <f>IFERROR(__xludf.DUMMYFUNCTION("""COMPUTED_VALUE"""),16.0)</f>
        <v>16</v>
      </c>
      <c r="F1009" s="2">
        <f>IFERROR(__xludf.DUMMYFUNCTION("""COMPUTED_VALUE"""),4833602.0)</f>
        <v>4833602</v>
      </c>
    </row>
    <row r="1010">
      <c r="A1010" s="3">
        <f>IFERROR(__xludf.DUMMYFUNCTION("""COMPUTED_VALUE"""),41821.666666666664)</f>
        <v>41821.66667</v>
      </c>
      <c r="B1010" s="2">
        <f>IFERROR(__xludf.DUMMYFUNCTION("""COMPUTED_VALUE"""),16.16)</f>
        <v>16.16</v>
      </c>
      <c r="C1010" s="2">
        <f>IFERROR(__xludf.DUMMYFUNCTION("""COMPUTED_VALUE"""),16.23)</f>
        <v>16.23</v>
      </c>
      <c r="D1010" s="2">
        <f>IFERROR(__xludf.DUMMYFUNCTION("""COMPUTED_VALUE"""),15.91)</f>
        <v>15.91</v>
      </c>
      <c r="E1010" s="2">
        <f>IFERROR(__xludf.DUMMYFUNCTION("""COMPUTED_VALUE"""),15.98)</f>
        <v>15.98</v>
      </c>
      <c r="F1010" s="2">
        <f>IFERROR(__xludf.DUMMYFUNCTION("""COMPUTED_VALUE"""),4341242.0)</f>
        <v>4341242</v>
      </c>
    </row>
    <row r="1011">
      <c r="A1011" s="3">
        <f>IFERROR(__xludf.DUMMYFUNCTION("""COMPUTED_VALUE"""),41822.666666666664)</f>
        <v>41822.66667</v>
      </c>
      <c r="B1011" s="2">
        <f>IFERROR(__xludf.DUMMYFUNCTION("""COMPUTED_VALUE"""),16.04)</f>
        <v>16.04</v>
      </c>
      <c r="C1011" s="2">
        <f>IFERROR(__xludf.DUMMYFUNCTION("""COMPUTED_VALUE"""),16.16)</f>
        <v>16.16</v>
      </c>
      <c r="D1011" s="2">
        <f>IFERROR(__xludf.DUMMYFUNCTION("""COMPUTED_VALUE"""),15.14)</f>
        <v>15.14</v>
      </c>
      <c r="E1011" s="2">
        <f>IFERROR(__xludf.DUMMYFUNCTION("""COMPUTED_VALUE"""),15.3)</f>
        <v>15.3</v>
      </c>
      <c r="F1011" s="2">
        <f>IFERROR(__xludf.DUMMYFUNCTION("""COMPUTED_VALUE"""),8035072.0)</f>
        <v>8035072</v>
      </c>
    </row>
    <row r="1012">
      <c r="A1012" s="3">
        <f>IFERROR(__xludf.DUMMYFUNCTION("""COMPUTED_VALUE"""),41823.666666666664)</f>
        <v>41823.66667</v>
      </c>
      <c r="B1012" s="2">
        <f>IFERROR(__xludf.DUMMYFUNCTION("""COMPUTED_VALUE"""),15.43)</f>
        <v>15.43</v>
      </c>
      <c r="C1012" s="2">
        <f>IFERROR(__xludf.DUMMYFUNCTION("""COMPUTED_VALUE"""),15.46)</f>
        <v>15.46</v>
      </c>
      <c r="D1012" s="2">
        <f>IFERROR(__xludf.DUMMYFUNCTION("""COMPUTED_VALUE"""),14.93)</f>
        <v>14.93</v>
      </c>
      <c r="E1012" s="2">
        <f>IFERROR(__xludf.DUMMYFUNCTION("""COMPUTED_VALUE"""),15.28)</f>
        <v>15.28</v>
      </c>
      <c r="F1012" s="2">
        <f>IFERROR(__xludf.DUMMYFUNCTION("""COMPUTED_VALUE"""),5166716.0)</f>
        <v>5166716</v>
      </c>
    </row>
    <row r="1013">
      <c r="A1013" s="3">
        <f>IFERROR(__xludf.DUMMYFUNCTION("""COMPUTED_VALUE"""),41827.666666666664)</f>
        <v>41827.66667</v>
      </c>
      <c r="B1013" s="2">
        <f>IFERROR(__xludf.DUMMYFUNCTION("""COMPUTED_VALUE"""),15.16)</f>
        <v>15.16</v>
      </c>
      <c r="C1013" s="2">
        <f>IFERROR(__xludf.DUMMYFUNCTION("""COMPUTED_VALUE"""),15.32)</f>
        <v>15.32</v>
      </c>
      <c r="D1013" s="2">
        <f>IFERROR(__xludf.DUMMYFUNCTION("""COMPUTED_VALUE"""),14.69)</f>
        <v>14.69</v>
      </c>
      <c r="E1013" s="2">
        <f>IFERROR(__xludf.DUMMYFUNCTION("""COMPUTED_VALUE"""),14.84)</f>
        <v>14.84</v>
      </c>
      <c r="F1013" s="2">
        <f>IFERROR(__xludf.DUMMYFUNCTION("""COMPUTED_VALUE"""),5901080.0)</f>
        <v>5901080</v>
      </c>
    </row>
    <row r="1014">
      <c r="A1014" s="3">
        <f>IFERROR(__xludf.DUMMYFUNCTION("""COMPUTED_VALUE"""),41828.666666666664)</f>
        <v>41828.66667</v>
      </c>
      <c r="B1014" s="2">
        <f>IFERROR(__xludf.DUMMYFUNCTION("""COMPUTED_VALUE"""),14.58)</f>
        <v>14.58</v>
      </c>
      <c r="C1014" s="2">
        <f>IFERROR(__xludf.DUMMYFUNCTION("""COMPUTED_VALUE"""),14.73)</f>
        <v>14.73</v>
      </c>
      <c r="D1014" s="2">
        <f>IFERROR(__xludf.DUMMYFUNCTION("""COMPUTED_VALUE"""),14.28)</f>
        <v>14.28</v>
      </c>
      <c r="E1014" s="2">
        <f>IFERROR(__xludf.DUMMYFUNCTION("""COMPUTED_VALUE"""),14.6)</f>
        <v>14.6</v>
      </c>
      <c r="F1014" s="2">
        <f>IFERROR(__xludf.DUMMYFUNCTION("""COMPUTED_VALUE"""),7846165.0)</f>
        <v>7846165</v>
      </c>
    </row>
    <row r="1015">
      <c r="A1015" s="3">
        <f>IFERROR(__xludf.DUMMYFUNCTION("""COMPUTED_VALUE"""),41829.666666666664)</f>
        <v>41829.66667</v>
      </c>
      <c r="B1015" s="2">
        <f>IFERROR(__xludf.DUMMYFUNCTION("""COMPUTED_VALUE"""),14.75)</f>
        <v>14.75</v>
      </c>
      <c r="C1015" s="2">
        <f>IFERROR(__xludf.DUMMYFUNCTION("""COMPUTED_VALUE"""),14.95)</f>
        <v>14.95</v>
      </c>
      <c r="D1015" s="2">
        <f>IFERROR(__xludf.DUMMYFUNCTION("""COMPUTED_VALUE"""),14.61)</f>
        <v>14.61</v>
      </c>
      <c r="E1015" s="2">
        <f>IFERROR(__xludf.DUMMYFUNCTION("""COMPUTED_VALUE"""),14.87)</f>
        <v>14.87</v>
      </c>
      <c r="F1015" s="2">
        <f>IFERROR(__xludf.DUMMYFUNCTION("""COMPUTED_VALUE"""),4117729.0)</f>
        <v>4117729</v>
      </c>
    </row>
    <row r="1016">
      <c r="A1016" s="3">
        <f>IFERROR(__xludf.DUMMYFUNCTION("""COMPUTED_VALUE"""),41830.666666666664)</f>
        <v>41830.66667</v>
      </c>
      <c r="B1016" s="2">
        <f>IFERROR(__xludf.DUMMYFUNCTION("""COMPUTED_VALUE"""),14.49)</f>
        <v>14.49</v>
      </c>
      <c r="C1016" s="2">
        <f>IFERROR(__xludf.DUMMYFUNCTION("""COMPUTED_VALUE"""),14.81)</f>
        <v>14.81</v>
      </c>
      <c r="D1016" s="2">
        <f>IFERROR(__xludf.DUMMYFUNCTION("""COMPUTED_VALUE"""),14.4)</f>
        <v>14.4</v>
      </c>
      <c r="E1016" s="2">
        <f>IFERROR(__xludf.DUMMYFUNCTION("""COMPUTED_VALUE"""),14.63)</f>
        <v>14.63</v>
      </c>
      <c r="F1016" s="2">
        <f>IFERROR(__xludf.DUMMYFUNCTION("""COMPUTED_VALUE"""),4865246.0)</f>
        <v>4865246</v>
      </c>
    </row>
    <row r="1017">
      <c r="A1017" s="3">
        <f>IFERROR(__xludf.DUMMYFUNCTION("""COMPUTED_VALUE"""),41831.666666666664)</f>
        <v>41831.66667</v>
      </c>
      <c r="B1017" s="2">
        <f>IFERROR(__xludf.DUMMYFUNCTION("""COMPUTED_VALUE"""),14.69)</f>
        <v>14.69</v>
      </c>
      <c r="C1017" s="2">
        <f>IFERROR(__xludf.DUMMYFUNCTION("""COMPUTED_VALUE"""),14.77)</f>
        <v>14.77</v>
      </c>
      <c r="D1017" s="2">
        <f>IFERROR(__xludf.DUMMYFUNCTION("""COMPUTED_VALUE"""),14.51)</f>
        <v>14.51</v>
      </c>
      <c r="E1017" s="2">
        <f>IFERROR(__xludf.DUMMYFUNCTION("""COMPUTED_VALUE"""),14.54)</f>
        <v>14.54</v>
      </c>
      <c r="F1017" s="2">
        <f>IFERROR(__xludf.DUMMYFUNCTION("""COMPUTED_VALUE"""),3307113.0)</f>
        <v>3307113</v>
      </c>
    </row>
    <row r="1018">
      <c r="A1018" s="3">
        <f>IFERROR(__xludf.DUMMYFUNCTION("""COMPUTED_VALUE"""),41834.666666666664)</f>
        <v>41834.66667</v>
      </c>
      <c r="B1018" s="2">
        <f>IFERROR(__xludf.DUMMYFUNCTION("""COMPUTED_VALUE"""),14.67)</f>
        <v>14.67</v>
      </c>
      <c r="C1018" s="2">
        <f>IFERROR(__xludf.DUMMYFUNCTION("""COMPUTED_VALUE"""),15.25)</f>
        <v>15.25</v>
      </c>
      <c r="D1018" s="2">
        <f>IFERROR(__xludf.DUMMYFUNCTION("""COMPUTED_VALUE"""),14.36)</f>
        <v>14.36</v>
      </c>
      <c r="E1018" s="2">
        <f>IFERROR(__xludf.DUMMYFUNCTION("""COMPUTED_VALUE"""),15.11)</f>
        <v>15.11</v>
      </c>
      <c r="F1018" s="2">
        <f>IFERROR(__xludf.DUMMYFUNCTION("""COMPUTED_VALUE"""),7208573.0)</f>
        <v>7208573</v>
      </c>
    </row>
    <row r="1019">
      <c r="A1019" s="3">
        <f>IFERROR(__xludf.DUMMYFUNCTION("""COMPUTED_VALUE"""),41835.666666666664)</f>
        <v>41835.66667</v>
      </c>
      <c r="B1019" s="2">
        <f>IFERROR(__xludf.DUMMYFUNCTION("""COMPUTED_VALUE"""),15.12)</f>
        <v>15.12</v>
      </c>
      <c r="C1019" s="2">
        <f>IFERROR(__xludf.DUMMYFUNCTION("""COMPUTED_VALUE"""),15.18)</f>
        <v>15.18</v>
      </c>
      <c r="D1019" s="2">
        <f>IFERROR(__xludf.DUMMYFUNCTION("""COMPUTED_VALUE"""),14.54)</f>
        <v>14.54</v>
      </c>
      <c r="E1019" s="2">
        <f>IFERROR(__xludf.DUMMYFUNCTION("""COMPUTED_VALUE"""),14.64)</f>
        <v>14.64</v>
      </c>
      <c r="F1019" s="2">
        <f>IFERROR(__xludf.DUMMYFUNCTION("""COMPUTED_VALUE"""),5732031.0)</f>
        <v>5732031</v>
      </c>
    </row>
    <row r="1020">
      <c r="A1020" s="3">
        <f>IFERROR(__xludf.DUMMYFUNCTION("""COMPUTED_VALUE"""),41836.666666666664)</f>
        <v>41836.66667</v>
      </c>
      <c r="B1020" s="2">
        <f>IFERROR(__xludf.DUMMYFUNCTION("""COMPUTED_VALUE"""),14.81)</f>
        <v>14.81</v>
      </c>
      <c r="C1020" s="2">
        <f>IFERROR(__xludf.DUMMYFUNCTION("""COMPUTED_VALUE"""),14.99)</f>
        <v>14.99</v>
      </c>
      <c r="D1020" s="2">
        <f>IFERROR(__xludf.DUMMYFUNCTION("""COMPUTED_VALUE"""),14.45)</f>
        <v>14.45</v>
      </c>
      <c r="E1020" s="2">
        <f>IFERROR(__xludf.DUMMYFUNCTION("""COMPUTED_VALUE"""),14.48)</f>
        <v>14.48</v>
      </c>
      <c r="F1020" s="2">
        <f>IFERROR(__xludf.DUMMYFUNCTION("""COMPUTED_VALUE"""),4051097.0)</f>
        <v>4051097</v>
      </c>
    </row>
    <row r="1021">
      <c r="A1021" s="3">
        <f>IFERROR(__xludf.DUMMYFUNCTION("""COMPUTED_VALUE"""),41837.666666666664)</f>
        <v>41837.66667</v>
      </c>
      <c r="B1021" s="2">
        <f>IFERROR(__xludf.DUMMYFUNCTION("""COMPUTED_VALUE"""),14.41)</f>
        <v>14.41</v>
      </c>
      <c r="C1021" s="2">
        <f>IFERROR(__xludf.DUMMYFUNCTION("""COMPUTED_VALUE"""),14.7)</f>
        <v>14.7</v>
      </c>
      <c r="D1021" s="2">
        <f>IFERROR(__xludf.DUMMYFUNCTION("""COMPUTED_VALUE"""),14.24)</f>
        <v>14.24</v>
      </c>
      <c r="E1021" s="2">
        <f>IFERROR(__xludf.DUMMYFUNCTION("""COMPUTED_VALUE"""),14.36)</f>
        <v>14.36</v>
      </c>
      <c r="F1021" s="2">
        <f>IFERROR(__xludf.DUMMYFUNCTION("""COMPUTED_VALUE"""),4650956.0)</f>
        <v>4650956</v>
      </c>
    </row>
    <row r="1022">
      <c r="A1022" s="3">
        <f>IFERROR(__xludf.DUMMYFUNCTION("""COMPUTED_VALUE"""),41838.666666666664)</f>
        <v>41838.66667</v>
      </c>
      <c r="B1022" s="2">
        <f>IFERROR(__xludf.DUMMYFUNCTION("""COMPUTED_VALUE"""),14.4)</f>
        <v>14.4</v>
      </c>
      <c r="C1022" s="2">
        <f>IFERROR(__xludf.DUMMYFUNCTION("""COMPUTED_VALUE"""),14.75)</f>
        <v>14.75</v>
      </c>
      <c r="D1022" s="2">
        <f>IFERROR(__xludf.DUMMYFUNCTION("""COMPUTED_VALUE"""),14.4)</f>
        <v>14.4</v>
      </c>
      <c r="E1022" s="2">
        <f>IFERROR(__xludf.DUMMYFUNCTION("""COMPUTED_VALUE"""),14.67)</f>
        <v>14.67</v>
      </c>
      <c r="F1022" s="2">
        <f>IFERROR(__xludf.DUMMYFUNCTION("""COMPUTED_VALUE"""),4260618.0)</f>
        <v>4260618</v>
      </c>
    </row>
    <row r="1023">
      <c r="A1023" s="3">
        <f>IFERROR(__xludf.DUMMYFUNCTION("""COMPUTED_VALUE"""),41841.666666666664)</f>
        <v>41841.66667</v>
      </c>
      <c r="B1023" s="2">
        <f>IFERROR(__xludf.DUMMYFUNCTION("""COMPUTED_VALUE"""),14.48)</f>
        <v>14.48</v>
      </c>
      <c r="C1023" s="2">
        <f>IFERROR(__xludf.DUMMYFUNCTION("""COMPUTED_VALUE"""),14.88)</f>
        <v>14.88</v>
      </c>
      <c r="D1023" s="2">
        <f>IFERROR(__xludf.DUMMYFUNCTION("""COMPUTED_VALUE"""),14.45)</f>
        <v>14.45</v>
      </c>
      <c r="E1023" s="2">
        <f>IFERROR(__xludf.DUMMYFUNCTION("""COMPUTED_VALUE"""),14.7)</f>
        <v>14.7</v>
      </c>
      <c r="F1023" s="2">
        <f>IFERROR(__xludf.DUMMYFUNCTION("""COMPUTED_VALUE"""),3825251.0)</f>
        <v>3825251</v>
      </c>
    </row>
    <row r="1024">
      <c r="A1024" s="3">
        <f>IFERROR(__xludf.DUMMYFUNCTION("""COMPUTED_VALUE"""),41842.666666666664)</f>
        <v>41842.66667</v>
      </c>
      <c r="B1024" s="2">
        <f>IFERROR(__xludf.DUMMYFUNCTION("""COMPUTED_VALUE"""),14.81)</f>
        <v>14.81</v>
      </c>
      <c r="C1024" s="2">
        <f>IFERROR(__xludf.DUMMYFUNCTION("""COMPUTED_VALUE"""),14.89)</f>
        <v>14.89</v>
      </c>
      <c r="D1024" s="2">
        <f>IFERROR(__xludf.DUMMYFUNCTION("""COMPUTED_VALUE"""),14.61)</f>
        <v>14.61</v>
      </c>
      <c r="E1024" s="2">
        <f>IFERROR(__xludf.DUMMYFUNCTION("""COMPUTED_VALUE"""),14.64)</f>
        <v>14.64</v>
      </c>
      <c r="F1024" s="2">
        <f>IFERROR(__xludf.DUMMYFUNCTION("""COMPUTED_VALUE"""),2732485.0)</f>
        <v>2732485</v>
      </c>
    </row>
    <row r="1025">
      <c r="A1025" s="3">
        <f>IFERROR(__xludf.DUMMYFUNCTION("""COMPUTED_VALUE"""),41843.666666666664)</f>
        <v>41843.66667</v>
      </c>
      <c r="B1025" s="2">
        <f>IFERROR(__xludf.DUMMYFUNCTION("""COMPUTED_VALUE"""),14.66)</f>
        <v>14.66</v>
      </c>
      <c r="C1025" s="2">
        <f>IFERROR(__xludf.DUMMYFUNCTION("""COMPUTED_VALUE"""),14.98)</f>
        <v>14.98</v>
      </c>
      <c r="D1025" s="2">
        <f>IFERROR(__xludf.DUMMYFUNCTION("""COMPUTED_VALUE"""),14.63)</f>
        <v>14.63</v>
      </c>
      <c r="E1025" s="2">
        <f>IFERROR(__xludf.DUMMYFUNCTION("""COMPUTED_VALUE"""),14.83)</f>
        <v>14.83</v>
      </c>
      <c r="F1025" s="2">
        <f>IFERROR(__xludf.DUMMYFUNCTION("""COMPUTED_VALUE"""),3088731.0)</f>
        <v>3088731</v>
      </c>
    </row>
    <row r="1026">
      <c r="A1026" s="3">
        <f>IFERROR(__xludf.DUMMYFUNCTION("""COMPUTED_VALUE"""),41844.666666666664)</f>
        <v>41844.66667</v>
      </c>
      <c r="B1026" s="2">
        <f>IFERROR(__xludf.DUMMYFUNCTION("""COMPUTED_VALUE"""),14.88)</f>
        <v>14.88</v>
      </c>
      <c r="C1026" s="2">
        <f>IFERROR(__xludf.DUMMYFUNCTION("""COMPUTED_VALUE"""),15.01)</f>
        <v>15.01</v>
      </c>
      <c r="D1026" s="2">
        <f>IFERROR(__xludf.DUMMYFUNCTION("""COMPUTED_VALUE"""),14.72)</f>
        <v>14.72</v>
      </c>
      <c r="E1026" s="2">
        <f>IFERROR(__xludf.DUMMYFUNCTION("""COMPUTED_VALUE"""),14.9)</f>
        <v>14.9</v>
      </c>
      <c r="F1026" s="2">
        <f>IFERROR(__xludf.DUMMYFUNCTION("""COMPUTED_VALUE"""),3248410.0)</f>
        <v>3248410</v>
      </c>
    </row>
    <row r="1027">
      <c r="A1027" s="3">
        <f>IFERROR(__xludf.DUMMYFUNCTION("""COMPUTED_VALUE"""),41845.666666666664)</f>
        <v>41845.66667</v>
      </c>
      <c r="B1027" s="2">
        <f>IFERROR(__xludf.DUMMYFUNCTION("""COMPUTED_VALUE"""),14.85)</f>
        <v>14.85</v>
      </c>
      <c r="C1027" s="2">
        <f>IFERROR(__xludf.DUMMYFUNCTION("""COMPUTED_VALUE"""),15.13)</f>
        <v>15.13</v>
      </c>
      <c r="D1027" s="2">
        <f>IFERROR(__xludf.DUMMYFUNCTION("""COMPUTED_VALUE"""),14.78)</f>
        <v>14.78</v>
      </c>
      <c r="E1027" s="2">
        <f>IFERROR(__xludf.DUMMYFUNCTION("""COMPUTED_VALUE"""),14.9)</f>
        <v>14.9</v>
      </c>
      <c r="F1027" s="2">
        <f>IFERROR(__xludf.DUMMYFUNCTION("""COMPUTED_VALUE"""),3090383.0)</f>
        <v>3090383</v>
      </c>
    </row>
    <row r="1028">
      <c r="A1028" s="3">
        <f>IFERROR(__xludf.DUMMYFUNCTION("""COMPUTED_VALUE"""),41848.666666666664)</f>
        <v>41848.66667</v>
      </c>
      <c r="B1028" s="2">
        <f>IFERROR(__xludf.DUMMYFUNCTION("""COMPUTED_VALUE"""),14.95)</f>
        <v>14.95</v>
      </c>
      <c r="C1028" s="2">
        <f>IFERROR(__xludf.DUMMYFUNCTION("""COMPUTED_VALUE"""),15.47)</f>
        <v>15.47</v>
      </c>
      <c r="D1028" s="2">
        <f>IFERROR(__xludf.DUMMYFUNCTION("""COMPUTED_VALUE"""),14.76)</f>
        <v>14.76</v>
      </c>
      <c r="E1028" s="2">
        <f>IFERROR(__xludf.DUMMYFUNCTION("""COMPUTED_VALUE"""),14.99)</f>
        <v>14.99</v>
      </c>
      <c r="F1028" s="2">
        <f>IFERROR(__xludf.DUMMYFUNCTION("""COMPUTED_VALUE"""),6517611.0)</f>
        <v>6517611</v>
      </c>
    </row>
    <row r="1029">
      <c r="A1029" s="3">
        <f>IFERROR(__xludf.DUMMYFUNCTION("""COMPUTED_VALUE"""),41849.666666666664)</f>
        <v>41849.66667</v>
      </c>
      <c r="B1029" s="2">
        <f>IFERROR(__xludf.DUMMYFUNCTION("""COMPUTED_VALUE"""),15.11)</f>
        <v>15.11</v>
      </c>
      <c r="C1029" s="2">
        <f>IFERROR(__xludf.DUMMYFUNCTION("""COMPUTED_VALUE"""),15.22)</f>
        <v>15.22</v>
      </c>
      <c r="D1029" s="2">
        <f>IFERROR(__xludf.DUMMYFUNCTION("""COMPUTED_VALUE"""),14.99)</f>
        <v>14.99</v>
      </c>
      <c r="E1029" s="2">
        <f>IFERROR(__xludf.DUMMYFUNCTION("""COMPUTED_VALUE"""),15.0)</f>
        <v>15</v>
      </c>
      <c r="F1029" s="2">
        <f>IFERROR(__xludf.DUMMYFUNCTION("""COMPUTED_VALUE"""),3387187.0)</f>
        <v>3387187</v>
      </c>
    </row>
    <row r="1030">
      <c r="A1030" s="3">
        <f>IFERROR(__xludf.DUMMYFUNCTION("""COMPUTED_VALUE"""),41850.666666666664)</f>
        <v>41850.66667</v>
      </c>
      <c r="B1030" s="2">
        <f>IFERROR(__xludf.DUMMYFUNCTION("""COMPUTED_VALUE"""),14.8)</f>
        <v>14.8</v>
      </c>
      <c r="C1030" s="2">
        <f>IFERROR(__xludf.DUMMYFUNCTION("""COMPUTED_VALUE"""),15.31)</f>
        <v>15.31</v>
      </c>
      <c r="D1030" s="2">
        <f>IFERROR(__xludf.DUMMYFUNCTION("""COMPUTED_VALUE"""),14.74)</f>
        <v>14.74</v>
      </c>
      <c r="E1030" s="2">
        <f>IFERROR(__xludf.DUMMYFUNCTION("""COMPUTED_VALUE"""),15.26)</f>
        <v>15.26</v>
      </c>
      <c r="F1030" s="2">
        <f>IFERROR(__xludf.DUMMYFUNCTION("""COMPUTED_VALUE"""),4927823.0)</f>
        <v>4927823</v>
      </c>
    </row>
    <row r="1031">
      <c r="A1031" s="3">
        <f>IFERROR(__xludf.DUMMYFUNCTION("""COMPUTED_VALUE"""),41851.666666666664)</f>
        <v>41851.66667</v>
      </c>
      <c r="B1031" s="2">
        <f>IFERROR(__xludf.DUMMYFUNCTION("""COMPUTED_VALUE"""),15.29)</f>
        <v>15.29</v>
      </c>
      <c r="C1031" s="2">
        <f>IFERROR(__xludf.DUMMYFUNCTION("""COMPUTED_VALUE"""),15.43)</f>
        <v>15.43</v>
      </c>
      <c r="D1031" s="2">
        <f>IFERROR(__xludf.DUMMYFUNCTION("""COMPUTED_VALUE"""),14.77)</f>
        <v>14.77</v>
      </c>
      <c r="E1031" s="2">
        <f>IFERROR(__xludf.DUMMYFUNCTION("""COMPUTED_VALUE"""),14.89)</f>
        <v>14.89</v>
      </c>
      <c r="F1031" s="2">
        <f>IFERROR(__xludf.DUMMYFUNCTION("""COMPUTED_VALUE"""),7749058.0)</f>
        <v>7749058</v>
      </c>
    </row>
    <row r="1032">
      <c r="A1032" s="3">
        <f>IFERROR(__xludf.DUMMYFUNCTION("""COMPUTED_VALUE"""),41852.666666666664)</f>
        <v>41852.66667</v>
      </c>
      <c r="B1032" s="2">
        <f>IFERROR(__xludf.DUMMYFUNCTION("""COMPUTED_VALUE"""),15.08)</f>
        <v>15.08</v>
      </c>
      <c r="C1032" s="2">
        <f>IFERROR(__xludf.DUMMYFUNCTION("""COMPUTED_VALUE"""),15.83)</f>
        <v>15.83</v>
      </c>
      <c r="D1032" s="2">
        <f>IFERROR(__xludf.DUMMYFUNCTION("""COMPUTED_VALUE"""),15.07)</f>
        <v>15.07</v>
      </c>
      <c r="E1032" s="2">
        <f>IFERROR(__xludf.DUMMYFUNCTION("""COMPUTED_VALUE"""),15.55)</f>
        <v>15.55</v>
      </c>
      <c r="F1032" s="2">
        <f>IFERROR(__xludf.DUMMYFUNCTION("""COMPUTED_VALUE"""),1.1898133E7)</f>
        <v>11898133</v>
      </c>
    </row>
    <row r="1033">
      <c r="A1033" s="3">
        <f>IFERROR(__xludf.DUMMYFUNCTION("""COMPUTED_VALUE"""),41855.666666666664)</f>
        <v>41855.66667</v>
      </c>
      <c r="B1033" s="2">
        <f>IFERROR(__xludf.DUMMYFUNCTION("""COMPUTED_VALUE"""),15.63)</f>
        <v>15.63</v>
      </c>
      <c r="C1033" s="2">
        <f>IFERROR(__xludf.DUMMYFUNCTION("""COMPUTED_VALUE"""),16.03)</f>
        <v>16.03</v>
      </c>
      <c r="D1033" s="2">
        <f>IFERROR(__xludf.DUMMYFUNCTION("""COMPUTED_VALUE"""),15.55)</f>
        <v>15.55</v>
      </c>
      <c r="E1033" s="2">
        <f>IFERROR(__xludf.DUMMYFUNCTION("""COMPUTED_VALUE"""),15.9)</f>
        <v>15.9</v>
      </c>
      <c r="F1033" s="2">
        <f>IFERROR(__xludf.DUMMYFUNCTION("""COMPUTED_VALUE"""),5967406.0)</f>
        <v>5967406</v>
      </c>
    </row>
    <row r="1034">
      <c r="A1034" s="3">
        <f>IFERROR(__xludf.DUMMYFUNCTION("""COMPUTED_VALUE"""),41856.666666666664)</f>
        <v>41856.66667</v>
      </c>
      <c r="B1034" s="2">
        <f>IFERROR(__xludf.DUMMYFUNCTION("""COMPUTED_VALUE"""),15.83)</f>
        <v>15.83</v>
      </c>
      <c r="C1034" s="2">
        <f>IFERROR(__xludf.DUMMYFUNCTION("""COMPUTED_VALUE"""),16.2)</f>
        <v>16.2</v>
      </c>
      <c r="D1034" s="2">
        <f>IFERROR(__xludf.DUMMYFUNCTION("""COMPUTED_VALUE"""),15.71)</f>
        <v>15.71</v>
      </c>
      <c r="E1034" s="2">
        <f>IFERROR(__xludf.DUMMYFUNCTION("""COMPUTED_VALUE"""),15.9)</f>
        <v>15.9</v>
      </c>
      <c r="F1034" s="2">
        <f>IFERROR(__xludf.DUMMYFUNCTION("""COMPUTED_VALUE"""),5388581.0)</f>
        <v>5388581</v>
      </c>
    </row>
    <row r="1035">
      <c r="A1035" s="3">
        <f>IFERROR(__xludf.DUMMYFUNCTION("""COMPUTED_VALUE"""),41857.666666666664)</f>
        <v>41857.66667</v>
      </c>
      <c r="B1035" s="2">
        <f>IFERROR(__xludf.DUMMYFUNCTION("""COMPUTED_VALUE"""),15.93)</f>
        <v>15.93</v>
      </c>
      <c r="C1035" s="2">
        <f>IFERROR(__xludf.DUMMYFUNCTION("""COMPUTED_VALUE"""),16.76)</f>
        <v>16.76</v>
      </c>
      <c r="D1035" s="2">
        <f>IFERROR(__xludf.DUMMYFUNCTION("""COMPUTED_VALUE"""),15.91)</f>
        <v>15.91</v>
      </c>
      <c r="E1035" s="2">
        <f>IFERROR(__xludf.DUMMYFUNCTION("""COMPUTED_VALUE"""),16.6)</f>
        <v>16.6</v>
      </c>
      <c r="F1035" s="2">
        <f>IFERROR(__xludf.DUMMYFUNCTION("""COMPUTED_VALUE"""),9249265.0)</f>
        <v>9249265</v>
      </c>
    </row>
    <row r="1036">
      <c r="A1036" s="3">
        <f>IFERROR(__xludf.DUMMYFUNCTION("""COMPUTED_VALUE"""),41858.666666666664)</f>
        <v>41858.66667</v>
      </c>
      <c r="B1036" s="2">
        <f>IFERROR(__xludf.DUMMYFUNCTION("""COMPUTED_VALUE"""),16.67)</f>
        <v>16.67</v>
      </c>
      <c r="C1036" s="2">
        <f>IFERROR(__xludf.DUMMYFUNCTION("""COMPUTED_VALUE"""),17.11)</f>
        <v>17.11</v>
      </c>
      <c r="D1036" s="2">
        <f>IFERROR(__xludf.DUMMYFUNCTION("""COMPUTED_VALUE"""),16.61)</f>
        <v>16.61</v>
      </c>
      <c r="E1036" s="2">
        <f>IFERROR(__xludf.DUMMYFUNCTION("""COMPUTED_VALUE"""),16.83)</f>
        <v>16.83</v>
      </c>
      <c r="F1036" s="2">
        <f>IFERROR(__xludf.DUMMYFUNCTION("""COMPUTED_VALUE"""),7478926.0)</f>
        <v>7478926</v>
      </c>
    </row>
    <row r="1037">
      <c r="A1037" s="3">
        <f>IFERROR(__xludf.DUMMYFUNCTION("""COMPUTED_VALUE"""),41859.666666666664)</f>
        <v>41859.66667</v>
      </c>
      <c r="B1037" s="2">
        <f>IFERROR(__xludf.DUMMYFUNCTION("""COMPUTED_VALUE"""),16.74)</f>
        <v>16.74</v>
      </c>
      <c r="C1037" s="2">
        <f>IFERROR(__xludf.DUMMYFUNCTION("""COMPUTED_VALUE"""),16.78)</f>
        <v>16.78</v>
      </c>
      <c r="D1037" s="2">
        <f>IFERROR(__xludf.DUMMYFUNCTION("""COMPUTED_VALUE"""),16.43)</f>
        <v>16.43</v>
      </c>
      <c r="E1037" s="2">
        <f>IFERROR(__xludf.DUMMYFUNCTION("""COMPUTED_VALUE"""),16.54)</f>
        <v>16.54</v>
      </c>
      <c r="F1037" s="2">
        <f>IFERROR(__xludf.DUMMYFUNCTION("""COMPUTED_VALUE"""),5099061.0)</f>
        <v>5099061</v>
      </c>
    </row>
    <row r="1038">
      <c r="A1038" s="3">
        <f>IFERROR(__xludf.DUMMYFUNCTION("""COMPUTED_VALUE"""),41862.666666666664)</f>
        <v>41862.66667</v>
      </c>
      <c r="B1038" s="2">
        <f>IFERROR(__xludf.DUMMYFUNCTION("""COMPUTED_VALUE"""),17.01)</f>
        <v>17.01</v>
      </c>
      <c r="C1038" s="2">
        <f>IFERROR(__xludf.DUMMYFUNCTION("""COMPUTED_VALUE"""),17.58)</f>
        <v>17.58</v>
      </c>
      <c r="D1038" s="2">
        <f>IFERROR(__xludf.DUMMYFUNCTION("""COMPUTED_VALUE"""),17.0)</f>
        <v>17</v>
      </c>
      <c r="E1038" s="2">
        <f>IFERROR(__xludf.DUMMYFUNCTION("""COMPUTED_VALUE"""),17.29)</f>
        <v>17.29</v>
      </c>
      <c r="F1038" s="2">
        <f>IFERROR(__xludf.DUMMYFUNCTION("""COMPUTED_VALUE"""),8101276.0)</f>
        <v>8101276</v>
      </c>
    </row>
    <row r="1039">
      <c r="A1039" s="3">
        <f>IFERROR(__xludf.DUMMYFUNCTION("""COMPUTED_VALUE"""),41863.666666666664)</f>
        <v>41863.66667</v>
      </c>
      <c r="B1039" s="2">
        <f>IFERROR(__xludf.DUMMYFUNCTION("""COMPUTED_VALUE"""),17.21)</f>
        <v>17.21</v>
      </c>
      <c r="C1039" s="2">
        <f>IFERROR(__xludf.DUMMYFUNCTION("""COMPUTED_VALUE"""),17.35)</f>
        <v>17.35</v>
      </c>
      <c r="D1039" s="2">
        <f>IFERROR(__xludf.DUMMYFUNCTION("""COMPUTED_VALUE"""),16.97)</f>
        <v>16.97</v>
      </c>
      <c r="E1039" s="2">
        <f>IFERROR(__xludf.DUMMYFUNCTION("""COMPUTED_VALUE"""),17.33)</f>
        <v>17.33</v>
      </c>
      <c r="F1039" s="2">
        <f>IFERROR(__xludf.DUMMYFUNCTION("""COMPUTED_VALUE"""),6390412.0)</f>
        <v>6390412</v>
      </c>
    </row>
    <row r="1040">
      <c r="A1040" s="3">
        <f>IFERROR(__xludf.DUMMYFUNCTION("""COMPUTED_VALUE"""),41864.666666666664)</f>
        <v>41864.66667</v>
      </c>
      <c r="B1040" s="2">
        <f>IFERROR(__xludf.DUMMYFUNCTION("""COMPUTED_VALUE"""),17.47)</f>
        <v>17.47</v>
      </c>
      <c r="C1040" s="2">
        <f>IFERROR(__xludf.DUMMYFUNCTION("""COMPUTED_VALUE"""),17.71)</f>
        <v>17.71</v>
      </c>
      <c r="D1040" s="2">
        <f>IFERROR(__xludf.DUMMYFUNCTION("""COMPUTED_VALUE"""),17.31)</f>
        <v>17.31</v>
      </c>
      <c r="E1040" s="2">
        <f>IFERROR(__xludf.DUMMYFUNCTION("""COMPUTED_VALUE"""),17.35)</f>
        <v>17.35</v>
      </c>
      <c r="F1040" s="2">
        <f>IFERROR(__xludf.DUMMYFUNCTION("""COMPUTED_VALUE"""),6932628.0)</f>
        <v>6932628</v>
      </c>
    </row>
    <row r="1041">
      <c r="A1041" s="3">
        <f>IFERROR(__xludf.DUMMYFUNCTION("""COMPUTED_VALUE"""),41865.666666666664)</f>
        <v>41865.66667</v>
      </c>
      <c r="B1041" s="2">
        <f>IFERROR(__xludf.DUMMYFUNCTION("""COMPUTED_VALUE"""),17.5)</f>
        <v>17.5</v>
      </c>
      <c r="C1041" s="2">
        <f>IFERROR(__xludf.DUMMYFUNCTION("""COMPUTED_VALUE"""),17.53)</f>
        <v>17.53</v>
      </c>
      <c r="D1041" s="2">
        <f>IFERROR(__xludf.DUMMYFUNCTION("""COMPUTED_VALUE"""),17.24)</f>
        <v>17.24</v>
      </c>
      <c r="E1041" s="2">
        <f>IFERROR(__xludf.DUMMYFUNCTION("""COMPUTED_VALUE"""),17.43)</f>
        <v>17.43</v>
      </c>
      <c r="F1041" s="2">
        <f>IFERROR(__xludf.DUMMYFUNCTION("""COMPUTED_VALUE"""),4126634.0)</f>
        <v>4126634</v>
      </c>
    </row>
    <row r="1042">
      <c r="A1042" s="3">
        <f>IFERROR(__xludf.DUMMYFUNCTION("""COMPUTED_VALUE"""),41866.666666666664)</f>
        <v>41866.66667</v>
      </c>
      <c r="B1042" s="2">
        <f>IFERROR(__xludf.DUMMYFUNCTION("""COMPUTED_VALUE"""),17.46)</f>
        <v>17.46</v>
      </c>
      <c r="C1042" s="2">
        <f>IFERROR(__xludf.DUMMYFUNCTION("""COMPUTED_VALUE"""),17.47)</f>
        <v>17.47</v>
      </c>
      <c r="D1042" s="2">
        <f>IFERROR(__xludf.DUMMYFUNCTION("""COMPUTED_VALUE"""),17.23)</f>
        <v>17.23</v>
      </c>
      <c r="E1042" s="2">
        <f>IFERROR(__xludf.DUMMYFUNCTION("""COMPUTED_VALUE"""),17.47)</f>
        <v>17.47</v>
      </c>
      <c r="F1042" s="2">
        <f>IFERROR(__xludf.DUMMYFUNCTION("""COMPUTED_VALUE"""),3867874.0)</f>
        <v>3867874</v>
      </c>
    </row>
    <row r="1043">
      <c r="A1043" s="3">
        <f>IFERROR(__xludf.DUMMYFUNCTION("""COMPUTED_VALUE"""),41869.666666666664)</f>
        <v>41869.66667</v>
      </c>
      <c r="B1043" s="2">
        <f>IFERROR(__xludf.DUMMYFUNCTION("""COMPUTED_VALUE"""),17.55)</f>
        <v>17.55</v>
      </c>
      <c r="C1043" s="2">
        <f>IFERROR(__xludf.DUMMYFUNCTION("""COMPUTED_VALUE"""),17.82)</f>
        <v>17.82</v>
      </c>
      <c r="D1043" s="2">
        <f>IFERROR(__xludf.DUMMYFUNCTION("""COMPUTED_VALUE"""),17.32)</f>
        <v>17.32</v>
      </c>
      <c r="E1043" s="2">
        <f>IFERROR(__xludf.DUMMYFUNCTION("""COMPUTED_VALUE"""),17.33)</f>
        <v>17.33</v>
      </c>
      <c r="F1043" s="2">
        <f>IFERROR(__xludf.DUMMYFUNCTION("""COMPUTED_VALUE"""),5849231.0)</f>
        <v>5849231</v>
      </c>
    </row>
    <row r="1044">
      <c r="A1044" s="3">
        <f>IFERROR(__xludf.DUMMYFUNCTION("""COMPUTED_VALUE"""),41870.666666666664)</f>
        <v>41870.66667</v>
      </c>
      <c r="B1044" s="2">
        <f>IFERROR(__xludf.DUMMYFUNCTION("""COMPUTED_VALUE"""),17.26)</f>
        <v>17.26</v>
      </c>
      <c r="C1044" s="2">
        <f>IFERROR(__xludf.DUMMYFUNCTION("""COMPUTED_VALUE"""),17.29)</f>
        <v>17.29</v>
      </c>
      <c r="D1044" s="2">
        <f>IFERROR(__xludf.DUMMYFUNCTION("""COMPUTED_VALUE"""),16.77)</f>
        <v>16.77</v>
      </c>
      <c r="E1044" s="2">
        <f>IFERROR(__xludf.DUMMYFUNCTION("""COMPUTED_VALUE"""),17.12)</f>
        <v>17.12</v>
      </c>
      <c r="F1044" s="2">
        <f>IFERROR(__xludf.DUMMYFUNCTION("""COMPUTED_VALUE"""),5340136.0)</f>
        <v>5340136</v>
      </c>
    </row>
    <row r="1045">
      <c r="A1045" s="3">
        <f>IFERROR(__xludf.DUMMYFUNCTION("""COMPUTED_VALUE"""),41871.666666666664)</f>
        <v>41871.66667</v>
      </c>
      <c r="B1045" s="2">
        <f>IFERROR(__xludf.DUMMYFUNCTION("""COMPUTED_VALUE"""),16.97)</f>
        <v>16.97</v>
      </c>
      <c r="C1045" s="2">
        <f>IFERROR(__xludf.DUMMYFUNCTION("""COMPUTED_VALUE"""),17.25)</f>
        <v>17.25</v>
      </c>
      <c r="D1045" s="2">
        <f>IFERROR(__xludf.DUMMYFUNCTION("""COMPUTED_VALUE"""),16.87)</f>
        <v>16.87</v>
      </c>
      <c r="E1045" s="2">
        <f>IFERROR(__xludf.DUMMYFUNCTION("""COMPUTED_VALUE"""),17.05)</f>
        <v>17.05</v>
      </c>
      <c r="F1045" s="2">
        <f>IFERROR(__xludf.DUMMYFUNCTION("""COMPUTED_VALUE"""),3027863.0)</f>
        <v>3027863</v>
      </c>
    </row>
    <row r="1046">
      <c r="A1046" s="3">
        <f>IFERROR(__xludf.DUMMYFUNCTION("""COMPUTED_VALUE"""),41872.666666666664)</f>
        <v>41872.66667</v>
      </c>
      <c r="B1046" s="2">
        <f>IFERROR(__xludf.DUMMYFUNCTION("""COMPUTED_VALUE"""),17.1)</f>
        <v>17.1</v>
      </c>
      <c r="C1046" s="2">
        <f>IFERROR(__xludf.DUMMYFUNCTION("""COMPUTED_VALUE"""),17.25)</f>
        <v>17.25</v>
      </c>
      <c r="D1046" s="2">
        <f>IFERROR(__xludf.DUMMYFUNCTION("""COMPUTED_VALUE"""),16.88)</f>
        <v>16.88</v>
      </c>
      <c r="E1046" s="2">
        <f>IFERROR(__xludf.DUMMYFUNCTION("""COMPUTED_VALUE"""),16.96)</f>
        <v>16.96</v>
      </c>
      <c r="F1046" s="2">
        <f>IFERROR(__xludf.DUMMYFUNCTION("""COMPUTED_VALUE"""),2919241.0)</f>
        <v>2919241</v>
      </c>
    </row>
    <row r="1047">
      <c r="A1047" s="3">
        <f>IFERROR(__xludf.DUMMYFUNCTION("""COMPUTED_VALUE"""),41873.666666666664)</f>
        <v>41873.66667</v>
      </c>
      <c r="B1047" s="2">
        <f>IFERROR(__xludf.DUMMYFUNCTION("""COMPUTED_VALUE"""),17.0)</f>
        <v>17</v>
      </c>
      <c r="C1047" s="2">
        <f>IFERROR(__xludf.DUMMYFUNCTION("""COMPUTED_VALUE"""),17.13)</f>
        <v>17.13</v>
      </c>
      <c r="D1047" s="2">
        <f>IFERROR(__xludf.DUMMYFUNCTION("""COMPUTED_VALUE"""),16.84)</f>
        <v>16.84</v>
      </c>
      <c r="E1047" s="2">
        <f>IFERROR(__xludf.DUMMYFUNCTION("""COMPUTED_VALUE"""),17.12)</f>
        <v>17.12</v>
      </c>
      <c r="F1047" s="2">
        <f>IFERROR(__xludf.DUMMYFUNCTION("""COMPUTED_VALUE"""),2836959.0)</f>
        <v>2836959</v>
      </c>
    </row>
    <row r="1048">
      <c r="A1048" s="3">
        <f>IFERROR(__xludf.DUMMYFUNCTION("""COMPUTED_VALUE"""),41876.666666666664)</f>
        <v>41876.66667</v>
      </c>
      <c r="B1048" s="2">
        <f>IFERROR(__xludf.DUMMYFUNCTION("""COMPUTED_VALUE"""),17.21)</f>
        <v>17.21</v>
      </c>
      <c r="C1048" s="2">
        <f>IFERROR(__xludf.DUMMYFUNCTION("""COMPUTED_VALUE"""),17.58)</f>
        <v>17.58</v>
      </c>
      <c r="D1048" s="2">
        <f>IFERROR(__xludf.DUMMYFUNCTION("""COMPUTED_VALUE"""),17.21)</f>
        <v>17.21</v>
      </c>
      <c r="E1048" s="2">
        <f>IFERROR(__xludf.DUMMYFUNCTION("""COMPUTED_VALUE"""),17.5)</f>
        <v>17.5</v>
      </c>
      <c r="F1048" s="2">
        <f>IFERROR(__xludf.DUMMYFUNCTION("""COMPUTED_VALUE"""),4318053.0)</f>
        <v>4318053</v>
      </c>
    </row>
    <row r="1049">
      <c r="A1049" s="3">
        <f>IFERROR(__xludf.DUMMYFUNCTION("""COMPUTED_VALUE"""),41877.666666666664)</f>
        <v>41877.66667</v>
      </c>
      <c r="B1049" s="2">
        <f>IFERROR(__xludf.DUMMYFUNCTION("""COMPUTED_VALUE"""),17.66)</f>
        <v>17.66</v>
      </c>
      <c r="C1049" s="2">
        <f>IFERROR(__xludf.DUMMYFUNCTION("""COMPUTED_VALUE"""),17.7)</f>
        <v>17.7</v>
      </c>
      <c r="D1049" s="2">
        <f>IFERROR(__xludf.DUMMYFUNCTION("""COMPUTED_VALUE"""),17.44)</f>
        <v>17.44</v>
      </c>
      <c r="E1049" s="2">
        <f>IFERROR(__xludf.DUMMYFUNCTION("""COMPUTED_VALUE"""),17.45)</f>
        <v>17.45</v>
      </c>
      <c r="F1049" s="2">
        <f>IFERROR(__xludf.DUMMYFUNCTION("""COMPUTED_VALUE"""),3822572.0)</f>
        <v>3822572</v>
      </c>
    </row>
    <row r="1050">
      <c r="A1050" s="3">
        <f>IFERROR(__xludf.DUMMYFUNCTION("""COMPUTED_VALUE"""),41878.666666666664)</f>
        <v>41878.66667</v>
      </c>
      <c r="B1050" s="2">
        <f>IFERROR(__xludf.DUMMYFUNCTION("""COMPUTED_VALUE"""),17.57)</f>
        <v>17.57</v>
      </c>
      <c r="C1050" s="2">
        <f>IFERROR(__xludf.DUMMYFUNCTION("""COMPUTED_VALUE"""),17.62)</f>
        <v>17.62</v>
      </c>
      <c r="D1050" s="2">
        <f>IFERROR(__xludf.DUMMYFUNCTION("""COMPUTED_VALUE"""),17.35)</f>
        <v>17.35</v>
      </c>
      <c r="E1050" s="2">
        <f>IFERROR(__xludf.DUMMYFUNCTION("""COMPUTED_VALUE"""),17.55)</f>
        <v>17.55</v>
      </c>
      <c r="F1050" s="2">
        <f>IFERROR(__xludf.DUMMYFUNCTION("""COMPUTED_VALUE"""),2990532.0)</f>
        <v>2990532</v>
      </c>
    </row>
    <row r="1051">
      <c r="A1051" s="3">
        <f>IFERROR(__xludf.DUMMYFUNCTION("""COMPUTED_VALUE"""),41879.666666666664)</f>
        <v>41879.66667</v>
      </c>
      <c r="B1051" s="2">
        <f>IFERROR(__xludf.DUMMYFUNCTION("""COMPUTED_VALUE"""),17.46)</f>
        <v>17.46</v>
      </c>
      <c r="C1051" s="2">
        <f>IFERROR(__xludf.DUMMYFUNCTION("""COMPUTED_VALUE"""),17.63)</f>
        <v>17.63</v>
      </c>
      <c r="D1051" s="2">
        <f>IFERROR(__xludf.DUMMYFUNCTION("""COMPUTED_VALUE"""),17.44)</f>
        <v>17.44</v>
      </c>
      <c r="E1051" s="2">
        <f>IFERROR(__xludf.DUMMYFUNCTION("""COMPUTED_VALUE"""),17.59)</f>
        <v>17.59</v>
      </c>
      <c r="F1051" s="2">
        <f>IFERROR(__xludf.DUMMYFUNCTION("""COMPUTED_VALUE"""),2854737.0)</f>
        <v>2854737</v>
      </c>
    </row>
    <row r="1052">
      <c r="A1052" s="3">
        <f>IFERROR(__xludf.DUMMYFUNCTION("""COMPUTED_VALUE"""),41880.666666666664)</f>
        <v>41880.66667</v>
      </c>
      <c r="B1052" s="2">
        <f>IFERROR(__xludf.DUMMYFUNCTION("""COMPUTED_VALUE"""),17.91)</f>
        <v>17.91</v>
      </c>
      <c r="C1052" s="2">
        <f>IFERROR(__xludf.DUMMYFUNCTION("""COMPUTED_VALUE"""),18.13)</f>
        <v>18.13</v>
      </c>
      <c r="D1052" s="2">
        <f>IFERROR(__xludf.DUMMYFUNCTION("""COMPUTED_VALUE"""),17.83)</f>
        <v>17.83</v>
      </c>
      <c r="E1052" s="2">
        <f>IFERROR(__xludf.DUMMYFUNCTION("""COMPUTED_VALUE"""),17.98)</f>
        <v>17.98</v>
      </c>
      <c r="F1052" s="2">
        <f>IFERROR(__xludf.DUMMYFUNCTION("""COMPUTED_VALUE"""),6453958.0)</f>
        <v>6453958</v>
      </c>
    </row>
    <row r="1053">
      <c r="A1053" s="3">
        <f>IFERROR(__xludf.DUMMYFUNCTION("""COMPUTED_VALUE"""),41884.666666666664)</f>
        <v>41884.66667</v>
      </c>
      <c r="B1053" s="2">
        <f>IFERROR(__xludf.DUMMYFUNCTION("""COMPUTED_VALUE"""),18.34)</f>
        <v>18.34</v>
      </c>
      <c r="C1053" s="2">
        <f>IFERROR(__xludf.DUMMYFUNCTION("""COMPUTED_VALUE"""),18.99)</f>
        <v>18.99</v>
      </c>
      <c r="D1053" s="2">
        <f>IFERROR(__xludf.DUMMYFUNCTION("""COMPUTED_VALUE"""),18.29)</f>
        <v>18.29</v>
      </c>
      <c r="E1053" s="2">
        <f>IFERROR(__xludf.DUMMYFUNCTION("""COMPUTED_VALUE"""),18.94)</f>
        <v>18.94</v>
      </c>
      <c r="F1053" s="2">
        <f>IFERROR(__xludf.DUMMYFUNCTION("""COMPUTED_VALUE"""),9852351.0)</f>
        <v>9852351</v>
      </c>
    </row>
    <row r="1054">
      <c r="A1054" s="3">
        <f>IFERROR(__xludf.DUMMYFUNCTION("""COMPUTED_VALUE"""),41885.666666666664)</f>
        <v>41885.66667</v>
      </c>
      <c r="B1054" s="2">
        <f>IFERROR(__xludf.DUMMYFUNCTION("""COMPUTED_VALUE"""),19.17)</f>
        <v>19.17</v>
      </c>
      <c r="C1054" s="2">
        <f>IFERROR(__xludf.DUMMYFUNCTION("""COMPUTED_VALUE"""),19.2)</f>
        <v>19.2</v>
      </c>
      <c r="D1054" s="2">
        <f>IFERROR(__xludf.DUMMYFUNCTION("""COMPUTED_VALUE"""),18.67)</f>
        <v>18.67</v>
      </c>
      <c r="E1054" s="2">
        <f>IFERROR(__xludf.DUMMYFUNCTION("""COMPUTED_VALUE"""),18.75)</f>
        <v>18.75</v>
      </c>
      <c r="F1054" s="2">
        <f>IFERROR(__xludf.DUMMYFUNCTION("""COMPUTED_VALUE"""),6779735.0)</f>
        <v>6779735</v>
      </c>
    </row>
    <row r="1055">
      <c r="A1055" s="3">
        <f>IFERROR(__xludf.DUMMYFUNCTION("""COMPUTED_VALUE"""),41886.666666666664)</f>
        <v>41886.66667</v>
      </c>
      <c r="B1055" s="2">
        <f>IFERROR(__xludf.DUMMYFUNCTION("""COMPUTED_VALUE"""),18.93)</f>
        <v>18.93</v>
      </c>
      <c r="C1055" s="2">
        <f>IFERROR(__xludf.DUMMYFUNCTION("""COMPUTED_VALUE"""),19.43)</f>
        <v>19.43</v>
      </c>
      <c r="D1055" s="2">
        <f>IFERROR(__xludf.DUMMYFUNCTION("""COMPUTED_VALUE"""),18.69)</f>
        <v>18.69</v>
      </c>
      <c r="E1055" s="2">
        <f>IFERROR(__xludf.DUMMYFUNCTION("""COMPUTED_VALUE"""),19.07)</f>
        <v>19.07</v>
      </c>
      <c r="F1055" s="2">
        <f>IFERROR(__xludf.DUMMYFUNCTION("""COMPUTED_VALUE"""),8341749.0)</f>
        <v>8341749</v>
      </c>
    </row>
    <row r="1056">
      <c r="A1056" s="3">
        <f>IFERROR(__xludf.DUMMYFUNCTION("""COMPUTED_VALUE"""),41887.666666666664)</f>
        <v>41887.66667</v>
      </c>
      <c r="B1056" s="2">
        <f>IFERROR(__xludf.DUMMYFUNCTION("""COMPUTED_VALUE"""),18.84)</f>
        <v>18.84</v>
      </c>
      <c r="C1056" s="2">
        <f>IFERROR(__xludf.DUMMYFUNCTION("""COMPUTED_VALUE"""),18.86)</f>
        <v>18.86</v>
      </c>
      <c r="D1056" s="2">
        <f>IFERROR(__xludf.DUMMYFUNCTION("""COMPUTED_VALUE"""),18.17)</f>
        <v>18.17</v>
      </c>
      <c r="E1056" s="2">
        <f>IFERROR(__xludf.DUMMYFUNCTION("""COMPUTED_VALUE"""),18.49)</f>
        <v>18.49</v>
      </c>
      <c r="F1056" s="2">
        <f>IFERROR(__xludf.DUMMYFUNCTION("""COMPUTED_VALUE"""),1.1176167E7)</f>
        <v>11176167</v>
      </c>
    </row>
    <row r="1057">
      <c r="A1057" s="3">
        <f>IFERROR(__xludf.DUMMYFUNCTION("""COMPUTED_VALUE"""),41890.666666666664)</f>
        <v>41890.66667</v>
      </c>
      <c r="B1057" s="2">
        <f>IFERROR(__xludf.DUMMYFUNCTION("""COMPUTED_VALUE"""),18.51)</f>
        <v>18.51</v>
      </c>
      <c r="C1057" s="2">
        <f>IFERROR(__xludf.DUMMYFUNCTION("""COMPUTED_VALUE"""),18.99)</f>
        <v>18.99</v>
      </c>
      <c r="D1057" s="2">
        <f>IFERROR(__xludf.DUMMYFUNCTION("""COMPUTED_VALUE"""),18.5)</f>
        <v>18.5</v>
      </c>
      <c r="E1057" s="2">
        <f>IFERROR(__xludf.DUMMYFUNCTION("""COMPUTED_VALUE"""),18.81)</f>
        <v>18.81</v>
      </c>
      <c r="F1057" s="2">
        <f>IFERROR(__xludf.DUMMYFUNCTION("""COMPUTED_VALUE"""),5505040.0)</f>
        <v>5505040</v>
      </c>
    </row>
    <row r="1058">
      <c r="A1058" s="3">
        <f>IFERROR(__xludf.DUMMYFUNCTION("""COMPUTED_VALUE"""),41891.666666666664)</f>
        <v>41891.66667</v>
      </c>
      <c r="B1058" s="2">
        <f>IFERROR(__xludf.DUMMYFUNCTION("""COMPUTED_VALUE"""),18.87)</f>
        <v>18.87</v>
      </c>
      <c r="C1058" s="2">
        <f>IFERROR(__xludf.DUMMYFUNCTION("""COMPUTED_VALUE"""),19.03)</f>
        <v>19.03</v>
      </c>
      <c r="D1058" s="2">
        <f>IFERROR(__xludf.DUMMYFUNCTION("""COMPUTED_VALUE"""),18.47)</f>
        <v>18.47</v>
      </c>
      <c r="E1058" s="2">
        <f>IFERROR(__xludf.DUMMYFUNCTION("""COMPUTED_VALUE"""),18.57)</f>
        <v>18.57</v>
      </c>
      <c r="F1058" s="2">
        <f>IFERROR(__xludf.DUMMYFUNCTION("""COMPUTED_VALUE"""),4567958.0)</f>
        <v>4567958</v>
      </c>
    </row>
    <row r="1059">
      <c r="A1059" s="3">
        <f>IFERROR(__xludf.DUMMYFUNCTION("""COMPUTED_VALUE"""),41892.666666666664)</f>
        <v>41892.66667</v>
      </c>
      <c r="B1059" s="2">
        <f>IFERROR(__xludf.DUMMYFUNCTION("""COMPUTED_VALUE"""),18.63)</f>
        <v>18.63</v>
      </c>
      <c r="C1059" s="2">
        <f>IFERROR(__xludf.DUMMYFUNCTION("""COMPUTED_VALUE"""),18.76)</f>
        <v>18.76</v>
      </c>
      <c r="D1059" s="2">
        <f>IFERROR(__xludf.DUMMYFUNCTION("""COMPUTED_VALUE"""),18.24)</f>
        <v>18.24</v>
      </c>
      <c r="E1059" s="2">
        <f>IFERROR(__xludf.DUMMYFUNCTION("""COMPUTED_VALUE"""),18.74)</f>
        <v>18.74</v>
      </c>
      <c r="F1059" s="2">
        <f>IFERROR(__xludf.DUMMYFUNCTION("""COMPUTED_VALUE"""),3785988.0)</f>
        <v>3785988</v>
      </c>
    </row>
    <row r="1060">
      <c r="A1060" s="3">
        <f>IFERROR(__xludf.DUMMYFUNCTION("""COMPUTED_VALUE"""),41893.666666666664)</f>
        <v>41893.66667</v>
      </c>
      <c r="B1060" s="2">
        <f>IFERROR(__xludf.DUMMYFUNCTION("""COMPUTED_VALUE"""),18.7)</f>
        <v>18.7</v>
      </c>
      <c r="C1060" s="2">
        <f>IFERROR(__xludf.DUMMYFUNCTION("""COMPUTED_VALUE"""),18.99)</f>
        <v>18.99</v>
      </c>
      <c r="D1060" s="2">
        <f>IFERROR(__xludf.DUMMYFUNCTION("""COMPUTED_VALUE"""),18.58)</f>
        <v>18.58</v>
      </c>
      <c r="E1060" s="2">
        <f>IFERROR(__xludf.DUMMYFUNCTION("""COMPUTED_VALUE"""),18.69)</f>
        <v>18.69</v>
      </c>
      <c r="F1060" s="2">
        <f>IFERROR(__xludf.DUMMYFUNCTION("""COMPUTED_VALUE"""),3768584.0)</f>
        <v>3768584</v>
      </c>
    </row>
    <row r="1061">
      <c r="A1061" s="3">
        <f>IFERROR(__xludf.DUMMYFUNCTION("""COMPUTED_VALUE"""),41894.666666666664)</f>
        <v>41894.66667</v>
      </c>
      <c r="B1061" s="2">
        <f>IFERROR(__xludf.DUMMYFUNCTION("""COMPUTED_VALUE"""),18.7)</f>
        <v>18.7</v>
      </c>
      <c r="C1061" s="2">
        <f>IFERROR(__xludf.DUMMYFUNCTION("""COMPUTED_VALUE"""),18.83)</f>
        <v>18.83</v>
      </c>
      <c r="D1061" s="2">
        <f>IFERROR(__xludf.DUMMYFUNCTION("""COMPUTED_VALUE"""),18.47)</f>
        <v>18.47</v>
      </c>
      <c r="E1061" s="2">
        <f>IFERROR(__xludf.DUMMYFUNCTION("""COMPUTED_VALUE"""),18.61)</f>
        <v>18.61</v>
      </c>
      <c r="F1061" s="2">
        <f>IFERROR(__xludf.DUMMYFUNCTION("""COMPUTED_VALUE"""),3328302.0)</f>
        <v>3328302</v>
      </c>
    </row>
    <row r="1062">
      <c r="A1062" s="3">
        <f>IFERROR(__xludf.DUMMYFUNCTION("""COMPUTED_VALUE"""),41897.666666666664)</f>
        <v>41897.66667</v>
      </c>
      <c r="B1062" s="2">
        <f>IFERROR(__xludf.DUMMYFUNCTION("""COMPUTED_VALUE"""),18.28)</f>
        <v>18.28</v>
      </c>
      <c r="C1062" s="2">
        <f>IFERROR(__xludf.DUMMYFUNCTION("""COMPUTED_VALUE"""),18.29)</f>
        <v>18.29</v>
      </c>
      <c r="D1062" s="2">
        <f>IFERROR(__xludf.DUMMYFUNCTION("""COMPUTED_VALUE"""),16.61)</f>
        <v>16.61</v>
      </c>
      <c r="E1062" s="2">
        <f>IFERROR(__xludf.DUMMYFUNCTION("""COMPUTED_VALUE"""),16.92)</f>
        <v>16.92</v>
      </c>
      <c r="F1062" s="2">
        <f>IFERROR(__xludf.DUMMYFUNCTION("""COMPUTED_VALUE"""),1.6464952E7)</f>
        <v>16464952</v>
      </c>
    </row>
    <row r="1063">
      <c r="A1063" s="3">
        <f>IFERROR(__xludf.DUMMYFUNCTION("""COMPUTED_VALUE"""),41898.666666666664)</f>
        <v>41898.66667</v>
      </c>
      <c r="B1063" s="2">
        <f>IFERROR(__xludf.DUMMYFUNCTION("""COMPUTED_VALUE"""),17.01)</f>
        <v>17.01</v>
      </c>
      <c r="C1063" s="2">
        <f>IFERROR(__xludf.DUMMYFUNCTION("""COMPUTED_VALUE"""),17.5)</f>
        <v>17.5</v>
      </c>
      <c r="D1063" s="2">
        <f>IFERROR(__xludf.DUMMYFUNCTION("""COMPUTED_VALUE"""),16.83)</f>
        <v>16.83</v>
      </c>
      <c r="E1063" s="2">
        <f>IFERROR(__xludf.DUMMYFUNCTION("""COMPUTED_VALUE"""),17.38)</f>
        <v>17.38</v>
      </c>
      <c r="F1063" s="2">
        <f>IFERROR(__xludf.DUMMYFUNCTION("""COMPUTED_VALUE"""),8303972.0)</f>
        <v>8303972</v>
      </c>
    </row>
    <row r="1064">
      <c r="A1064" s="3">
        <f>IFERROR(__xludf.DUMMYFUNCTION("""COMPUTED_VALUE"""),41899.666666666664)</f>
        <v>41899.66667</v>
      </c>
      <c r="B1064" s="2">
        <f>IFERROR(__xludf.DUMMYFUNCTION("""COMPUTED_VALUE"""),17.49)</f>
        <v>17.49</v>
      </c>
      <c r="C1064" s="2">
        <f>IFERROR(__xludf.DUMMYFUNCTION("""COMPUTED_VALUE"""),17.65)</f>
        <v>17.65</v>
      </c>
      <c r="D1064" s="2">
        <f>IFERROR(__xludf.DUMMYFUNCTION("""COMPUTED_VALUE"""),17.3)</f>
        <v>17.3</v>
      </c>
      <c r="E1064" s="2">
        <f>IFERROR(__xludf.DUMMYFUNCTION("""COMPUTED_VALUE"""),17.43)</f>
        <v>17.43</v>
      </c>
      <c r="F1064" s="2">
        <f>IFERROR(__xludf.DUMMYFUNCTION("""COMPUTED_VALUE"""),5179923.0)</f>
        <v>5179923</v>
      </c>
    </row>
    <row r="1065">
      <c r="A1065" s="3">
        <f>IFERROR(__xludf.DUMMYFUNCTION("""COMPUTED_VALUE"""),41900.666666666664)</f>
        <v>41900.66667</v>
      </c>
      <c r="B1065" s="2">
        <f>IFERROR(__xludf.DUMMYFUNCTION("""COMPUTED_VALUE"""),17.56)</f>
        <v>17.56</v>
      </c>
      <c r="C1065" s="2">
        <f>IFERROR(__xludf.DUMMYFUNCTION("""COMPUTED_VALUE"""),17.71)</f>
        <v>17.71</v>
      </c>
      <c r="D1065" s="2">
        <f>IFERROR(__xludf.DUMMYFUNCTION("""COMPUTED_VALUE"""),17.49)</f>
        <v>17.49</v>
      </c>
      <c r="E1065" s="2">
        <f>IFERROR(__xludf.DUMMYFUNCTION("""COMPUTED_VALUE"""),17.59)</f>
        <v>17.59</v>
      </c>
      <c r="F1065" s="2">
        <f>IFERROR(__xludf.DUMMYFUNCTION("""COMPUTED_VALUE"""),3699314.0)</f>
        <v>3699314</v>
      </c>
    </row>
    <row r="1066">
      <c r="A1066" s="3">
        <f>IFERROR(__xludf.DUMMYFUNCTION("""COMPUTED_VALUE"""),41901.666666666664)</f>
        <v>41901.66667</v>
      </c>
      <c r="B1066" s="2">
        <f>IFERROR(__xludf.DUMMYFUNCTION("""COMPUTED_VALUE"""),17.2)</f>
        <v>17.2</v>
      </c>
      <c r="C1066" s="2">
        <f>IFERROR(__xludf.DUMMYFUNCTION("""COMPUTED_VALUE"""),17.43)</f>
        <v>17.43</v>
      </c>
      <c r="D1066" s="2">
        <f>IFERROR(__xludf.DUMMYFUNCTION("""COMPUTED_VALUE"""),17.02)</f>
        <v>17.02</v>
      </c>
      <c r="E1066" s="2">
        <f>IFERROR(__xludf.DUMMYFUNCTION("""COMPUTED_VALUE"""),17.29)</f>
        <v>17.29</v>
      </c>
      <c r="F1066" s="2">
        <f>IFERROR(__xludf.DUMMYFUNCTION("""COMPUTED_VALUE"""),6811714.0)</f>
        <v>6811714</v>
      </c>
    </row>
    <row r="1067">
      <c r="A1067" s="3">
        <f>IFERROR(__xludf.DUMMYFUNCTION("""COMPUTED_VALUE"""),41904.666666666664)</f>
        <v>41904.66667</v>
      </c>
      <c r="B1067" s="2">
        <f>IFERROR(__xludf.DUMMYFUNCTION("""COMPUTED_VALUE"""),17.0)</f>
        <v>17</v>
      </c>
      <c r="C1067" s="2">
        <f>IFERROR(__xludf.DUMMYFUNCTION("""COMPUTED_VALUE"""),17.07)</f>
        <v>17.07</v>
      </c>
      <c r="D1067" s="2">
        <f>IFERROR(__xludf.DUMMYFUNCTION("""COMPUTED_VALUE"""),16.31)</f>
        <v>16.31</v>
      </c>
      <c r="E1067" s="2">
        <f>IFERROR(__xludf.DUMMYFUNCTION("""COMPUTED_VALUE"""),16.67)</f>
        <v>16.67</v>
      </c>
      <c r="F1067" s="2">
        <f>IFERROR(__xludf.DUMMYFUNCTION("""COMPUTED_VALUE"""),8222963.0)</f>
        <v>8222963</v>
      </c>
    </row>
    <row r="1068">
      <c r="A1068" s="3">
        <f>IFERROR(__xludf.DUMMYFUNCTION("""COMPUTED_VALUE"""),41905.666666666664)</f>
        <v>41905.66667</v>
      </c>
      <c r="B1068" s="2">
        <f>IFERROR(__xludf.DUMMYFUNCTION("""COMPUTED_VALUE"""),16.35)</f>
        <v>16.35</v>
      </c>
      <c r="C1068" s="2">
        <f>IFERROR(__xludf.DUMMYFUNCTION("""COMPUTED_VALUE"""),16.92)</f>
        <v>16.92</v>
      </c>
      <c r="D1068" s="2">
        <f>IFERROR(__xludf.DUMMYFUNCTION("""COMPUTED_VALUE"""),16.33)</f>
        <v>16.33</v>
      </c>
      <c r="E1068" s="2">
        <f>IFERROR(__xludf.DUMMYFUNCTION("""COMPUTED_VALUE"""),16.69)</f>
        <v>16.69</v>
      </c>
      <c r="F1068" s="2">
        <f>IFERROR(__xludf.DUMMYFUNCTION("""COMPUTED_VALUE"""),5660048.0)</f>
        <v>5660048</v>
      </c>
    </row>
    <row r="1069">
      <c r="A1069" s="3">
        <f>IFERROR(__xludf.DUMMYFUNCTION("""COMPUTED_VALUE"""),41906.666666666664)</f>
        <v>41906.66667</v>
      </c>
      <c r="B1069" s="2">
        <f>IFERROR(__xludf.DUMMYFUNCTION("""COMPUTED_VALUE"""),16.74)</f>
        <v>16.74</v>
      </c>
      <c r="C1069" s="2">
        <f>IFERROR(__xludf.DUMMYFUNCTION("""COMPUTED_VALUE"""),16.86)</f>
        <v>16.86</v>
      </c>
      <c r="D1069" s="2">
        <f>IFERROR(__xludf.DUMMYFUNCTION("""COMPUTED_VALUE"""),16.47)</f>
        <v>16.47</v>
      </c>
      <c r="E1069" s="2">
        <f>IFERROR(__xludf.DUMMYFUNCTION("""COMPUTED_VALUE"""),16.81)</f>
        <v>16.81</v>
      </c>
      <c r="F1069" s="2">
        <f>IFERROR(__xludf.DUMMYFUNCTION("""COMPUTED_VALUE"""),3754376.0)</f>
        <v>3754376</v>
      </c>
    </row>
    <row r="1070">
      <c r="A1070" s="3">
        <f>IFERROR(__xludf.DUMMYFUNCTION("""COMPUTED_VALUE"""),41907.666666666664)</f>
        <v>41907.66667</v>
      </c>
      <c r="B1070" s="2">
        <f>IFERROR(__xludf.DUMMYFUNCTION("""COMPUTED_VALUE"""),16.83)</f>
        <v>16.83</v>
      </c>
      <c r="C1070" s="2">
        <f>IFERROR(__xludf.DUMMYFUNCTION("""COMPUTED_VALUE"""),17.0)</f>
        <v>17</v>
      </c>
      <c r="D1070" s="2">
        <f>IFERROR(__xludf.DUMMYFUNCTION("""COMPUTED_VALUE"""),16.41)</f>
        <v>16.41</v>
      </c>
      <c r="E1070" s="2">
        <f>IFERROR(__xludf.DUMMYFUNCTION("""COMPUTED_VALUE"""),16.46)</f>
        <v>16.46</v>
      </c>
      <c r="F1070" s="2">
        <f>IFERROR(__xludf.DUMMYFUNCTION("""COMPUTED_VALUE"""),4843712.0)</f>
        <v>4843712</v>
      </c>
    </row>
    <row r="1071">
      <c r="A1071" s="3">
        <f>IFERROR(__xludf.DUMMYFUNCTION("""COMPUTED_VALUE"""),41908.666666666664)</f>
        <v>41908.66667</v>
      </c>
      <c r="B1071" s="2">
        <f>IFERROR(__xludf.DUMMYFUNCTION("""COMPUTED_VALUE"""),16.55)</f>
        <v>16.55</v>
      </c>
      <c r="C1071" s="2">
        <f>IFERROR(__xludf.DUMMYFUNCTION("""COMPUTED_VALUE"""),16.65)</f>
        <v>16.65</v>
      </c>
      <c r="D1071" s="2">
        <f>IFERROR(__xludf.DUMMYFUNCTION("""COMPUTED_VALUE"""),16.4)</f>
        <v>16.4</v>
      </c>
      <c r="E1071" s="2">
        <f>IFERROR(__xludf.DUMMYFUNCTION("""COMPUTED_VALUE"""),16.44)</f>
        <v>16.44</v>
      </c>
      <c r="F1071" s="2">
        <f>IFERROR(__xludf.DUMMYFUNCTION("""COMPUTED_VALUE"""),3798841.0)</f>
        <v>3798841</v>
      </c>
    </row>
    <row r="1072">
      <c r="A1072" s="3">
        <f>IFERROR(__xludf.DUMMYFUNCTION("""COMPUTED_VALUE"""),41911.666666666664)</f>
        <v>41911.66667</v>
      </c>
      <c r="B1072" s="2">
        <f>IFERROR(__xludf.DUMMYFUNCTION("""COMPUTED_VALUE"""),16.27)</f>
        <v>16.27</v>
      </c>
      <c r="C1072" s="2">
        <f>IFERROR(__xludf.DUMMYFUNCTION("""COMPUTED_VALUE"""),16.58)</f>
        <v>16.58</v>
      </c>
      <c r="D1072" s="2">
        <f>IFERROR(__xludf.DUMMYFUNCTION("""COMPUTED_VALUE"""),16.09)</f>
        <v>16.09</v>
      </c>
      <c r="E1072" s="2">
        <f>IFERROR(__xludf.DUMMYFUNCTION("""COMPUTED_VALUE"""),16.35)</f>
        <v>16.35</v>
      </c>
      <c r="F1072" s="2">
        <f>IFERROR(__xludf.DUMMYFUNCTION("""COMPUTED_VALUE"""),4854687.0)</f>
        <v>4854687</v>
      </c>
    </row>
    <row r="1073">
      <c r="A1073" s="3">
        <f>IFERROR(__xludf.DUMMYFUNCTION("""COMPUTED_VALUE"""),41912.666666666664)</f>
        <v>41912.66667</v>
      </c>
      <c r="B1073" s="2">
        <f>IFERROR(__xludf.DUMMYFUNCTION("""COMPUTED_VALUE"""),16.46)</f>
        <v>16.46</v>
      </c>
      <c r="C1073" s="2">
        <f>IFERROR(__xludf.DUMMYFUNCTION("""COMPUTED_VALUE"""),16.51)</f>
        <v>16.51</v>
      </c>
      <c r="D1073" s="2">
        <f>IFERROR(__xludf.DUMMYFUNCTION("""COMPUTED_VALUE"""),16.01)</f>
        <v>16.01</v>
      </c>
      <c r="E1073" s="2">
        <f>IFERROR(__xludf.DUMMYFUNCTION("""COMPUTED_VALUE"""),16.18)</f>
        <v>16.18</v>
      </c>
      <c r="F1073" s="2">
        <f>IFERROR(__xludf.DUMMYFUNCTION("""COMPUTED_VALUE"""),4248127.0)</f>
        <v>4248127</v>
      </c>
    </row>
    <row r="1074">
      <c r="A1074" s="3">
        <f>IFERROR(__xludf.DUMMYFUNCTION("""COMPUTED_VALUE"""),41913.666666666664)</f>
        <v>41913.66667</v>
      </c>
      <c r="B1074" s="2">
        <f>IFERROR(__xludf.DUMMYFUNCTION("""COMPUTED_VALUE"""),16.15)</f>
        <v>16.15</v>
      </c>
      <c r="C1074" s="2">
        <f>IFERROR(__xludf.DUMMYFUNCTION("""COMPUTED_VALUE"""),16.18)</f>
        <v>16.18</v>
      </c>
      <c r="D1074" s="2">
        <f>IFERROR(__xludf.DUMMYFUNCTION("""COMPUTED_VALUE"""),15.71)</f>
        <v>15.71</v>
      </c>
      <c r="E1074" s="2">
        <f>IFERROR(__xludf.DUMMYFUNCTION("""COMPUTED_VALUE"""),16.02)</f>
        <v>16.02</v>
      </c>
      <c r="F1074" s="2">
        <f>IFERROR(__xludf.DUMMYFUNCTION("""COMPUTED_VALUE"""),5946510.0)</f>
        <v>5946510</v>
      </c>
    </row>
    <row r="1075">
      <c r="A1075" s="3">
        <f>IFERROR(__xludf.DUMMYFUNCTION("""COMPUTED_VALUE"""),41914.666666666664)</f>
        <v>41914.66667</v>
      </c>
      <c r="B1075" s="2">
        <f>IFERROR(__xludf.DUMMYFUNCTION("""COMPUTED_VALUE"""),16.68)</f>
        <v>16.68</v>
      </c>
      <c r="C1075" s="2">
        <f>IFERROR(__xludf.DUMMYFUNCTION("""COMPUTED_VALUE"""),16.85)</f>
        <v>16.85</v>
      </c>
      <c r="D1075" s="2">
        <f>IFERROR(__xludf.DUMMYFUNCTION("""COMPUTED_VALUE"""),16.36)</f>
        <v>16.36</v>
      </c>
      <c r="E1075" s="2">
        <f>IFERROR(__xludf.DUMMYFUNCTION("""COMPUTED_VALUE"""),16.76)</f>
        <v>16.76</v>
      </c>
      <c r="F1075" s="2">
        <f>IFERROR(__xludf.DUMMYFUNCTION("""COMPUTED_VALUE"""),9002001.0)</f>
        <v>9002001</v>
      </c>
    </row>
    <row r="1076">
      <c r="A1076" s="3">
        <f>IFERROR(__xludf.DUMMYFUNCTION("""COMPUTED_VALUE"""),41915.666666666664)</f>
        <v>41915.66667</v>
      </c>
      <c r="B1076" s="2">
        <f>IFERROR(__xludf.DUMMYFUNCTION("""COMPUTED_VALUE"""),16.87)</f>
        <v>16.87</v>
      </c>
      <c r="C1076" s="2">
        <f>IFERROR(__xludf.DUMMYFUNCTION("""COMPUTED_VALUE"""),17.1)</f>
        <v>17.1</v>
      </c>
      <c r="D1076" s="2">
        <f>IFERROR(__xludf.DUMMYFUNCTION("""COMPUTED_VALUE"""),16.74)</f>
        <v>16.74</v>
      </c>
      <c r="E1076" s="2">
        <f>IFERROR(__xludf.DUMMYFUNCTION("""COMPUTED_VALUE"""),17.01)</f>
        <v>17.01</v>
      </c>
      <c r="F1076" s="2">
        <f>IFERROR(__xludf.DUMMYFUNCTION("""COMPUTED_VALUE"""),5408665.0)</f>
        <v>5408665</v>
      </c>
    </row>
    <row r="1077">
      <c r="A1077" s="3">
        <f>IFERROR(__xludf.DUMMYFUNCTION("""COMPUTED_VALUE"""),41918.666666666664)</f>
        <v>41918.66667</v>
      </c>
      <c r="B1077" s="2">
        <f>IFERROR(__xludf.DUMMYFUNCTION("""COMPUTED_VALUE"""),17.28)</f>
        <v>17.28</v>
      </c>
      <c r="C1077" s="2">
        <f>IFERROR(__xludf.DUMMYFUNCTION("""COMPUTED_VALUE"""),17.5)</f>
        <v>17.5</v>
      </c>
      <c r="D1077" s="2">
        <f>IFERROR(__xludf.DUMMYFUNCTION("""COMPUTED_VALUE"""),17.19)</f>
        <v>17.19</v>
      </c>
      <c r="E1077" s="2">
        <f>IFERROR(__xludf.DUMMYFUNCTION("""COMPUTED_VALUE"""),17.37)</f>
        <v>17.37</v>
      </c>
      <c r="F1077" s="2">
        <f>IFERROR(__xludf.DUMMYFUNCTION("""COMPUTED_VALUE"""),7719055.0)</f>
        <v>7719055</v>
      </c>
    </row>
    <row r="1078">
      <c r="A1078" s="3">
        <f>IFERROR(__xludf.DUMMYFUNCTION("""COMPUTED_VALUE"""),41919.666666666664)</f>
        <v>41919.66667</v>
      </c>
      <c r="B1078" s="2">
        <f>IFERROR(__xludf.DUMMYFUNCTION("""COMPUTED_VALUE"""),17.23)</f>
        <v>17.23</v>
      </c>
      <c r="C1078" s="2">
        <f>IFERROR(__xludf.DUMMYFUNCTION("""COMPUTED_VALUE"""),17.43)</f>
        <v>17.43</v>
      </c>
      <c r="D1078" s="2">
        <f>IFERROR(__xludf.DUMMYFUNCTION("""COMPUTED_VALUE"""),17.05)</f>
        <v>17.05</v>
      </c>
      <c r="E1078" s="2">
        <f>IFERROR(__xludf.DUMMYFUNCTION("""COMPUTED_VALUE"""),17.3)</f>
        <v>17.3</v>
      </c>
      <c r="F1078" s="2">
        <f>IFERROR(__xludf.DUMMYFUNCTION("""COMPUTED_VALUE"""),4491569.0)</f>
        <v>4491569</v>
      </c>
    </row>
    <row r="1079">
      <c r="A1079" s="3">
        <f>IFERROR(__xludf.DUMMYFUNCTION("""COMPUTED_VALUE"""),41920.666666666664)</f>
        <v>41920.66667</v>
      </c>
      <c r="B1079" s="2">
        <f>IFERROR(__xludf.DUMMYFUNCTION("""COMPUTED_VALUE"""),17.35)</f>
        <v>17.35</v>
      </c>
      <c r="C1079" s="2">
        <f>IFERROR(__xludf.DUMMYFUNCTION("""COMPUTED_VALUE"""),17.53)</f>
        <v>17.53</v>
      </c>
      <c r="D1079" s="2">
        <f>IFERROR(__xludf.DUMMYFUNCTION("""COMPUTED_VALUE"""),16.84)</f>
        <v>16.84</v>
      </c>
      <c r="E1079" s="2">
        <f>IFERROR(__xludf.DUMMYFUNCTION("""COMPUTED_VALUE"""),17.29)</f>
        <v>17.29</v>
      </c>
      <c r="F1079" s="2">
        <f>IFERROR(__xludf.DUMMYFUNCTION("""COMPUTED_VALUE"""),5062615.0)</f>
        <v>5062615</v>
      </c>
    </row>
    <row r="1080">
      <c r="A1080" s="3">
        <f>IFERROR(__xludf.DUMMYFUNCTION("""COMPUTED_VALUE"""),41921.666666666664)</f>
        <v>41921.66667</v>
      </c>
      <c r="B1080" s="2">
        <f>IFERROR(__xludf.DUMMYFUNCTION("""COMPUTED_VALUE"""),17.48)</f>
        <v>17.48</v>
      </c>
      <c r="C1080" s="2">
        <f>IFERROR(__xludf.DUMMYFUNCTION("""COMPUTED_VALUE"""),17.7)</f>
        <v>17.7</v>
      </c>
      <c r="D1080" s="2">
        <f>IFERROR(__xludf.DUMMYFUNCTION("""COMPUTED_VALUE"""),16.96)</f>
        <v>16.96</v>
      </c>
      <c r="E1080" s="2">
        <f>IFERROR(__xludf.DUMMYFUNCTION("""COMPUTED_VALUE"""),17.13)</f>
        <v>17.13</v>
      </c>
      <c r="F1080" s="2">
        <f>IFERROR(__xludf.DUMMYFUNCTION("""COMPUTED_VALUE"""),7361316.0)</f>
        <v>7361316</v>
      </c>
    </row>
    <row r="1081">
      <c r="A1081" s="3">
        <f>IFERROR(__xludf.DUMMYFUNCTION("""COMPUTED_VALUE"""),41922.666666666664)</f>
        <v>41922.66667</v>
      </c>
      <c r="B1081" s="2">
        <f>IFERROR(__xludf.DUMMYFUNCTION("""COMPUTED_VALUE"""),16.31)</f>
        <v>16.31</v>
      </c>
      <c r="C1081" s="2">
        <f>IFERROR(__xludf.DUMMYFUNCTION("""COMPUTED_VALUE"""),16.39)</f>
        <v>16.39</v>
      </c>
      <c r="D1081" s="2">
        <f>IFERROR(__xludf.DUMMYFUNCTION("""COMPUTED_VALUE"""),15.68)</f>
        <v>15.68</v>
      </c>
      <c r="E1081" s="2">
        <f>IFERROR(__xludf.DUMMYFUNCTION("""COMPUTED_VALUE"""),15.79)</f>
        <v>15.79</v>
      </c>
      <c r="F1081" s="2">
        <f>IFERROR(__xludf.DUMMYFUNCTION("""COMPUTED_VALUE"""),1.2898275E7)</f>
        <v>12898275</v>
      </c>
    </row>
    <row r="1082">
      <c r="A1082" s="3">
        <f>IFERROR(__xludf.DUMMYFUNCTION("""COMPUTED_VALUE"""),41925.666666666664)</f>
        <v>41925.66667</v>
      </c>
      <c r="B1082" s="2">
        <f>IFERROR(__xludf.DUMMYFUNCTION("""COMPUTED_VALUE"""),15.91)</f>
        <v>15.91</v>
      </c>
      <c r="C1082" s="2">
        <f>IFERROR(__xludf.DUMMYFUNCTION("""COMPUTED_VALUE"""),15.93)</f>
        <v>15.93</v>
      </c>
      <c r="D1082" s="2">
        <f>IFERROR(__xludf.DUMMYFUNCTION("""COMPUTED_VALUE"""),14.73)</f>
        <v>14.73</v>
      </c>
      <c r="E1082" s="2">
        <f>IFERROR(__xludf.DUMMYFUNCTION("""COMPUTED_VALUE"""),14.97)</f>
        <v>14.97</v>
      </c>
      <c r="F1082" s="2">
        <f>IFERROR(__xludf.DUMMYFUNCTION("""COMPUTED_VALUE"""),1.1276552E7)</f>
        <v>11276552</v>
      </c>
    </row>
    <row r="1083">
      <c r="A1083" s="3">
        <f>IFERROR(__xludf.DUMMYFUNCTION("""COMPUTED_VALUE"""),41926.666666666664)</f>
        <v>41926.66667</v>
      </c>
      <c r="B1083" s="2">
        <f>IFERROR(__xludf.DUMMYFUNCTION("""COMPUTED_VALUE"""),15.22)</f>
        <v>15.22</v>
      </c>
      <c r="C1083" s="2">
        <f>IFERROR(__xludf.DUMMYFUNCTION("""COMPUTED_VALUE"""),15.5)</f>
        <v>15.5</v>
      </c>
      <c r="D1083" s="2">
        <f>IFERROR(__xludf.DUMMYFUNCTION("""COMPUTED_VALUE"""),14.87)</f>
        <v>14.87</v>
      </c>
      <c r="E1083" s="2">
        <f>IFERROR(__xludf.DUMMYFUNCTION("""COMPUTED_VALUE"""),15.14)</f>
        <v>15.14</v>
      </c>
      <c r="F1083" s="2">
        <f>IFERROR(__xludf.DUMMYFUNCTION("""COMPUTED_VALUE"""),7112339.0)</f>
        <v>7112339</v>
      </c>
    </row>
    <row r="1084">
      <c r="A1084" s="3">
        <f>IFERROR(__xludf.DUMMYFUNCTION("""COMPUTED_VALUE"""),41927.666666666664)</f>
        <v>41927.66667</v>
      </c>
      <c r="B1084" s="2">
        <f>IFERROR(__xludf.DUMMYFUNCTION("""COMPUTED_VALUE"""),14.67)</f>
        <v>14.67</v>
      </c>
      <c r="C1084" s="2">
        <f>IFERROR(__xludf.DUMMYFUNCTION("""COMPUTED_VALUE"""),15.4)</f>
        <v>15.4</v>
      </c>
      <c r="D1084" s="2">
        <f>IFERROR(__xludf.DUMMYFUNCTION("""COMPUTED_VALUE"""),14.49)</f>
        <v>14.49</v>
      </c>
      <c r="E1084" s="2">
        <f>IFERROR(__xludf.DUMMYFUNCTION("""COMPUTED_VALUE"""),15.31)</f>
        <v>15.31</v>
      </c>
      <c r="F1084" s="2">
        <f>IFERROR(__xludf.DUMMYFUNCTION("""COMPUTED_VALUE"""),9151648.0)</f>
        <v>9151648</v>
      </c>
    </row>
    <row r="1085">
      <c r="A1085" s="3">
        <f>IFERROR(__xludf.DUMMYFUNCTION("""COMPUTED_VALUE"""),41928.666666666664)</f>
        <v>41928.66667</v>
      </c>
      <c r="B1085" s="2">
        <f>IFERROR(__xludf.DUMMYFUNCTION("""COMPUTED_VALUE"""),14.64)</f>
        <v>14.64</v>
      </c>
      <c r="C1085" s="2">
        <f>IFERROR(__xludf.DUMMYFUNCTION("""COMPUTED_VALUE"""),15.33)</f>
        <v>15.33</v>
      </c>
      <c r="D1085" s="2">
        <f>IFERROR(__xludf.DUMMYFUNCTION("""COMPUTED_VALUE"""),14.61)</f>
        <v>14.61</v>
      </c>
      <c r="E1085" s="2">
        <f>IFERROR(__xludf.DUMMYFUNCTION("""COMPUTED_VALUE"""),15.09)</f>
        <v>15.09</v>
      </c>
      <c r="F1085" s="2">
        <f>IFERROR(__xludf.DUMMYFUNCTION("""COMPUTED_VALUE"""),5404565.0)</f>
        <v>5404565</v>
      </c>
    </row>
    <row r="1086">
      <c r="A1086" s="3">
        <f>IFERROR(__xludf.DUMMYFUNCTION("""COMPUTED_VALUE"""),41929.666666666664)</f>
        <v>41929.66667</v>
      </c>
      <c r="B1086" s="2">
        <f>IFERROR(__xludf.DUMMYFUNCTION("""COMPUTED_VALUE"""),15.56)</f>
        <v>15.56</v>
      </c>
      <c r="C1086" s="2">
        <f>IFERROR(__xludf.DUMMYFUNCTION("""COMPUTED_VALUE"""),15.65)</f>
        <v>15.65</v>
      </c>
      <c r="D1086" s="2">
        <f>IFERROR(__xludf.DUMMYFUNCTION("""COMPUTED_VALUE"""),15.1)</f>
        <v>15.1</v>
      </c>
      <c r="E1086" s="2">
        <f>IFERROR(__xludf.DUMMYFUNCTION("""COMPUTED_VALUE"""),15.17)</f>
        <v>15.17</v>
      </c>
      <c r="F1086" s="2">
        <f>IFERROR(__xludf.DUMMYFUNCTION("""COMPUTED_VALUE"""),1.055185E7)</f>
        <v>10551850</v>
      </c>
    </row>
    <row r="1087">
      <c r="A1087" s="3">
        <f>IFERROR(__xludf.DUMMYFUNCTION("""COMPUTED_VALUE"""),41932.666666666664)</f>
        <v>41932.66667</v>
      </c>
      <c r="B1087" s="2">
        <f>IFERROR(__xludf.DUMMYFUNCTION("""COMPUTED_VALUE"""),15.11)</f>
        <v>15.11</v>
      </c>
      <c r="C1087" s="2">
        <f>IFERROR(__xludf.DUMMYFUNCTION("""COMPUTED_VALUE"""),15.49)</f>
        <v>15.49</v>
      </c>
      <c r="D1087" s="2">
        <f>IFERROR(__xludf.DUMMYFUNCTION("""COMPUTED_VALUE"""),15.03)</f>
        <v>15.03</v>
      </c>
      <c r="E1087" s="2">
        <f>IFERROR(__xludf.DUMMYFUNCTION("""COMPUTED_VALUE"""),15.36)</f>
        <v>15.36</v>
      </c>
      <c r="F1087" s="2">
        <f>IFERROR(__xludf.DUMMYFUNCTION("""COMPUTED_VALUE"""),3499686.0)</f>
        <v>3499686</v>
      </c>
    </row>
    <row r="1088">
      <c r="A1088" s="3">
        <f>IFERROR(__xludf.DUMMYFUNCTION("""COMPUTED_VALUE"""),41933.666666666664)</f>
        <v>41933.66667</v>
      </c>
      <c r="B1088" s="2">
        <f>IFERROR(__xludf.DUMMYFUNCTION("""COMPUTED_VALUE"""),15.62)</f>
        <v>15.62</v>
      </c>
      <c r="C1088" s="2">
        <f>IFERROR(__xludf.DUMMYFUNCTION("""COMPUTED_VALUE"""),15.69)</f>
        <v>15.69</v>
      </c>
      <c r="D1088" s="2">
        <f>IFERROR(__xludf.DUMMYFUNCTION("""COMPUTED_VALUE"""),15.39)</f>
        <v>15.39</v>
      </c>
      <c r="E1088" s="2">
        <f>IFERROR(__xludf.DUMMYFUNCTION("""COMPUTED_VALUE"""),15.69)</f>
        <v>15.69</v>
      </c>
      <c r="F1088" s="2">
        <f>IFERROR(__xludf.DUMMYFUNCTION("""COMPUTED_VALUE"""),4130345.0)</f>
        <v>4130345</v>
      </c>
    </row>
    <row r="1089">
      <c r="A1089" s="3">
        <f>IFERROR(__xludf.DUMMYFUNCTION("""COMPUTED_VALUE"""),41934.666666666664)</f>
        <v>41934.66667</v>
      </c>
      <c r="B1089" s="2">
        <f>IFERROR(__xludf.DUMMYFUNCTION("""COMPUTED_VALUE"""),15.55)</f>
        <v>15.55</v>
      </c>
      <c r="C1089" s="2">
        <f>IFERROR(__xludf.DUMMYFUNCTION("""COMPUTED_VALUE"""),15.83)</f>
        <v>15.83</v>
      </c>
      <c r="D1089" s="2">
        <f>IFERROR(__xludf.DUMMYFUNCTION("""COMPUTED_VALUE"""),15.37)</f>
        <v>15.37</v>
      </c>
      <c r="E1089" s="2">
        <f>IFERROR(__xludf.DUMMYFUNCTION("""COMPUTED_VALUE"""),15.41)</f>
        <v>15.41</v>
      </c>
      <c r="F1089" s="2">
        <f>IFERROR(__xludf.DUMMYFUNCTION("""COMPUTED_VALUE"""),4123397.0)</f>
        <v>4123397</v>
      </c>
    </row>
    <row r="1090">
      <c r="A1090" s="3">
        <f>IFERROR(__xludf.DUMMYFUNCTION("""COMPUTED_VALUE"""),41935.666666666664)</f>
        <v>41935.66667</v>
      </c>
      <c r="B1090" s="2">
        <f>IFERROR(__xludf.DUMMYFUNCTION("""COMPUTED_VALUE"""),15.64)</f>
        <v>15.64</v>
      </c>
      <c r="C1090" s="2">
        <f>IFERROR(__xludf.DUMMYFUNCTION("""COMPUTED_VALUE"""),15.75)</f>
        <v>15.75</v>
      </c>
      <c r="D1090" s="2">
        <f>IFERROR(__xludf.DUMMYFUNCTION("""COMPUTED_VALUE"""),15.47)</f>
        <v>15.47</v>
      </c>
      <c r="E1090" s="2">
        <f>IFERROR(__xludf.DUMMYFUNCTION("""COMPUTED_VALUE"""),15.69)</f>
        <v>15.69</v>
      </c>
      <c r="F1090" s="2">
        <f>IFERROR(__xludf.DUMMYFUNCTION("""COMPUTED_VALUE"""),3499882.0)</f>
        <v>3499882</v>
      </c>
    </row>
    <row r="1091">
      <c r="A1091" s="3">
        <f>IFERROR(__xludf.DUMMYFUNCTION("""COMPUTED_VALUE"""),41936.666666666664)</f>
        <v>41936.66667</v>
      </c>
      <c r="B1091" s="2">
        <f>IFERROR(__xludf.DUMMYFUNCTION("""COMPUTED_VALUE"""),15.76)</f>
        <v>15.76</v>
      </c>
      <c r="C1091" s="2">
        <f>IFERROR(__xludf.DUMMYFUNCTION("""COMPUTED_VALUE"""),15.85)</f>
        <v>15.85</v>
      </c>
      <c r="D1091" s="2">
        <f>IFERROR(__xludf.DUMMYFUNCTION("""COMPUTED_VALUE"""),15.41)</f>
        <v>15.41</v>
      </c>
      <c r="E1091" s="2">
        <f>IFERROR(__xludf.DUMMYFUNCTION("""COMPUTED_VALUE"""),15.68)</f>
        <v>15.68</v>
      </c>
      <c r="F1091" s="2">
        <f>IFERROR(__xludf.DUMMYFUNCTION("""COMPUTED_VALUE"""),3466927.0)</f>
        <v>3466927</v>
      </c>
    </row>
    <row r="1092">
      <c r="A1092" s="3">
        <f>IFERROR(__xludf.DUMMYFUNCTION("""COMPUTED_VALUE"""),41939.666666666664)</f>
        <v>41939.66667</v>
      </c>
      <c r="B1092" s="2">
        <f>IFERROR(__xludf.DUMMYFUNCTION("""COMPUTED_VALUE"""),15.62)</f>
        <v>15.62</v>
      </c>
      <c r="C1092" s="2">
        <f>IFERROR(__xludf.DUMMYFUNCTION("""COMPUTED_VALUE"""),15.64)</f>
        <v>15.64</v>
      </c>
      <c r="D1092" s="2">
        <f>IFERROR(__xludf.DUMMYFUNCTION("""COMPUTED_VALUE"""),14.69)</f>
        <v>14.69</v>
      </c>
      <c r="E1092" s="2">
        <f>IFERROR(__xludf.DUMMYFUNCTION("""COMPUTED_VALUE"""),14.78)</f>
        <v>14.78</v>
      </c>
      <c r="F1092" s="2">
        <f>IFERROR(__xludf.DUMMYFUNCTION("""COMPUTED_VALUE"""),9553348.0)</f>
        <v>9553348</v>
      </c>
    </row>
    <row r="1093">
      <c r="A1093" s="3">
        <f>IFERROR(__xludf.DUMMYFUNCTION("""COMPUTED_VALUE"""),41940.666666666664)</f>
        <v>41940.66667</v>
      </c>
      <c r="B1093" s="2">
        <f>IFERROR(__xludf.DUMMYFUNCTION("""COMPUTED_VALUE"""),15.31)</f>
        <v>15.31</v>
      </c>
      <c r="C1093" s="2">
        <f>IFERROR(__xludf.DUMMYFUNCTION("""COMPUTED_VALUE"""),16.31)</f>
        <v>16.31</v>
      </c>
      <c r="D1093" s="2">
        <f>IFERROR(__xludf.DUMMYFUNCTION("""COMPUTED_VALUE"""),15.22)</f>
        <v>15.22</v>
      </c>
      <c r="E1093" s="2">
        <f>IFERROR(__xludf.DUMMYFUNCTION("""COMPUTED_VALUE"""),16.18)</f>
        <v>16.18</v>
      </c>
      <c r="F1093" s="2">
        <f>IFERROR(__xludf.DUMMYFUNCTION("""COMPUTED_VALUE"""),1.0516297E7)</f>
        <v>10516297</v>
      </c>
    </row>
    <row r="1094">
      <c r="A1094" s="3">
        <f>IFERROR(__xludf.DUMMYFUNCTION("""COMPUTED_VALUE"""),41941.666666666664)</f>
        <v>41941.66667</v>
      </c>
      <c r="B1094" s="2">
        <f>IFERROR(__xludf.DUMMYFUNCTION("""COMPUTED_VALUE"""),16.08)</f>
        <v>16.08</v>
      </c>
      <c r="C1094" s="2">
        <f>IFERROR(__xludf.DUMMYFUNCTION("""COMPUTED_VALUE"""),16.1)</f>
        <v>16.1</v>
      </c>
      <c r="D1094" s="2">
        <f>IFERROR(__xludf.DUMMYFUNCTION("""COMPUTED_VALUE"""),15.71)</f>
        <v>15.71</v>
      </c>
      <c r="E1094" s="2">
        <f>IFERROR(__xludf.DUMMYFUNCTION("""COMPUTED_VALUE"""),15.87)</f>
        <v>15.87</v>
      </c>
      <c r="F1094" s="2">
        <f>IFERROR(__xludf.DUMMYFUNCTION("""COMPUTED_VALUE"""),4967640.0)</f>
        <v>4967640</v>
      </c>
    </row>
    <row r="1095">
      <c r="A1095" s="3">
        <f>IFERROR(__xludf.DUMMYFUNCTION("""COMPUTED_VALUE"""),41942.666666666664)</f>
        <v>41942.66667</v>
      </c>
      <c r="B1095" s="2">
        <f>IFERROR(__xludf.DUMMYFUNCTION("""COMPUTED_VALUE"""),15.87)</f>
        <v>15.87</v>
      </c>
      <c r="C1095" s="2">
        <f>IFERROR(__xludf.DUMMYFUNCTION("""COMPUTED_VALUE"""),16.03)</f>
        <v>16.03</v>
      </c>
      <c r="D1095" s="2">
        <f>IFERROR(__xludf.DUMMYFUNCTION("""COMPUTED_VALUE"""),15.67)</f>
        <v>15.67</v>
      </c>
      <c r="E1095" s="2">
        <f>IFERROR(__xludf.DUMMYFUNCTION("""COMPUTED_VALUE"""),15.91)</f>
        <v>15.91</v>
      </c>
      <c r="F1095" s="2">
        <f>IFERROR(__xludf.DUMMYFUNCTION("""COMPUTED_VALUE"""),3228371.0)</f>
        <v>3228371</v>
      </c>
    </row>
    <row r="1096">
      <c r="A1096" s="3">
        <f>IFERROR(__xludf.DUMMYFUNCTION("""COMPUTED_VALUE"""),41943.666666666664)</f>
        <v>41943.66667</v>
      </c>
      <c r="B1096" s="2">
        <f>IFERROR(__xludf.DUMMYFUNCTION("""COMPUTED_VALUE"""),16.17)</f>
        <v>16.17</v>
      </c>
      <c r="C1096" s="2">
        <f>IFERROR(__xludf.DUMMYFUNCTION("""COMPUTED_VALUE"""),16.21)</f>
        <v>16.21</v>
      </c>
      <c r="D1096" s="2">
        <f>IFERROR(__xludf.DUMMYFUNCTION("""COMPUTED_VALUE"""),15.92)</f>
        <v>15.92</v>
      </c>
      <c r="E1096" s="2">
        <f>IFERROR(__xludf.DUMMYFUNCTION("""COMPUTED_VALUE"""),16.11)</f>
        <v>16.11</v>
      </c>
      <c r="F1096" s="2">
        <f>IFERROR(__xludf.DUMMYFUNCTION("""COMPUTED_VALUE"""),3775327.0)</f>
        <v>3775327</v>
      </c>
    </row>
    <row r="1097">
      <c r="A1097" s="3">
        <f>IFERROR(__xludf.DUMMYFUNCTION("""COMPUTED_VALUE"""),41946.666666666664)</f>
        <v>41946.66667</v>
      </c>
      <c r="B1097" s="2">
        <f>IFERROR(__xludf.DUMMYFUNCTION("""COMPUTED_VALUE"""),16.2)</f>
        <v>16.2</v>
      </c>
      <c r="C1097" s="2">
        <f>IFERROR(__xludf.DUMMYFUNCTION("""COMPUTED_VALUE"""),16.5)</f>
        <v>16.5</v>
      </c>
      <c r="D1097" s="2">
        <f>IFERROR(__xludf.DUMMYFUNCTION("""COMPUTED_VALUE"""),16.09)</f>
        <v>16.09</v>
      </c>
      <c r="E1097" s="2">
        <f>IFERROR(__xludf.DUMMYFUNCTION("""COMPUTED_VALUE"""),16.17)</f>
        <v>16.17</v>
      </c>
      <c r="F1097" s="2">
        <f>IFERROR(__xludf.DUMMYFUNCTION("""COMPUTED_VALUE"""),4207268.0)</f>
        <v>4207268</v>
      </c>
    </row>
    <row r="1098">
      <c r="A1098" s="3">
        <f>IFERROR(__xludf.DUMMYFUNCTION("""COMPUTED_VALUE"""),41947.666666666664)</f>
        <v>41947.66667</v>
      </c>
      <c r="B1098" s="2">
        <f>IFERROR(__xludf.DUMMYFUNCTION("""COMPUTED_VALUE"""),16.03)</f>
        <v>16.03</v>
      </c>
      <c r="C1098" s="2">
        <f>IFERROR(__xludf.DUMMYFUNCTION("""COMPUTED_VALUE"""),16.16)</f>
        <v>16.16</v>
      </c>
      <c r="D1098" s="2">
        <f>IFERROR(__xludf.DUMMYFUNCTION("""COMPUTED_VALUE"""),15.77)</f>
        <v>15.77</v>
      </c>
      <c r="E1098" s="2">
        <f>IFERROR(__xludf.DUMMYFUNCTION("""COMPUTED_VALUE"""),15.93)</f>
        <v>15.93</v>
      </c>
      <c r="F1098" s="2">
        <f>IFERROR(__xludf.DUMMYFUNCTION("""COMPUTED_VALUE"""),3682572.0)</f>
        <v>3682572</v>
      </c>
    </row>
    <row r="1099">
      <c r="A1099" s="3">
        <f>IFERROR(__xludf.DUMMYFUNCTION("""COMPUTED_VALUE"""),41948.666666666664)</f>
        <v>41948.66667</v>
      </c>
      <c r="B1099" s="2">
        <f>IFERROR(__xludf.DUMMYFUNCTION("""COMPUTED_VALUE"""),16.09)</f>
        <v>16.09</v>
      </c>
      <c r="C1099" s="2">
        <f>IFERROR(__xludf.DUMMYFUNCTION("""COMPUTED_VALUE"""),16.09)</f>
        <v>16.09</v>
      </c>
      <c r="D1099" s="2">
        <f>IFERROR(__xludf.DUMMYFUNCTION("""COMPUTED_VALUE"""),15.37)</f>
        <v>15.37</v>
      </c>
      <c r="E1099" s="2">
        <f>IFERROR(__xludf.DUMMYFUNCTION("""COMPUTED_VALUE"""),15.4)</f>
        <v>15.4</v>
      </c>
      <c r="F1099" s="2">
        <f>IFERROR(__xludf.DUMMYFUNCTION("""COMPUTED_VALUE"""),9045925.0)</f>
        <v>9045925</v>
      </c>
    </row>
    <row r="1100">
      <c r="A1100" s="3">
        <f>IFERROR(__xludf.DUMMYFUNCTION("""COMPUTED_VALUE"""),41949.666666666664)</f>
        <v>41949.66667</v>
      </c>
      <c r="B1100" s="2">
        <f>IFERROR(__xludf.DUMMYFUNCTION("""COMPUTED_VALUE"""),15.65)</f>
        <v>15.65</v>
      </c>
      <c r="C1100" s="2">
        <f>IFERROR(__xludf.DUMMYFUNCTION("""COMPUTED_VALUE"""),16.45)</f>
        <v>16.45</v>
      </c>
      <c r="D1100" s="2">
        <f>IFERROR(__xludf.DUMMYFUNCTION("""COMPUTED_VALUE"""),15.23)</f>
        <v>15.23</v>
      </c>
      <c r="E1100" s="2">
        <f>IFERROR(__xludf.DUMMYFUNCTION("""COMPUTED_VALUE"""),16.08)</f>
        <v>16.08</v>
      </c>
      <c r="F1100" s="2">
        <f>IFERROR(__xludf.DUMMYFUNCTION("""COMPUTED_VALUE"""),1.5354717E7)</f>
        <v>15354717</v>
      </c>
    </row>
    <row r="1101">
      <c r="A1101" s="3">
        <f>IFERROR(__xludf.DUMMYFUNCTION("""COMPUTED_VALUE"""),41950.666666666664)</f>
        <v>41950.66667</v>
      </c>
      <c r="B1101" s="2">
        <f>IFERROR(__xludf.DUMMYFUNCTION("""COMPUTED_VALUE"""),16.15)</f>
        <v>16.15</v>
      </c>
      <c r="C1101" s="2">
        <f>IFERROR(__xludf.DUMMYFUNCTION("""COMPUTED_VALUE"""),16.19)</f>
        <v>16.19</v>
      </c>
      <c r="D1101" s="2">
        <f>IFERROR(__xludf.DUMMYFUNCTION("""COMPUTED_VALUE"""),15.81)</f>
        <v>15.81</v>
      </c>
      <c r="E1101" s="2">
        <f>IFERROR(__xludf.DUMMYFUNCTION("""COMPUTED_VALUE"""),16.01)</f>
        <v>16.01</v>
      </c>
      <c r="F1101" s="2">
        <f>IFERROR(__xludf.DUMMYFUNCTION("""COMPUTED_VALUE"""),5161023.0)</f>
        <v>5161023</v>
      </c>
    </row>
    <row r="1102">
      <c r="A1102" s="3">
        <f>IFERROR(__xludf.DUMMYFUNCTION("""COMPUTED_VALUE"""),41953.66666666667)</f>
        <v>41953.66667</v>
      </c>
      <c r="B1102" s="2">
        <f>IFERROR(__xludf.DUMMYFUNCTION("""COMPUTED_VALUE"""),15.94)</f>
        <v>15.94</v>
      </c>
      <c r="C1102" s="2">
        <f>IFERROR(__xludf.DUMMYFUNCTION("""COMPUTED_VALUE"""),16.19)</f>
        <v>16.19</v>
      </c>
      <c r="D1102" s="2">
        <f>IFERROR(__xludf.DUMMYFUNCTION("""COMPUTED_VALUE"""),15.79)</f>
        <v>15.79</v>
      </c>
      <c r="E1102" s="2">
        <f>IFERROR(__xludf.DUMMYFUNCTION("""COMPUTED_VALUE"""),16.13)</f>
        <v>16.13</v>
      </c>
      <c r="F1102" s="2">
        <f>IFERROR(__xludf.DUMMYFUNCTION("""COMPUTED_VALUE"""),4577208.0)</f>
        <v>4577208</v>
      </c>
    </row>
    <row r="1103">
      <c r="A1103" s="3">
        <f>IFERROR(__xludf.DUMMYFUNCTION("""COMPUTED_VALUE"""),41954.66666666667)</f>
        <v>41954.66667</v>
      </c>
      <c r="B1103" s="2">
        <f>IFERROR(__xludf.DUMMYFUNCTION("""COMPUTED_VALUE"""),16.15)</f>
        <v>16.15</v>
      </c>
      <c r="C1103" s="2">
        <f>IFERROR(__xludf.DUMMYFUNCTION("""COMPUTED_VALUE"""),16.79)</f>
        <v>16.79</v>
      </c>
      <c r="D1103" s="2">
        <f>IFERROR(__xludf.DUMMYFUNCTION("""COMPUTED_VALUE"""),16.13)</f>
        <v>16.13</v>
      </c>
      <c r="E1103" s="2">
        <f>IFERROR(__xludf.DUMMYFUNCTION("""COMPUTED_VALUE"""),16.74)</f>
        <v>16.74</v>
      </c>
      <c r="F1103" s="2">
        <f>IFERROR(__xludf.DUMMYFUNCTION("""COMPUTED_VALUE"""),7952565.0)</f>
        <v>7952565</v>
      </c>
    </row>
    <row r="1104">
      <c r="A1104" s="3">
        <f>IFERROR(__xludf.DUMMYFUNCTION("""COMPUTED_VALUE"""),41955.66666666667)</f>
        <v>41955.66667</v>
      </c>
      <c r="B1104" s="2">
        <f>IFERROR(__xludf.DUMMYFUNCTION("""COMPUTED_VALUE"""),16.64)</f>
        <v>16.64</v>
      </c>
      <c r="C1104" s="2">
        <f>IFERROR(__xludf.DUMMYFUNCTION("""COMPUTED_VALUE"""),16.82)</f>
        <v>16.82</v>
      </c>
      <c r="D1104" s="2">
        <f>IFERROR(__xludf.DUMMYFUNCTION("""COMPUTED_VALUE"""),16.37)</f>
        <v>16.37</v>
      </c>
      <c r="E1104" s="2">
        <f>IFERROR(__xludf.DUMMYFUNCTION("""COMPUTED_VALUE"""),16.61)</f>
        <v>16.61</v>
      </c>
      <c r="F1104" s="2">
        <f>IFERROR(__xludf.DUMMYFUNCTION("""COMPUTED_VALUE"""),5870818.0)</f>
        <v>5870818</v>
      </c>
    </row>
    <row r="1105">
      <c r="A1105" s="3">
        <f>IFERROR(__xludf.DUMMYFUNCTION("""COMPUTED_VALUE"""),41956.66666666667)</f>
        <v>41956.66667</v>
      </c>
      <c r="B1105" s="2">
        <f>IFERROR(__xludf.DUMMYFUNCTION("""COMPUTED_VALUE"""),16.7)</f>
        <v>16.7</v>
      </c>
      <c r="C1105" s="2">
        <f>IFERROR(__xludf.DUMMYFUNCTION("""COMPUTED_VALUE"""),17.05)</f>
        <v>17.05</v>
      </c>
      <c r="D1105" s="2">
        <f>IFERROR(__xludf.DUMMYFUNCTION("""COMPUTED_VALUE"""),16.68)</f>
        <v>16.68</v>
      </c>
      <c r="E1105" s="2">
        <f>IFERROR(__xludf.DUMMYFUNCTION("""COMPUTED_VALUE"""),16.78)</f>
        <v>16.78</v>
      </c>
      <c r="F1105" s="2">
        <f>IFERROR(__xludf.DUMMYFUNCTION("""COMPUTED_VALUE"""),6236036.0)</f>
        <v>6236036</v>
      </c>
    </row>
    <row r="1106">
      <c r="A1106" s="3">
        <f>IFERROR(__xludf.DUMMYFUNCTION("""COMPUTED_VALUE"""),41957.66666666667)</f>
        <v>41957.66667</v>
      </c>
      <c r="B1106" s="2">
        <f>IFERROR(__xludf.DUMMYFUNCTION("""COMPUTED_VALUE"""),16.67)</f>
        <v>16.67</v>
      </c>
      <c r="C1106" s="2">
        <f>IFERROR(__xludf.DUMMYFUNCTION("""COMPUTED_VALUE"""),17.26)</f>
        <v>17.26</v>
      </c>
      <c r="D1106" s="2">
        <f>IFERROR(__xludf.DUMMYFUNCTION("""COMPUTED_VALUE"""),16.57)</f>
        <v>16.57</v>
      </c>
      <c r="E1106" s="2">
        <f>IFERROR(__xludf.DUMMYFUNCTION("""COMPUTED_VALUE"""),17.25)</f>
        <v>17.25</v>
      </c>
      <c r="F1106" s="2">
        <f>IFERROR(__xludf.DUMMYFUNCTION("""COMPUTED_VALUE"""),6101145.0)</f>
        <v>6101145</v>
      </c>
    </row>
    <row r="1107">
      <c r="A1107" s="3">
        <f>IFERROR(__xludf.DUMMYFUNCTION("""COMPUTED_VALUE"""),41960.66666666667)</f>
        <v>41960.66667</v>
      </c>
      <c r="B1107" s="2">
        <f>IFERROR(__xludf.DUMMYFUNCTION("""COMPUTED_VALUE"""),17.17)</f>
        <v>17.17</v>
      </c>
      <c r="C1107" s="2">
        <f>IFERROR(__xludf.DUMMYFUNCTION("""COMPUTED_VALUE"""),17.27)</f>
        <v>17.27</v>
      </c>
      <c r="D1107" s="2">
        <f>IFERROR(__xludf.DUMMYFUNCTION("""COMPUTED_VALUE"""),16.8)</f>
        <v>16.8</v>
      </c>
      <c r="E1107" s="2">
        <f>IFERROR(__xludf.DUMMYFUNCTION("""COMPUTED_VALUE"""),16.93)</f>
        <v>16.93</v>
      </c>
      <c r="F1107" s="2">
        <f>IFERROR(__xludf.DUMMYFUNCTION("""COMPUTED_VALUE"""),4025695.0)</f>
        <v>4025695</v>
      </c>
    </row>
    <row r="1108">
      <c r="A1108" s="3">
        <f>IFERROR(__xludf.DUMMYFUNCTION("""COMPUTED_VALUE"""),41961.66666666667)</f>
        <v>41961.66667</v>
      </c>
      <c r="B1108" s="2">
        <f>IFERROR(__xludf.DUMMYFUNCTION("""COMPUTED_VALUE"""),17.06)</f>
        <v>17.06</v>
      </c>
      <c r="C1108" s="2">
        <f>IFERROR(__xludf.DUMMYFUNCTION("""COMPUTED_VALUE"""),17.33)</f>
        <v>17.33</v>
      </c>
      <c r="D1108" s="2">
        <f>IFERROR(__xludf.DUMMYFUNCTION("""COMPUTED_VALUE"""),17.03)</f>
        <v>17.03</v>
      </c>
      <c r="E1108" s="2">
        <f>IFERROR(__xludf.DUMMYFUNCTION("""COMPUTED_VALUE"""),17.18)</f>
        <v>17.18</v>
      </c>
      <c r="F1108" s="2">
        <f>IFERROR(__xludf.DUMMYFUNCTION("""COMPUTED_VALUE"""),4474294.0)</f>
        <v>4474294</v>
      </c>
    </row>
    <row r="1109">
      <c r="A1109" s="3">
        <f>IFERROR(__xludf.DUMMYFUNCTION("""COMPUTED_VALUE"""),41962.66666666667)</f>
        <v>41962.66667</v>
      </c>
      <c r="B1109" s="2">
        <f>IFERROR(__xludf.DUMMYFUNCTION("""COMPUTED_VALUE"""),16.71)</f>
        <v>16.71</v>
      </c>
      <c r="C1109" s="2">
        <f>IFERROR(__xludf.DUMMYFUNCTION("""COMPUTED_VALUE"""),16.79)</f>
        <v>16.79</v>
      </c>
      <c r="D1109" s="2">
        <f>IFERROR(__xludf.DUMMYFUNCTION("""COMPUTED_VALUE"""),16.37)</f>
        <v>16.37</v>
      </c>
      <c r="E1109" s="2">
        <f>IFERROR(__xludf.DUMMYFUNCTION("""COMPUTED_VALUE"""),16.52)</f>
        <v>16.52</v>
      </c>
      <c r="F1109" s="2">
        <f>IFERROR(__xludf.DUMMYFUNCTION("""COMPUTED_VALUE"""),7918486.0)</f>
        <v>7918486</v>
      </c>
    </row>
    <row r="1110">
      <c r="A1110" s="3">
        <f>IFERROR(__xludf.DUMMYFUNCTION("""COMPUTED_VALUE"""),41963.66666666667)</f>
        <v>41963.66667</v>
      </c>
      <c r="B1110" s="2">
        <f>IFERROR(__xludf.DUMMYFUNCTION("""COMPUTED_VALUE"""),16.53)</f>
        <v>16.53</v>
      </c>
      <c r="C1110" s="2">
        <f>IFERROR(__xludf.DUMMYFUNCTION("""COMPUTED_VALUE"""),16.73)</f>
        <v>16.73</v>
      </c>
      <c r="D1110" s="2">
        <f>IFERROR(__xludf.DUMMYFUNCTION("""COMPUTED_VALUE"""),16.4)</f>
        <v>16.4</v>
      </c>
      <c r="E1110" s="2">
        <f>IFERROR(__xludf.DUMMYFUNCTION("""COMPUTED_VALUE"""),16.58)</f>
        <v>16.58</v>
      </c>
      <c r="F1110" s="2">
        <f>IFERROR(__xludf.DUMMYFUNCTION("""COMPUTED_VALUE"""),3587220.0)</f>
        <v>3587220</v>
      </c>
    </row>
    <row r="1111">
      <c r="A1111" s="3">
        <f>IFERROR(__xludf.DUMMYFUNCTION("""COMPUTED_VALUE"""),41964.66666666667)</f>
        <v>41964.66667</v>
      </c>
      <c r="B1111" s="2">
        <f>IFERROR(__xludf.DUMMYFUNCTION("""COMPUTED_VALUE"""),16.81)</f>
        <v>16.81</v>
      </c>
      <c r="C1111" s="2">
        <f>IFERROR(__xludf.DUMMYFUNCTION("""COMPUTED_VALUE"""),16.85)</f>
        <v>16.85</v>
      </c>
      <c r="D1111" s="2">
        <f>IFERROR(__xludf.DUMMYFUNCTION("""COMPUTED_VALUE"""),16.14)</f>
        <v>16.14</v>
      </c>
      <c r="E1111" s="2">
        <f>IFERROR(__xludf.DUMMYFUNCTION("""COMPUTED_VALUE"""),16.19)</f>
        <v>16.19</v>
      </c>
      <c r="F1111" s="2">
        <f>IFERROR(__xludf.DUMMYFUNCTION("""COMPUTED_VALUE"""),7485059.0)</f>
        <v>7485059</v>
      </c>
    </row>
    <row r="1112">
      <c r="A1112" s="3">
        <f>IFERROR(__xludf.DUMMYFUNCTION("""COMPUTED_VALUE"""),41967.66666666667)</f>
        <v>41967.66667</v>
      </c>
      <c r="B1112" s="2">
        <f>IFERROR(__xludf.DUMMYFUNCTION("""COMPUTED_VALUE"""),16.34)</f>
        <v>16.34</v>
      </c>
      <c r="C1112" s="2">
        <f>IFERROR(__xludf.DUMMYFUNCTION("""COMPUTED_VALUE"""),16.51)</f>
        <v>16.51</v>
      </c>
      <c r="D1112" s="2">
        <f>IFERROR(__xludf.DUMMYFUNCTION("""COMPUTED_VALUE"""),16.04)</f>
        <v>16.04</v>
      </c>
      <c r="E1112" s="2">
        <f>IFERROR(__xludf.DUMMYFUNCTION("""COMPUTED_VALUE"""),16.45)</f>
        <v>16.45</v>
      </c>
      <c r="F1112" s="2">
        <f>IFERROR(__xludf.DUMMYFUNCTION("""COMPUTED_VALUE"""),4789708.0)</f>
        <v>4789708</v>
      </c>
    </row>
    <row r="1113">
      <c r="A1113" s="3">
        <f>IFERROR(__xludf.DUMMYFUNCTION("""COMPUTED_VALUE"""),41968.66666666667)</f>
        <v>41968.66667</v>
      </c>
      <c r="B1113" s="2">
        <f>IFERROR(__xludf.DUMMYFUNCTION("""COMPUTED_VALUE"""),16.49)</f>
        <v>16.49</v>
      </c>
      <c r="C1113" s="2">
        <f>IFERROR(__xludf.DUMMYFUNCTION("""COMPUTED_VALUE"""),16.65)</f>
        <v>16.65</v>
      </c>
      <c r="D1113" s="2">
        <f>IFERROR(__xludf.DUMMYFUNCTION("""COMPUTED_VALUE"""),16.41)</f>
        <v>16.41</v>
      </c>
      <c r="E1113" s="2">
        <f>IFERROR(__xludf.DUMMYFUNCTION("""COMPUTED_VALUE"""),16.54)</f>
        <v>16.54</v>
      </c>
      <c r="F1113" s="2">
        <f>IFERROR(__xludf.DUMMYFUNCTION("""COMPUTED_VALUE"""),3159804.0)</f>
        <v>3159804</v>
      </c>
    </row>
    <row r="1114">
      <c r="A1114" s="3">
        <f>IFERROR(__xludf.DUMMYFUNCTION("""COMPUTED_VALUE"""),41969.66666666667)</f>
        <v>41969.66667</v>
      </c>
      <c r="B1114" s="2">
        <f>IFERROR(__xludf.DUMMYFUNCTION("""COMPUTED_VALUE"""),16.56)</f>
        <v>16.56</v>
      </c>
      <c r="C1114" s="2">
        <f>IFERROR(__xludf.DUMMYFUNCTION("""COMPUTED_VALUE"""),16.6)</f>
        <v>16.6</v>
      </c>
      <c r="D1114" s="2">
        <f>IFERROR(__xludf.DUMMYFUNCTION("""COMPUTED_VALUE"""),16.44)</f>
        <v>16.44</v>
      </c>
      <c r="E1114" s="2">
        <f>IFERROR(__xludf.DUMMYFUNCTION("""COMPUTED_VALUE"""),16.56)</f>
        <v>16.56</v>
      </c>
      <c r="F1114" s="2">
        <f>IFERROR(__xludf.DUMMYFUNCTION("""COMPUTED_VALUE"""),1981819.0)</f>
        <v>1981819</v>
      </c>
    </row>
    <row r="1115">
      <c r="A1115" s="3">
        <f>IFERROR(__xludf.DUMMYFUNCTION("""COMPUTED_VALUE"""),41971.66666666667)</f>
        <v>41971.66667</v>
      </c>
      <c r="B1115" s="2">
        <f>IFERROR(__xludf.DUMMYFUNCTION("""COMPUTED_VALUE"""),16.36)</f>
        <v>16.36</v>
      </c>
      <c r="C1115" s="2">
        <f>IFERROR(__xludf.DUMMYFUNCTION("""COMPUTED_VALUE"""),16.45)</f>
        <v>16.45</v>
      </c>
      <c r="D1115" s="2">
        <f>IFERROR(__xludf.DUMMYFUNCTION("""COMPUTED_VALUE"""),16.17)</f>
        <v>16.17</v>
      </c>
      <c r="E1115" s="2">
        <f>IFERROR(__xludf.DUMMYFUNCTION("""COMPUTED_VALUE"""),16.3)</f>
        <v>16.3</v>
      </c>
      <c r="F1115" s="2">
        <f>IFERROR(__xludf.DUMMYFUNCTION("""COMPUTED_VALUE"""),2119688.0)</f>
        <v>2119688</v>
      </c>
    </row>
    <row r="1116">
      <c r="A1116" s="3">
        <f>IFERROR(__xludf.DUMMYFUNCTION("""COMPUTED_VALUE"""),41974.66666666667)</f>
        <v>41974.66667</v>
      </c>
      <c r="B1116" s="2">
        <f>IFERROR(__xludf.DUMMYFUNCTION("""COMPUTED_VALUE"""),16.08)</f>
        <v>16.08</v>
      </c>
      <c r="C1116" s="2">
        <f>IFERROR(__xludf.DUMMYFUNCTION("""COMPUTED_VALUE"""),16.16)</f>
        <v>16.16</v>
      </c>
      <c r="D1116" s="2">
        <f>IFERROR(__xludf.DUMMYFUNCTION("""COMPUTED_VALUE"""),15.27)</f>
        <v>15.27</v>
      </c>
      <c r="E1116" s="2">
        <f>IFERROR(__xludf.DUMMYFUNCTION("""COMPUTED_VALUE"""),15.44)</f>
        <v>15.44</v>
      </c>
      <c r="F1116" s="2">
        <f>IFERROR(__xludf.DUMMYFUNCTION("""COMPUTED_VALUE"""),8619351.0)</f>
        <v>8619351</v>
      </c>
    </row>
    <row r="1117">
      <c r="A1117" s="3">
        <f>IFERROR(__xludf.DUMMYFUNCTION("""COMPUTED_VALUE"""),41975.66666666667)</f>
        <v>41975.66667</v>
      </c>
      <c r="B1117" s="2">
        <f>IFERROR(__xludf.DUMMYFUNCTION("""COMPUTED_VALUE"""),15.64)</f>
        <v>15.64</v>
      </c>
      <c r="C1117" s="2">
        <f>IFERROR(__xludf.DUMMYFUNCTION("""COMPUTED_VALUE"""),15.66)</f>
        <v>15.66</v>
      </c>
      <c r="D1117" s="2">
        <f>IFERROR(__xludf.DUMMYFUNCTION("""COMPUTED_VALUE"""),15.2)</f>
        <v>15.2</v>
      </c>
      <c r="E1117" s="2">
        <f>IFERROR(__xludf.DUMMYFUNCTION("""COMPUTED_VALUE"""),15.43)</f>
        <v>15.43</v>
      </c>
      <c r="F1117" s="2">
        <f>IFERROR(__xludf.DUMMYFUNCTION("""COMPUTED_VALUE"""),5887046.0)</f>
        <v>5887046</v>
      </c>
    </row>
    <row r="1118">
      <c r="A1118" s="3">
        <f>IFERROR(__xludf.DUMMYFUNCTION("""COMPUTED_VALUE"""),41976.66666666667)</f>
        <v>41976.66667</v>
      </c>
      <c r="B1118" s="2">
        <f>IFERROR(__xludf.DUMMYFUNCTION("""COMPUTED_VALUE"""),15.08)</f>
        <v>15.08</v>
      </c>
      <c r="C1118" s="2">
        <f>IFERROR(__xludf.DUMMYFUNCTION("""COMPUTED_VALUE"""),15.31)</f>
        <v>15.31</v>
      </c>
      <c r="D1118" s="2">
        <f>IFERROR(__xludf.DUMMYFUNCTION("""COMPUTED_VALUE"""),15.03)</f>
        <v>15.03</v>
      </c>
      <c r="E1118" s="2">
        <f>IFERROR(__xludf.DUMMYFUNCTION("""COMPUTED_VALUE"""),15.29)</f>
        <v>15.29</v>
      </c>
      <c r="F1118" s="2">
        <f>IFERROR(__xludf.DUMMYFUNCTION("""COMPUTED_VALUE"""),5307733.0)</f>
        <v>5307733</v>
      </c>
    </row>
    <row r="1119">
      <c r="A1119" s="3">
        <f>IFERROR(__xludf.DUMMYFUNCTION("""COMPUTED_VALUE"""),41977.66666666667)</f>
        <v>41977.66667</v>
      </c>
      <c r="B1119" s="2">
        <f>IFERROR(__xludf.DUMMYFUNCTION("""COMPUTED_VALUE"""),15.25)</f>
        <v>15.25</v>
      </c>
      <c r="C1119" s="2">
        <f>IFERROR(__xludf.DUMMYFUNCTION("""COMPUTED_VALUE"""),15.39)</f>
        <v>15.39</v>
      </c>
      <c r="D1119" s="2">
        <f>IFERROR(__xludf.DUMMYFUNCTION("""COMPUTED_VALUE"""),15.19)</f>
        <v>15.19</v>
      </c>
      <c r="E1119" s="2">
        <f>IFERROR(__xludf.DUMMYFUNCTION("""COMPUTED_VALUE"""),15.22)</f>
        <v>15.22</v>
      </c>
      <c r="F1119" s="2">
        <f>IFERROR(__xludf.DUMMYFUNCTION("""COMPUTED_VALUE"""),3879208.0)</f>
        <v>3879208</v>
      </c>
    </row>
    <row r="1120">
      <c r="A1120" s="3">
        <f>IFERROR(__xludf.DUMMYFUNCTION("""COMPUTED_VALUE"""),41978.66666666667)</f>
        <v>41978.66667</v>
      </c>
      <c r="B1120" s="2">
        <f>IFERROR(__xludf.DUMMYFUNCTION("""COMPUTED_VALUE"""),15.25)</f>
        <v>15.25</v>
      </c>
      <c r="C1120" s="2">
        <f>IFERROR(__xludf.DUMMYFUNCTION("""COMPUTED_VALUE"""),15.29)</f>
        <v>15.29</v>
      </c>
      <c r="D1120" s="2">
        <f>IFERROR(__xludf.DUMMYFUNCTION("""COMPUTED_VALUE"""),14.82)</f>
        <v>14.82</v>
      </c>
      <c r="E1120" s="2">
        <f>IFERROR(__xludf.DUMMYFUNCTION("""COMPUTED_VALUE"""),14.91)</f>
        <v>14.91</v>
      </c>
      <c r="F1120" s="2">
        <f>IFERROR(__xludf.DUMMYFUNCTION("""COMPUTED_VALUE"""),6063619.0)</f>
        <v>6063619</v>
      </c>
    </row>
    <row r="1121">
      <c r="A1121" s="3">
        <f>IFERROR(__xludf.DUMMYFUNCTION("""COMPUTED_VALUE"""),41981.66666666667)</f>
        <v>41981.66667</v>
      </c>
      <c r="B1121" s="2">
        <f>IFERROR(__xludf.DUMMYFUNCTION("""COMPUTED_VALUE"""),14.77)</f>
        <v>14.77</v>
      </c>
      <c r="C1121" s="2">
        <f>IFERROR(__xludf.DUMMYFUNCTION("""COMPUTED_VALUE"""),14.99)</f>
        <v>14.99</v>
      </c>
      <c r="D1121" s="2">
        <f>IFERROR(__xludf.DUMMYFUNCTION("""COMPUTED_VALUE"""),14.16)</f>
        <v>14.16</v>
      </c>
      <c r="E1121" s="2">
        <f>IFERROR(__xludf.DUMMYFUNCTION("""COMPUTED_VALUE"""),14.29)</f>
        <v>14.29</v>
      </c>
      <c r="F1121" s="2">
        <f>IFERROR(__xludf.DUMMYFUNCTION("""COMPUTED_VALUE"""),9225619.0)</f>
        <v>9225619</v>
      </c>
    </row>
    <row r="1122">
      <c r="A1122" s="3">
        <f>IFERROR(__xludf.DUMMYFUNCTION("""COMPUTED_VALUE"""),41982.66666666667)</f>
        <v>41982.66667</v>
      </c>
      <c r="B1122" s="2">
        <f>IFERROR(__xludf.DUMMYFUNCTION("""COMPUTED_VALUE"""),13.96)</f>
        <v>13.96</v>
      </c>
      <c r="C1122" s="2">
        <f>IFERROR(__xludf.DUMMYFUNCTION("""COMPUTED_VALUE"""),14.52)</f>
        <v>14.52</v>
      </c>
      <c r="D1122" s="2">
        <f>IFERROR(__xludf.DUMMYFUNCTION("""COMPUTED_VALUE"""),13.62)</f>
        <v>13.62</v>
      </c>
      <c r="E1122" s="2">
        <f>IFERROR(__xludf.DUMMYFUNCTION("""COMPUTED_VALUE"""),14.46)</f>
        <v>14.46</v>
      </c>
      <c r="F1122" s="2">
        <f>IFERROR(__xludf.DUMMYFUNCTION("""COMPUTED_VALUE"""),9431502.0)</f>
        <v>9431502</v>
      </c>
    </row>
    <row r="1123">
      <c r="A1123" s="3">
        <f>IFERROR(__xludf.DUMMYFUNCTION("""COMPUTED_VALUE"""),41983.66666666667)</f>
        <v>41983.66667</v>
      </c>
      <c r="B1123" s="2">
        <f>IFERROR(__xludf.DUMMYFUNCTION("""COMPUTED_VALUE"""),14.28)</f>
        <v>14.28</v>
      </c>
      <c r="C1123" s="2">
        <f>IFERROR(__xludf.DUMMYFUNCTION("""COMPUTED_VALUE"""),14.45)</f>
        <v>14.45</v>
      </c>
      <c r="D1123" s="2">
        <f>IFERROR(__xludf.DUMMYFUNCTION("""COMPUTED_VALUE"""),13.85)</f>
        <v>13.85</v>
      </c>
      <c r="E1123" s="2">
        <f>IFERROR(__xludf.DUMMYFUNCTION("""COMPUTED_VALUE"""),13.99)</f>
        <v>13.99</v>
      </c>
      <c r="F1123" s="2">
        <f>IFERROR(__xludf.DUMMYFUNCTION("""COMPUTED_VALUE"""),7314139.0)</f>
        <v>7314139</v>
      </c>
    </row>
    <row r="1124">
      <c r="A1124" s="3">
        <f>IFERROR(__xludf.DUMMYFUNCTION("""COMPUTED_VALUE"""),41984.66666666667)</f>
        <v>41984.66667</v>
      </c>
      <c r="B1124" s="2">
        <f>IFERROR(__xludf.DUMMYFUNCTION("""COMPUTED_VALUE"""),14.04)</f>
        <v>14.04</v>
      </c>
      <c r="C1124" s="2">
        <f>IFERROR(__xludf.DUMMYFUNCTION("""COMPUTED_VALUE"""),14.36)</f>
        <v>14.36</v>
      </c>
      <c r="D1124" s="2">
        <f>IFERROR(__xludf.DUMMYFUNCTION("""COMPUTED_VALUE"""),13.88)</f>
        <v>13.88</v>
      </c>
      <c r="E1124" s="2">
        <f>IFERROR(__xludf.DUMMYFUNCTION("""COMPUTED_VALUE"""),13.93)</f>
        <v>13.93</v>
      </c>
      <c r="F1124" s="2">
        <f>IFERROR(__xludf.DUMMYFUNCTION("""COMPUTED_VALUE"""),6694398.0)</f>
        <v>6694398</v>
      </c>
    </row>
    <row r="1125">
      <c r="A1125" s="3">
        <f>IFERROR(__xludf.DUMMYFUNCTION("""COMPUTED_VALUE"""),41985.66666666667)</f>
        <v>41985.66667</v>
      </c>
      <c r="B1125" s="2">
        <f>IFERROR(__xludf.DUMMYFUNCTION("""COMPUTED_VALUE"""),13.65)</f>
        <v>13.65</v>
      </c>
      <c r="C1125" s="2">
        <f>IFERROR(__xludf.DUMMYFUNCTION("""COMPUTED_VALUE"""),14.11)</f>
        <v>14.11</v>
      </c>
      <c r="D1125" s="2">
        <f>IFERROR(__xludf.DUMMYFUNCTION("""COMPUTED_VALUE"""),13.63)</f>
        <v>13.63</v>
      </c>
      <c r="E1125" s="2">
        <f>IFERROR(__xludf.DUMMYFUNCTION("""COMPUTED_VALUE"""),13.8)</f>
        <v>13.8</v>
      </c>
      <c r="F1125" s="2">
        <f>IFERROR(__xludf.DUMMYFUNCTION("""COMPUTED_VALUE"""),7173782.0)</f>
        <v>7173782</v>
      </c>
    </row>
    <row r="1126">
      <c r="A1126" s="3">
        <f>IFERROR(__xludf.DUMMYFUNCTION("""COMPUTED_VALUE"""),41988.66666666667)</f>
        <v>41988.66667</v>
      </c>
      <c r="B1126" s="2">
        <f>IFERROR(__xludf.DUMMYFUNCTION("""COMPUTED_VALUE"""),13.95)</f>
        <v>13.95</v>
      </c>
      <c r="C1126" s="2">
        <f>IFERROR(__xludf.DUMMYFUNCTION("""COMPUTED_VALUE"""),13.99)</f>
        <v>13.99</v>
      </c>
      <c r="D1126" s="2">
        <f>IFERROR(__xludf.DUMMYFUNCTION("""COMPUTED_VALUE"""),13.51)</f>
        <v>13.51</v>
      </c>
      <c r="E1126" s="2">
        <f>IFERROR(__xludf.DUMMYFUNCTION("""COMPUTED_VALUE"""),13.6)</f>
        <v>13.6</v>
      </c>
      <c r="F1126" s="2">
        <f>IFERROR(__xludf.DUMMYFUNCTION("""COMPUTED_VALUE"""),5218252.0)</f>
        <v>5218252</v>
      </c>
    </row>
    <row r="1127">
      <c r="A1127" s="3">
        <f>IFERROR(__xludf.DUMMYFUNCTION("""COMPUTED_VALUE"""),41989.66666666667)</f>
        <v>41989.66667</v>
      </c>
      <c r="B1127" s="2">
        <f>IFERROR(__xludf.DUMMYFUNCTION("""COMPUTED_VALUE"""),13.38)</f>
        <v>13.38</v>
      </c>
      <c r="C1127" s="2">
        <f>IFERROR(__xludf.DUMMYFUNCTION("""COMPUTED_VALUE"""),13.58)</f>
        <v>13.58</v>
      </c>
      <c r="D1127" s="2">
        <f>IFERROR(__xludf.DUMMYFUNCTION("""COMPUTED_VALUE"""),13.02)</f>
        <v>13.02</v>
      </c>
      <c r="E1127" s="2">
        <f>IFERROR(__xludf.DUMMYFUNCTION("""COMPUTED_VALUE"""),13.19)</f>
        <v>13.19</v>
      </c>
      <c r="F1127" s="2">
        <f>IFERROR(__xludf.DUMMYFUNCTION("""COMPUTED_VALUE"""),8426105.0)</f>
        <v>8426105</v>
      </c>
    </row>
    <row r="1128">
      <c r="A1128" s="3">
        <f>IFERROR(__xludf.DUMMYFUNCTION("""COMPUTED_VALUE"""),41990.66666666667)</f>
        <v>41990.66667</v>
      </c>
      <c r="B1128" s="2">
        <f>IFERROR(__xludf.DUMMYFUNCTION("""COMPUTED_VALUE"""),12.87)</f>
        <v>12.87</v>
      </c>
      <c r="C1128" s="2">
        <f>IFERROR(__xludf.DUMMYFUNCTION("""COMPUTED_VALUE"""),13.78)</f>
        <v>13.78</v>
      </c>
      <c r="D1128" s="2">
        <f>IFERROR(__xludf.DUMMYFUNCTION("""COMPUTED_VALUE"""),12.84)</f>
        <v>12.84</v>
      </c>
      <c r="E1128" s="2">
        <f>IFERROR(__xludf.DUMMYFUNCTION("""COMPUTED_VALUE"""),13.72)</f>
        <v>13.72</v>
      </c>
      <c r="F1128" s="2">
        <f>IFERROR(__xludf.DUMMYFUNCTION("""COMPUTED_VALUE"""),7367834.0)</f>
        <v>7367834</v>
      </c>
    </row>
    <row r="1129">
      <c r="A1129" s="3">
        <f>IFERROR(__xludf.DUMMYFUNCTION("""COMPUTED_VALUE"""),41991.66666666667)</f>
        <v>41991.66667</v>
      </c>
      <c r="B1129" s="2">
        <f>IFERROR(__xludf.DUMMYFUNCTION("""COMPUTED_VALUE"""),14.15)</f>
        <v>14.15</v>
      </c>
      <c r="C1129" s="2">
        <f>IFERROR(__xludf.DUMMYFUNCTION("""COMPUTED_VALUE"""),14.56)</f>
        <v>14.56</v>
      </c>
      <c r="D1129" s="2">
        <f>IFERROR(__xludf.DUMMYFUNCTION("""COMPUTED_VALUE"""),14.12)</f>
        <v>14.12</v>
      </c>
      <c r="E1129" s="2">
        <f>IFERROR(__xludf.DUMMYFUNCTION("""COMPUTED_VALUE"""),14.55)</f>
        <v>14.55</v>
      </c>
      <c r="F1129" s="2">
        <f>IFERROR(__xludf.DUMMYFUNCTION("""COMPUTED_VALUE"""),7483349.0)</f>
        <v>7483349</v>
      </c>
    </row>
    <row r="1130">
      <c r="A1130" s="3">
        <f>IFERROR(__xludf.DUMMYFUNCTION("""COMPUTED_VALUE"""),41992.66666666667)</f>
        <v>41992.66667</v>
      </c>
      <c r="B1130" s="2">
        <f>IFERROR(__xludf.DUMMYFUNCTION("""COMPUTED_VALUE"""),14.68)</f>
        <v>14.68</v>
      </c>
      <c r="C1130" s="2">
        <f>IFERROR(__xludf.DUMMYFUNCTION("""COMPUTED_VALUE"""),14.69)</f>
        <v>14.69</v>
      </c>
      <c r="D1130" s="2">
        <f>IFERROR(__xludf.DUMMYFUNCTION("""COMPUTED_VALUE"""),14.3)</f>
        <v>14.3</v>
      </c>
      <c r="E1130" s="2">
        <f>IFERROR(__xludf.DUMMYFUNCTION("""COMPUTED_VALUE"""),14.62)</f>
        <v>14.62</v>
      </c>
      <c r="F1130" s="2">
        <f>IFERROR(__xludf.DUMMYFUNCTION("""COMPUTED_VALUE"""),6910461.0)</f>
        <v>6910461</v>
      </c>
    </row>
    <row r="1131">
      <c r="A1131" s="3">
        <f>IFERROR(__xludf.DUMMYFUNCTION("""COMPUTED_VALUE"""),41995.66666666667)</f>
        <v>41995.66667</v>
      </c>
      <c r="B1131" s="2">
        <f>IFERROR(__xludf.DUMMYFUNCTION("""COMPUTED_VALUE"""),14.67)</f>
        <v>14.67</v>
      </c>
      <c r="C1131" s="2">
        <f>IFERROR(__xludf.DUMMYFUNCTION("""COMPUTED_VALUE"""),14.94)</f>
        <v>14.94</v>
      </c>
      <c r="D1131" s="2">
        <f>IFERROR(__xludf.DUMMYFUNCTION("""COMPUTED_VALUE"""),14.55)</f>
        <v>14.55</v>
      </c>
      <c r="E1131" s="2">
        <f>IFERROR(__xludf.DUMMYFUNCTION("""COMPUTED_VALUE"""),14.84)</f>
        <v>14.84</v>
      </c>
      <c r="F1131" s="2">
        <f>IFERROR(__xludf.DUMMYFUNCTION("""COMPUTED_VALUE"""),4806917.0)</f>
        <v>4806917</v>
      </c>
    </row>
    <row r="1132">
      <c r="A1132" s="3">
        <f>IFERROR(__xludf.DUMMYFUNCTION("""COMPUTED_VALUE"""),41996.66666666667)</f>
        <v>41996.66667</v>
      </c>
      <c r="B1132" s="2">
        <f>IFERROR(__xludf.DUMMYFUNCTION("""COMPUTED_VALUE"""),14.92)</f>
        <v>14.92</v>
      </c>
      <c r="C1132" s="2">
        <f>IFERROR(__xludf.DUMMYFUNCTION("""COMPUTED_VALUE"""),14.95)</f>
        <v>14.95</v>
      </c>
      <c r="D1132" s="2">
        <f>IFERROR(__xludf.DUMMYFUNCTION("""COMPUTED_VALUE"""),14.63)</f>
        <v>14.63</v>
      </c>
      <c r="E1132" s="2">
        <f>IFERROR(__xludf.DUMMYFUNCTION("""COMPUTED_VALUE"""),14.73)</f>
        <v>14.73</v>
      </c>
      <c r="F1132" s="2">
        <f>IFERROR(__xludf.DUMMYFUNCTION("""COMPUTED_VALUE"""),4513321.0)</f>
        <v>4513321</v>
      </c>
    </row>
    <row r="1133">
      <c r="A1133" s="3">
        <f>IFERROR(__xludf.DUMMYFUNCTION("""COMPUTED_VALUE"""),41997.66666666667)</f>
        <v>41997.66667</v>
      </c>
      <c r="B1133" s="2">
        <f>IFERROR(__xludf.DUMMYFUNCTION("""COMPUTED_VALUE"""),14.65)</f>
        <v>14.65</v>
      </c>
      <c r="C1133" s="2">
        <f>IFERROR(__xludf.DUMMYFUNCTION("""COMPUTED_VALUE"""),14.83)</f>
        <v>14.83</v>
      </c>
      <c r="D1133" s="2">
        <f>IFERROR(__xludf.DUMMYFUNCTION("""COMPUTED_VALUE"""),14.62)</f>
        <v>14.62</v>
      </c>
      <c r="E1133" s="2">
        <f>IFERROR(__xludf.DUMMYFUNCTION("""COMPUTED_VALUE"""),14.82)</f>
        <v>14.82</v>
      </c>
      <c r="F1133" s="2">
        <f>IFERROR(__xludf.DUMMYFUNCTION("""COMPUTED_VALUE"""),1333518.0)</f>
        <v>1333518</v>
      </c>
    </row>
    <row r="1134">
      <c r="A1134" s="3">
        <f>IFERROR(__xludf.DUMMYFUNCTION("""COMPUTED_VALUE"""),41999.66666666667)</f>
        <v>41999.66667</v>
      </c>
      <c r="B1134" s="2">
        <f>IFERROR(__xludf.DUMMYFUNCTION("""COMPUTED_VALUE"""),14.77)</f>
        <v>14.77</v>
      </c>
      <c r="C1134" s="2">
        <f>IFERROR(__xludf.DUMMYFUNCTION("""COMPUTED_VALUE"""),15.23)</f>
        <v>15.23</v>
      </c>
      <c r="D1134" s="2">
        <f>IFERROR(__xludf.DUMMYFUNCTION("""COMPUTED_VALUE"""),14.77)</f>
        <v>14.77</v>
      </c>
      <c r="E1134" s="2">
        <f>IFERROR(__xludf.DUMMYFUNCTION("""COMPUTED_VALUE"""),15.19)</f>
        <v>15.19</v>
      </c>
      <c r="F1134" s="2">
        <f>IFERROR(__xludf.DUMMYFUNCTION("""COMPUTED_VALUE"""),3327016.0)</f>
        <v>3327016</v>
      </c>
    </row>
    <row r="1135">
      <c r="A1135" s="3">
        <f>IFERROR(__xludf.DUMMYFUNCTION("""COMPUTED_VALUE"""),42002.66666666667)</f>
        <v>42002.66667</v>
      </c>
      <c r="B1135" s="2">
        <f>IFERROR(__xludf.DUMMYFUNCTION("""COMPUTED_VALUE"""),15.13)</f>
        <v>15.13</v>
      </c>
      <c r="C1135" s="2">
        <f>IFERROR(__xludf.DUMMYFUNCTION("""COMPUTED_VALUE"""),15.19)</f>
        <v>15.19</v>
      </c>
      <c r="D1135" s="2">
        <f>IFERROR(__xludf.DUMMYFUNCTION("""COMPUTED_VALUE"""),14.93)</f>
        <v>14.93</v>
      </c>
      <c r="E1135" s="2">
        <f>IFERROR(__xludf.DUMMYFUNCTION("""COMPUTED_VALUE"""),15.05)</f>
        <v>15.05</v>
      </c>
      <c r="F1135" s="2">
        <f>IFERROR(__xludf.DUMMYFUNCTION("""COMPUTED_VALUE"""),2811828.0)</f>
        <v>2811828</v>
      </c>
    </row>
    <row r="1136">
      <c r="A1136" s="3">
        <f>IFERROR(__xludf.DUMMYFUNCTION("""COMPUTED_VALUE"""),42003.66666666667)</f>
        <v>42003.66667</v>
      </c>
      <c r="B1136" s="2">
        <f>IFERROR(__xludf.DUMMYFUNCTION("""COMPUTED_VALUE"""),14.93)</f>
        <v>14.93</v>
      </c>
      <c r="C1136" s="2">
        <f>IFERROR(__xludf.DUMMYFUNCTION("""COMPUTED_VALUE"""),15.04)</f>
        <v>15.04</v>
      </c>
      <c r="D1136" s="2">
        <f>IFERROR(__xludf.DUMMYFUNCTION("""COMPUTED_VALUE"""),14.76)</f>
        <v>14.76</v>
      </c>
      <c r="E1136" s="2">
        <f>IFERROR(__xludf.DUMMYFUNCTION("""COMPUTED_VALUE"""),14.82)</f>
        <v>14.82</v>
      </c>
      <c r="F1136" s="2">
        <f>IFERROR(__xludf.DUMMYFUNCTION("""COMPUTED_VALUE"""),2903242.0)</f>
        <v>2903242</v>
      </c>
    </row>
    <row r="1137">
      <c r="A1137" s="3">
        <f>IFERROR(__xludf.DUMMYFUNCTION("""COMPUTED_VALUE"""),42004.66666666667)</f>
        <v>42004.66667</v>
      </c>
      <c r="B1137" s="2">
        <f>IFERROR(__xludf.DUMMYFUNCTION("""COMPUTED_VALUE"""),14.87)</f>
        <v>14.87</v>
      </c>
      <c r="C1137" s="2">
        <f>IFERROR(__xludf.DUMMYFUNCTION("""COMPUTED_VALUE"""),15.05)</f>
        <v>15.05</v>
      </c>
      <c r="D1137" s="2">
        <f>IFERROR(__xludf.DUMMYFUNCTION("""COMPUTED_VALUE"""),14.82)</f>
        <v>14.82</v>
      </c>
      <c r="E1137" s="2">
        <f>IFERROR(__xludf.DUMMYFUNCTION("""COMPUTED_VALUE"""),14.83)</f>
        <v>14.83</v>
      </c>
      <c r="F1137" s="2">
        <f>IFERROR(__xludf.DUMMYFUNCTION("""COMPUTED_VALUE"""),2402097.0)</f>
        <v>2402097</v>
      </c>
    </row>
    <row r="1138">
      <c r="A1138" s="3">
        <f>IFERROR(__xludf.DUMMYFUNCTION("""COMPUTED_VALUE"""),42006.66666666667)</f>
        <v>42006.66667</v>
      </c>
      <c r="B1138" s="2">
        <f>IFERROR(__xludf.DUMMYFUNCTION("""COMPUTED_VALUE"""),14.84)</f>
        <v>14.84</v>
      </c>
      <c r="C1138" s="2">
        <f>IFERROR(__xludf.DUMMYFUNCTION("""COMPUTED_VALUE"""),14.88)</f>
        <v>14.88</v>
      </c>
      <c r="D1138" s="2">
        <f>IFERROR(__xludf.DUMMYFUNCTION("""COMPUTED_VALUE"""),14.22)</f>
        <v>14.22</v>
      </c>
      <c r="E1138" s="2">
        <f>IFERROR(__xludf.DUMMYFUNCTION("""COMPUTED_VALUE"""),14.62)</f>
        <v>14.62</v>
      </c>
      <c r="F1138" s="2">
        <f>IFERROR(__xludf.DUMMYFUNCTION("""COMPUTED_VALUE"""),4764443.0)</f>
        <v>4764443</v>
      </c>
    </row>
    <row r="1139">
      <c r="A1139" s="3">
        <f>IFERROR(__xludf.DUMMYFUNCTION("""COMPUTED_VALUE"""),42009.66666666667)</f>
        <v>42009.66667</v>
      </c>
      <c r="B1139" s="2">
        <f>IFERROR(__xludf.DUMMYFUNCTION("""COMPUTED_VALUE"""),14.3)</f>
        <v>14.3</v>
      </c>
      <c r="C1139" s="2">
        <f>IFERROR(__xludf.DUMMYFUNCTION("""COMPUTED_VALUE"""),14.43)</f>
        <v>14.43</v>
      </c>
      <c r="D1139" s="2">
        <f>IFERROR(__xludf.DUMMYFUNCTION("""COMPUTED_VALUE"""),13.81)</f>
        <v>13.81</v>
      </c>
      <c r="E1139" s="2">
        <f>IFERROR(__xludf.DUMMYFUNCTION("""COMPUTED_VALUE"""),14.01)</f>
        <v>14.01</v>
      </c>
      <c r="F1139" s="2">
        <f>IFERROR(__xludf.DUMMYFUNCTION("""COMPUTED_VALUE"""),5368477.0)</f>
        <v>5368477</v>
      </c>
    </row>
    <row r="1140">
      <c r="A1140" s="3">
        <f>IFERROR(__xludf.DUMMYFUNCTION("""COMPUTED_VALUE"""),42010.66666666667)</f>
        <v>42010.66667</v>
      </c>
      <c r="B1140" s="2">
        <f>IFERROR(__xludf.DUMMYFUNCTION("""COMPUTED_VALUE"""),14.0)</f>
        <v>14</v>
      </c>
      <c r="C1140" s="2">
        <f>IFERROR(__xludf.DUMMYFUNCTION("""COMPUTED_VALUE"""),14.28)</f>
        <v>14.28</v>
      </c>
      <c r="D1140" s="2">
        <f>IFERROR(__xludf.DUMMYFUNCTION("""COMPUTED_VALUE"""),13.61)</f>
        <v>13.61</v>
      </c>
      <c r="E1140" s="2">
        <f>IFERROR(__xludf.DUMMYFUNCTION("""COMPUTED_VALUE"""),14.09)</f>
        <v>14.09</v>
      </c>
      <c r="F1140" s="2">
        <f>IFERROR(__xludf.DUMMYFUNCTION("""COMPUTED_VALUE"""),6261936.0)</f>
        <v>6261936</v>
      </c>
    </row>
    <row r="1141">
      <c r="A1141" s="3">
        <f>IFERROR(__xludf.DUMMYFUNCTION("""COMPUTED_VALUE"""),42011.66666666667)</f>
        <v>42011.66667</v>
      </c>
      <c r="B1141" s="2">
        <f>IFERROR(__xludf.DUMMYFUNCTION("""COMPUTED_VALUE"""),14.23)</f>
        <v>14.23</v>
      </c>
      <c r="C1141" s="2">
        <f>IFERROR(__xludf.DUMMYFUNCTION("""COMPUTED_VALUE"""),14.32)</f>
        <v>14.32</v>
      </c>
      <c r="D1141" s="2">
        <f>IFERROR(__xludf.DUMMYFUNCTION("""COMPUTED_VALUE"""),13.99)</f>
        <v>13.99</v>
      </c>
      <c r="E1141" s="2">
        <f>IFERROR(__xludf.DUMMYFUNCTION("""COMPUTED_VALUE"""),14.06)</f>
        <v>14.06</v>
      </c>
      <c r="F1141" s="2">
        <f>IFERROR(__xludf.DUMMYFUNCTION("""COMPUTED_VALUE"""),2968390.0)</f>
        <v>2968390</v>
      </c>
    </row>
    <row r="1142">
      <c r="A1142" s="3">
        <f>IFERROR(__xludf.DUMMYFUNCTION("""COMPUTED_VALUE"""),42012.66666666667)</f>
        <v>42012.66667</v>
      </c>
      <c r="B1142" s="2">
        <f>IFERROR(__xludf.DUMMYFUNCTION("""COMPUTED_VALUE"""),14.19)</f>
        <v>14.19</v>
      </c>
      <c r="C1142" s="2">
        <f>IFERROR(__xludf.DUMMYFUNCTION("""COMPUTED_VALUE"""),14.25)</f>
        <v>14.25</v>
      </c>
      <c r="D1142" s="2">
        <f>IFERROR(__xludf.DUMMYFUNCTION("""COMPUTED_VALUE"""),14.0)</f>
        <v>14</v>
      </c>
      <c r="E1142" s="2">
        <f>IFERROR(__xludf.DUMMYFUNCTION("""COMPUTED_VALUE"""),14.04)</f>
        <v>14.04</v>
      </c>
      <c r="F1142" s="2">
        <f>IFERROR(__xludf.DUMMYFUNCTION("""COMPUTED_VALUE"""),3442509.0)</f>
        <v>3442509</v>
      </c>
    </row>
    <row r="1143">
      <c r="A1143" s="3">
        <f>IFERROR(__xludf.DUMMYFUNCTION("""COMPUTED_VALUE"""),42013.66666666667)</f>
        <v>42013.66667</v>
      </c>
      <c r="B1143" s="2">
        <f>IFERROR(__xludf.DUMMYFUNCTION("""COMPUTED_VALUE"""),13.92)</f>
        <v>13.92</v>
      </c>
      <c r="C1143" s="2">
        <f>IFERROR(__xludf.DUMMYFUNCTION("""COMPUTED_VALUE"""),14.0)</f>
        <v>14</v>
      </c>
      <c r="D1143" s="2">
        <f>IFERROR(__xludf.DUMMYFUNCTION("""COMPUTED_VALUE"""),13.66)</f>
        <v>13.66</v>
      </c>
      <c r="E1143" s="2">
        <f>IFERROR(__xludf.DUMMYFUNCTION("""COMPUTED_VALUE"""),13.78)</f>
        <v>13.78</v>
      </c>
      <c r="F1143" s="2">
        <f>IFERROR(__xludf.DUMMYFUNCTION("""COMPUTED_VALUE"""),4668295.0)</f>
        <v>4668295</v>
      </c>
    </row>
    <row r="1144">
      <c r="A1144" s="3">
        <f>IFERROR(__xludf.DUMMYFUNCTION("""COMPUTED_VALUE"""),42016.66666666667)</f>
        <v>42016.66667</v>
      </c>
      <c r="B1144" s="2">
        <f>IFERROR(__xludf.DUMMYFUNCTION("""COMPUTED_VALUE"""),13.54)</f>
        <v>13.54</v>
      </c>
      <c r="C1144" s="2">
        <f>IFERROR(__xludf.DUMMYFUNCTION("""COMPUTED_VALUE"""),13.63)</f>
        <v>13.63</v>
      </c>
      <c r="D1144" s="2">
        <f>IFERROR(__xludf.DUMMYFUNCTION("""COMPUTED_VALUE"""),13.28)</f>
        <v>13.28</v>
      </c>
      <c r="E1144" s="2">
        <f>IFERROR(__xludf.DUMMYFUNCTION("""COMPUTED_VALUE"""),13.48)</f>
        <v>13.48</v>
      </c>
      <c r="F1144" s="2">
        <f>IFERROR(__xludf.DUMMYFUNCTION("""COMPUTED_VALUE"""),5950280.0)</f>
        <v>5950280</v>
      </c>
    </row>
    <row r="1145">
      <c r="A1145" s="3">
        <f>IFERROR(__xludf.DUMMYFUNCTION("""COMPUTED_VALUE"""),42017.66666666667)</f>
        <v>42017.66667</v>
      </c>
      <c r="B1145" s="2">
        <f>IFERROR(__xludf.DUMMYFUNCTION("""COMPUTED_VALUE"""),13.55)</f>
        <v>13.55</v>
      </c>
      <c r="C1145" s="2">
        <f>IFERROR(__xludf.DUMMYFUNCTION("""COMPUTED_VALUE"""),13.84)</f>
        <v>13.84</v>
      </c>
      <c r="D1145" s="2">
        <f>IFERROR(__xludf.DUMMYFUNCTION("""COMPUTED_VALUE"""),13.39)</f>
        <v>13.39</v>
      </c>
      <c r="E1145" s="2">
        <f>IFERROR(__xludf.DUMMYFUNCTION("""COMPUTED_VALUE"""),13.62)</f>
        <v>13.62</v>
      </c>
      <c r="F1145" s="2">
        <f>IFERROR(__xludf.DUMMYFUNCTION("""COMPUTED_VALUE"""),4477320.0)</f>
        <v>4477320</v>
      </c>
    </row>
    <row r="1146">
      <c r="A1146" s="3">
        <f>IFERROR(__xludf.DUMMYFUNCTION("""COMPUTED_VALUE"""),42018.66666666667)</f>
        <v>42018.66667</v>
      </c>
      <c r="B1146" s="2">
        <f>IFERROR(__xludf.DUMMYFUNCTION("""COMPUTED_VALUE"""),12.39)</f>
        <v>12.39</v>
      </c>
      <c r="C1146" s="2">
        <f>IFERROR(__xludf.DUMMYFUNCTION("""COMPUTED_VALUE"""),13.01)</f>
        <v>13.01</v>
      </c>
      <c r="D1146" s="2">
        <f>IFERROR(__xludf.DUMMYFUNCTION("""COMPUTED_VALUE"""),12.33)</f>
        <v>12.33</v>
      </c>
      <c r="E1146" s="2">
        <f>IFERROR(__xludf.DUMMYFUNCTION("""COMPUTED_VALUE"""),12.85)</f>
        <v>12.85</v>
      </c>
      <c r="F1146" s="2">
        <f>IFERROR(__xludf.DUMMYFUNCTION("""COMPUTED_VALUE"""),1.1551855E7)</f>
        <v>11551855</v>
      </c>
    </row>
    <row r="1147">
      <c r="A1147" s="3">
        <f>IFERROR(__xludf.DUMMYFUNCTION("""COMPUTED_VALUE"""),42019.66666666667)</f>
        <v>42019.66667</v>
      </c>
      <c r="B1147" s="2">
        <f>IFERROR(__xludf.DUMMYFUNCTION("""COMPUTED_VALUE"""),12.97)</f>
        <v>12.97</v>
      </c>
      <c r="C1147" s="2">
        <f>IFERROR(__xludf.DUMMYFUNCTION("""COMPUTED_VALUE"""),13.05)</f>
        <v>13.05</v>
      </c>
      <c r="D1147" s="2">
        <f>IFERROR(__xludf.DUMMYFUNCTION("""COMPUTED_VALUE"""),12.67)</f>
        <v>12.67</v>
      </c>
      <c r="E1147" s="2">
        <f>IFERROR(__xludf.DUMMYFUNCTION("""COMPUTED_VALUE"""),12.79)</f>
        <v>12.79</v>
      </c>
      <c r="F1147" s="2">
        <f>IFERROR(__xludf.DUMMYFUNCTION("""COMPUTED_VALUE"""),5216524.0)</f>
        <v>5216524</v>
      </c>
    </row>
    <row r="1148">
      <c r="A1148" s="3">
        <f>IFERROR(__xludf.DUMMYFUNCTION("""COMPUTED_VALUE"""),42020.66666666667)</f>
        <v>42020.66667</v>
      </c>
      <c r="B1148" s="2">
        <f>IFERROR(__xludf.DUMMYFUNCTION("""COMPUTED_VALUE"""),12.71)</f>
        <v>12.71</v>
      </c>
      <c r="C1148" s="2">
        <f>IFERROR(__xludf.DUMMYFUNCTION("""COMPUTED_VALUE"""),12.97)</f>
        <v>12.97</v>
      </c>
      <c r="D1148" s="2">
        <f>IFERROR(__xludf.DUMMYFUNCTION("""COMPUTED_VALUE"""),12.64)</f>
        <v>12.64</v>
      </c>
      <c r="E1148" s="2">
        <f>IFERROR(__xludf.DUMMYFUNCTION("""COMPUTED_VALUE"""),12.87)</f>
        <v>12.87</v>
      </c>
      <c r="F1148" s="2">
        <f>IFERROR(__xludf.DUMMYFUNCTION("""COMPUTED_VALUE"""),3603158.0)</f>
        <v>3603158</v>
      </c>
    </row>
    <row r="1149">
      <c r="A1149" s="3">
        <f>IFERROR(__xludf.DUMMYFUNCTION("""COMPUTED_VALUE"""),42024.66666666667)</f>
        <v>42024.66667</v>
      </c>
      <c r="B1149" s="2">
        <f>IFERROR(__xludf.DUMMYFUNCTION("""COMPUTED_VALUE"""),12.92)</f>
        <v>12.92</v>
      </c>
      <c r="C1149" s="2">
        <f>IFERROR(__xludf.DUMMYFUNCTION("""COMPUTED_VALUE"""),12.94)</f>
        <v>12.94</v>
      </c>
      <c r="D1149" s="2">
        <f>IFERROR(__xludf.DUMMYFUNCTION("""COMPUTED_VALUE"""),12.47)</f>
        <v>12.47</v>
      </c>
      <c r="E1149" s="2">
        <f>IFERROR(__xludf.DUMMYFUNCTION("""COMPUTED_VALUE"""),12.8)</f>
        <v>12.8</v>
      </c>
      <c r="F1149" s="2">
        <f>IFERROR(__xludf.DUMMYFUNCTION("""COMPUTED_VALUE"""),4503182.0)</f>
        <v>4503182</v>
      </c>
    </row>
    <row r="1150">
      <c r="A1150" s="3">
        <f>IFERROR(__xludf.DUMMYFUNCTION("""COMPUTED_VALUE"""),42025.66666666667)</f>
        <v>42025.66667</v>
      </c>
      <c r="B1150" s="2">
        <f>IFERROR(__xludf.DUMMYFUNCTION("""COMPUTED_VALUE"""),12.64)</f>
        <v>12.64</v>
      </c>
      <c r="C1150" s="2">
        <f>IFERROR(__xludf.DUMMYFUNCTION("""COMPUTED_VALUE"""),13.25)</f>
        <v>13.25</v>
      </c>
      <c r="D1150" s="2">
        <f>IFERROR(__xludf.DUMMYFUNCTION("""COMPUTED_VALUE"""),12.63)</f>
        <v>12.63</v>
      </c>
      <c r="E1150" s="2">
        <f>IFERROR(__xludf.DUMMYFUNCTION("""COMPUTED_VALUE"""),13.1)</f>
        <v>13.1</v>
      </c>
      <c r="F1150" s="2">
        <f>IFERROR(__xludf.DUMMYFUNCTION("""COMPUTED_VALUE"""),4153043.0)</f>
        <v>4153043</v>
      </c>
    </row>
    <row r="1151">
      <c r="A1151" s="3">
        <f>IFERROR(__xludf.DUMMYFUNCTION("""COMPUTED_VALUE"""),42026.66666666667)</f>
        <v>42026.66667</v>
      </c>
      <c r="B1151" s="2">
        <f>IFERROR(__xludf.DUMMYFUNCTION("""COMPUTED_VALUE"""),13.13)</f>
        <v>13.13</v>
      </c>
      <c r="C1151" s="2">
        <f>IFERROR(__xludf.DUMMYFUNCTION("""COMPUTED_VALUE"""),13.55)</f>
        <v>13.55</v>
      </c>
      <c r="D1151" s="2">
        <f>IFERROR(__xludf.DUMMYFUNCTION("""COMPUTED_VALUE"""),13.01)</f>
        <v>13.01</v>
      </c>
      <c r="E1151" s="2">
        <f>IFERROR(__xludf.DUMMYFUNCTION("""COMPUTED_VALUE"""),13.44)</f>
        <v>13.44</v>
      </c>
      <c r="F1151" s="2">
        <f>IFERROR(__xludf.DUMMYFUNCTION("""COMPUTED_VALUE"""),4116905.0)</f>
        <v>4116905</v>
      </c>
    </row>
    <row r="1152">
      <c r="A1152" s="3">
        <f>IFERROR(__xludf.DUMMYFUNCTION("""COMPUTED_VALUE"""),42027.66666666667)</f>
        <v>42027.66667</v>
      </c>
      <c r="B1152" s="2">
        <f>IFERROR(__xludf.DUMMYFUNCTION("""COMPUTED_VALUE"""),13.35)</f>
        <v>13.35</v>
      </c>
      <c r="C1152" s="2">
        <f>IFERROR(__xludf.DUMMYFUNCTION("""COMPUTED_VALUE"""),13.57)</f>
        <v>13.57</v>
      </c>
      <c r="D1152" s="2">
        <f>IFERROR(__xludf.DUMMYFUNCTION("""COMPUTED_VALUE"""),13.22)</f>
        <v>13.22</v>
      </c>
      <c r="E1152" s="2">
        <f>IFERROR(__xludf.DUMMYFUNCTION("""COMPUTED_VALUE"""),13.42)</f>
        <v>13.42</v>
      </c>
      <c r="F1152" s="2">
        <f>IFERROR(__xludf.DUMMYFUNCTION("""COMPUTED_VALUE"""),3442371.0)</f>
        <v>3442371</v>
      </c>
    </row>
    <row r="1153">
      <c r="A1153" s="3">
        <f>IFERROR(__xludf.DUMMYFUNCTION("""COMPUTED_VALUE"""),42030.66666666667)</f>
        <v>42030.66667</v>
      </c>
      <c r="B1153" s="2">
        <f>IFERROR(__xludf.DUMMYFUNCTION("""COMPUTED_VALUE"""),13.43)</f>
        <v>13.43</v>
      </c>
      <c r="C1153" s="2">
        <f>IFERROR(__xludf.DUMMYFUNCTION("""COMPUTED_VALUE"""),13.91)</f>
        <v>13.91</v>
      </c>
      <c r="D1153" s="2">
        <f>IFERROR(__xludf.DUMMYFUNCTION("""COMPUTED_VALUE"""),13.4)</f>
        <v>13.4</v>
      </c>
      <c r="E1153" s="2">
        <f>IFERROR(__xludf.DUMMYFUNCTION("""COMPUTED_VALUE"""),13.77)</f>
        <v>13.77</v>
      </c>
      <c r="F1153" s="2">
        <f>IFERROR(__xludf.DUMMYFUNCTION("""COMPUTED_VALUE"""),3234522.0)</f>
        <v>3234522</v>
      </c>
    </row>
    <row r="1154">
      <c r="A1154" s="3">
        <f>IFERROR(__xludf.DUMMYFUNCTION("""COMPUTED_VALUE"""),42031.66666666667)</f>
        <v>42031.66667</v>
      </c>
      <c r="B1154" s="2">
        <f>IFERROR(__xludf.DUMMYFUNCTION("""COMPUTED_VALUE"""),13.63)</f>
        <v>13.63</v>
      </c>
      <c r="C1154" s="2">
        <f>IFERROR(__xludf.DUMMYFUNCTION("""COMPUTED_VALUE"""),13.87)</f>
        <v>13.87</v>
      </c>
      <c r="D1154" s="2">
        <f>IFERROR(__xludf.DUMMYFUNCTION("""COMPUTED_VALUE"""),13.55)</f>
        <v>13.55</v>
      </c>
      <c r="E1154" s="2">
        <f>IFERROR(__xludf.DUMMYFUNCTION("""COMPUTED_VALUE"""),13.73)</f>
        <v>13.73</v>
      </c>
      <c r="F1154" s="2">
        <f>IFERROR(__xludf.DUMMYFUNCTION("""COMPUTED_VALUE"""),2781024.0)</f>
        <v>2781024</v>
      </c>
    </row>
    <row r="1155">
      <c r="A1155" s="3">
        <f>IFERROR(__xludf.DUMMYFUNCTION("""COMPUTED_VALUE"""),42032.66666666667)</f>
        <v>42032.66667</v>
      </c>
      <c r="B1155" s="2">
        <f>IFERROR(__xludf.DUMMYFUNCTION("""COMPUTED_VALUE"""),13.75)</f>
        <v>13.75</v>
      </c>
      <c r="C1155" s="2">
        <f>IFERROR(__xludf.DUMMYFUNCTION("""COMPUTED_VALUE"""),13.76)</f>
        <v>13.76</v>
      </c>
      <c r="D1155" s="2">
        <f>IFERROR(__xludf.DUMMYFUNCTION("""COMPUTED_VALUE"""),13.23)</f>
        <v>13.23</v>
      </c>
      <c r="E1155" s="2">
        <f>IFERROR(__xludf.DUMMYFUNCTION("""COMPUTED_VALUE"""),13.29)</f>
        <v>13.29</v>
      </c>
      <c r="F1155" s="2">
        <f>IFERROR(__xludf.DUMMYFUNCTION("""COMPUTED_VALUE"""),3149606.0)</f>
        <v>3149606</v>
      </c>
    </row>
    <row r="1156">
      <c r="A1156" s="3">
        <f>IFERROR(__xludf.DUMMYFUNCTION("""COMPUTED_VALUE"""),42033.66666666667)</f>
        <v>42033.66667</v>
      </c>
      <c r="B1156" s="2">
        <f>IFERROR(__xludf.DUMMYFUNCTION("""COMPUTED_VALUE"""),13.41)</f>
        <v>13.41</v>
      </c>
      <c r="C1156" s="2">
        <f>IFERROR(__xludf.DUMMYFUNCTION("""COMPUTED_VALUE"""),13.73)</f>
        <v>13.73</v>
      </c>
      <c r="D1156" s="2">
        <f>IFERROR(__xludf.DUMMYFUNCTION("""COMPUTED_VALUE"""),13.1)</f>
        <v>13.1</v>
      </c>
      <c r="E1156" s="2">
        <f>IFERROR(__xludf.DUMMYFUNCTION("""COMPUTED_VALUE"""),13.68)</f>
        <v>13.68</v>
      </c>
      <c r="F1156" s="2">
        <f>IFERROR(__xludf.DUMMYFUNCTION("""COMPUTED_VALUE"""),3548106.0)</f>
        <v>3548106</v>
      </c>
    </row>
    <row r="1157">
      <c r="A1157" s="3">
        <f>IFERROR(__xludf.DUMMYFUNCTION("""COMPUTED_VALUE"""),42034.66666666667)</f>
        <v>42034.66667</v>
      </c>
      <c r="B1157" s="2">
        <f>IFERROR(__xludf.DUMMYFUNCTION("""COMPUTED_VALUE"""),13.59)</f>
        <v>13.59</v>
      </c>
      <c r="C1157" s="2">
        <f>IFERROR(__xludf.DUMMYFUNCTION("""COMPUTED_VALUE"""),13.83)</f>
        <v>13.83</v>
      </c>
      <c r="D1157" s="2">
        <f>IFERROR(__xludf.DUMMYFUNCTION("""COMPUTED_VALUE"""),13.53)</f>
        <v>13.53</v>
      </c>
      <c r="E1157" s="2">
        <f>IFERROR(__xludf.DUMMYFUNCTION("""COMPUTED_VALUE"""),13.57)</f>
        <v>13.57</v>
      </c>
      <c r="F1157" s="2">
        <f>IFERROR(__xludf.DUMMYFUNCTION("""COMPUTED_VALUE"""),3006959.0)</f>
        <v>3006959</v>
      </c>
    </row>
    <row r="1158">
      <c r="A1158" s="3">
        <f>IFERROR(__xludf.DUMMYFUNCTION("""COMPUTED_VALUE"""),42037.66666666667)</f>
        <v>42037.66667</v>
      </c>
      <c r="B1158" s="2">
        <f>IFERROR(__xludf.DUMMYFUNCTION("""COMPUTED_VALUE"""),13.6)</f>
        <v>13.6</v>
      </c>
      <c r="C1158" s="2">
        <f>IFERROR(__xludf.DUMMYFUNCTION("""COMPUTED_VALUE"""),14.13)</f>
        <v>14.13</v>
      </c>
      <c r="D1158" s="2">
        <f>IFERROR(__xludf.DUMMYFUNCTION("""COMPUTED_VALUE"""),13.55)</f>
        <v>13.55</v>
      </c>
      <c r="E1158" s="2">
        <f>IFERROR(__xludf.DUMMYFUNCTION("""COMPUTED_VALUE"""),14.06)</f>
        <v>14.06</v>
      </c>
      <c r="F1158" s="2">
        <f>IFERROR(__xludf.DUMMYFUNCTION("""COMPUTED_VALUE"""),4149186.0)</f>
        <v>4149186</v>
      </c>
    </row>
    <row r="1159">
      <c r="A1159" s="3">
        <f>IFERROR(__xludf.DUMMYFUNCTION("""COMPUTED_VALUE"""),42038.66666666667)</f>
        <v>42038.66667</v>
      </c>
      <c r="B1159" s="2">
        <f>IFERROR(__xludf.DUMMYFUNCTION("""COMPUTED_VALUE"""),14.21)</f>
        <v>14.21</v>
      </c>
      <c r="C1159" s="2">
        <f>IFERROR(__xludf.DUMMYFUNCTION("""COMPUTED_VALUE"""),14.69)</f>
        <v>14.69</v>
      </c>
      <c r="D1159" s="2">
        <f>IFERROR(__xludf.DUMMYFUNCTION("""COMPUTED_VALUE"""),14.08)</f>
        <v>14.08</v>
      </c>
      <c r="E1159" s="2">
        <f>IFERROR(__xludf.DUMMYFUNCTION("""COMPUTED_VALUE"""),14.56)</f>
        <v>14.56</v>
      </c>
      <c r="F1159" s="2">
        <f>IFERROR(__xludf.DUMMYFUNCTION("""COMPUTED_VALUE"""),4826244.0)</f>
        <v>4826244</v>
      </c>
    </row>
    <row r="1160">
      <c r="A1160" s="3">
        <f>IFERROR(__xludf.DUMMYFUNCTION("""COMPUTED_VALUE"""),42039.66666666667)</f>
        <v>42039.66667</v>
      </c>
      <c r="B1160" s="2">
        <f>IFERROR(__xludf.DUMMYFUNCTION("""COMPUTED_VALUE"""),14.55)</f>
        <v>14.55</v>
      </c>
      <c r="C1160" s="2">
        <f>IFERROR(__xludf.DUMMYFUNCTION("""COMPUTED_VALUE"""),14.77)</f>
        <v>14.77</v>
      </c>
      <c r="D1160" s="2">
        <f>IFERROR(__xludf.DUMMYFUNCTION("""COMPUTED_VALUE"""),14.45)</f>
        <v>14.45</v>
      </c>
      <c r="E1160" s="2">
        <f>IFERROR(__xludf.DUMMYFUNCTION("""COMPUTED_VALUE"""),14.57)</f>
        <v>14.57</v>
      </c>
      <c r="F1160" s="2">
        <f>IFERROR(__xludf.DUMMYFUNCTION("""COMPUTED_VALUE"""),3305377.0)</f>
        <v>3305377</v>
      </c>
    </row>
    <row r="1161">
      <c r="A1161" s="3">
        <f>IFERROR(__xludf.DUMMYFUNCTION("""COMPUTED_VALUE"""),42040.66666666667)</f>
        <v>42040.66667</v>
      </c>
      <c r="B1161" s="2">
        <f>IFERROR(__xludf.DUMMYFUNCTION("""COMPUTED_VALUE"""),14.66)</f>
        <v>14.66</v>
      </c>
      <c r="C1161" s="2">
        <f>IFERROR(__xludf.DUMMYFUNCTION("""COMPUTED_VALUE"""),15.03)</f>
        <v>15.03</v>
      </c>
      <c r="D1161" s="2">
        <f>IFERROR(__xludf.DUMMYFUNCTION("""COMPUTED_VALUE"""),14.64)</f>
        <v>14.64</v>
      </c>
      <c r="E1161" s="2">
        <f>IFERROR(__xludf.DUMMYFUNCTION("""COMPUTED_VALUE"""),14.73)</f>
        <v>14.73</v>
      </c>
      <c r="F1161" s="2">
        <f>IFERROR(__xludf.DUMMYFUNCTION("""COMPUTED_VALUE"""),3522947.0)</f>
        <v>3522947</v>
      </c>
    </row>
    <row r="1162">
      <c r="A1162" s="3">
        <f>IFERROR(__xludf.DUMMYFUNCTION("""COMPUTED_VALUE"""),42041.66666666667)</f>
        <v>42041.66667</v>
      </c>
      <c r="B1162" s="2">
        <f>IFERROR(__xludf.DUMMYFUNCTION("""COMPUTED_VALUE"""),14.8)</f>
        <v>14.8</v>
      </c>
      <c r="C1162" s="2">
        <f>IFERROR(__xludf.DUMMYFUNCTION("""COMPUTED_VALUE"""),14.89)</f>
        <v>14.89</v>
      </c>
      <c r="D1162" s="2">
        <f>IFERROR(__xludf.DUMMYFUNCTION("""COMPUTED_VALUE"""),14.43)</f>
        <v>14.43</v>
      </c>
      <c r="E1162" s="2">
        <f>IFERROR(__xludf.DUMMYFUNCTION("""COMPUTED_VALUE"""),14.49)</f>
        <v>14.49</v>
      </c>
      <c r="F1162" s="2">
        <f>IFERROR(__xludf.DUMMYFUNCTION("""COMPUTED_VALUE"""),3243931.0)</f>
        <v>3243931</v>
      </c>
    </row>
    <row r="1163">
      <c r="A1163" s="3">
        <f>IFERROR(__xludf.DUMMYFUNCTION("""COMPUTED_VALUE"""),42044.66666666667)</f>
        <v>42044.66667</v>
      </c>
      <c r="B1163" s="2">
        <f>IFERROR(__xludf.DUMMYFUNCTION("""COMPUTED_VALUE"""),14.36)</f>
        <v>14.36</v>
      </c>
      <c r="C1163" s="2">
        <f>IFERROR(__xludf.DUMMYFUNCTION("""COMPUTED_VALUE"""),14.53)</f>
        <v>14.53</v>
      </c>
      <c r="D1163" s="2">
        <f>IFERROR(__xludf.DUMMYFUNCTION("""COMPUTED_VALUE"""),14.13)</f>
        <v>14.13</v>
      </c>
      <c r="E1163" s="2">
        <f>IFERROR(__xludf.DUMMYFUNCTION("""COMPUTED_VALUE"""),14.5)</f>
        <v>14.5</v>
      </c>
      <c r="F1163" s="2">
        <f>IFERROR(__xludf.DUMMYFUNCTION("""COMPUTED_VALUE"""),3472423.0)</f>
        <v>3472423</v>
      </c>
    </row>
    <row r="1164">
      <c r="A1164" s="3">
        <f>IFERROR(__xludf.DUMMYFUNCTION("""COMPUTED_VALUE"""),42045.66666666667)</f>
        <v>42045.66667</v>
      </c>
      <c r="B1164" s="2">
        <f>IFERROR(__xludf.DUMMYFUNCTION("""COMPUTED_VALUE"""),14.5)</f>
        <v>14.5</v>
      </c>
      <c r="C1164" s="2">
        <f>IFERROR(__xludf.DUMMYFUNCTION("""COMPUTED_VALUE"""),14.7)</f>
        <v>14.7</v>
      </c>
      <c r="D1164" s="2">
        <f>IFERROR(__xludf.DUMMYFUNCTION("""COMPUTED_VALUE"""),14.33)</f>
        <v>14.33</v>
      </c>
      <c r="E1164" s="2">
        <f>IFERROR(__xludf.DUMMYFUNCTION("""COMPUTED_VALUE"""),14.42)</f>
        <v>14.42</v>
      </c>
      <c r="F1164" s="2">
        <f>IFERROR(__xludf.DUMMYFUNCTION("""COMPUTED_VALUE"""),5390542.0)</f>
        <v>5390542</v>
      </c>
    </row>
    <row r="1165">
      <c r="A1165" s="3">
        <f>IFERROR(__xludf.DUMMYFUNCTION("""COMPUTED_VALUE"""),42046.66666666667)</f>
        <v>42046.66667</v>
      </c>
      <c r="B1165" s="2">
        <f>IFERROR(__xludf.DUMMYFUNCTION("""COMPUTED_VALUE"""),14.15)</f>
        <v>14.15</v>
      </c>
      <c r="C1165" s="2">
        <f>IFERROR(__xludf.DUMMYFUNCTION("""COMPUTED_VALUE"""),14.32)</f>
        <v>14.32</v>
      </c>
      <c r="D1165" s="2">
        <f>IFERROR(__xludf.DUMMYFUNCTION("""COMPUTED_VALUE"""),13.82)</f>
        <v>13.82</v>
      </c>
      <c r="E1165" s="2">
        <f>IFERROR(__xludf.DUMMYFUNCTION("""COMPUTED_VALUE"""),14.19)</f>
        <v>14.19</v>
      </c>
      <c r="F1165" s="2">
        <f>IFERROR(__xludf.DUMMYFUNCTION("""COMPUTED_VALUE"""),9769102.0)</f>
        <v>9769102</v>
      </c>
    </row>
    <row r="1166">
      <c r="A1166" s="3">
        <f>IFERROR(__xludf.DUMMYFUNCTION("""COMPUTED_VALUE"""),42047.66666666667)</f>
        <v>42047.66667</v>
      </c>
      <c r="B1166" s="2">
        <f>IFERROR(__xludf.DUMMYFUNCTION("""COMPUTED_VALUE"""),12.9)</f>
        <v>12.9</v>
      </c>
      <c r="C1166" s="2">
        <f>IFERROR(__xludf.DUMMYFUNCTION("""COMPUTED_VALUE"""),13.54)</f>
        <v>13.54</v>
      </c>
      <c r="D1166" s="2">
        <f>IFERROR(__xludf.DUMMYFUNCTION("""COMPUTED_VALUE"""),12.89)</f>
        <v>12.89</v>
      </c>
      <c r="E1166" s="2">
        <f>IFERROR(__xludf.DUMMYFUNCTION("""COMPUTED_VALUE"""),13.53)</f>
        <v>13.53</v>
      </c>
      <c r="F1166" s="2">
        <f>IFERROR(__xludf.DUMMYFUNCTION("""COMPUTED_VALUE"""),1.5649607E7)</f>
        <v>15649607</v>
      </c>
    </row>
    <row r="1167">
      <c r="A1167" s="3">
        <f>IFERROR(__xludf.DUMMYFUNCTION("""COMPUTED_VALUE"""),42048.66666666667)</f>
        <v>42048.66667</v>
      </c>
      <c r="B1167" s="2">
        <f>IFERROR(__xludf.DUMMYFUNCTION("""COMPUTED_VALUE"""),13.53)</f>
        <v>13.53</v>
      </c>
      <c r="C1167" s="2">
        <f>IFERROR(__xludf.DUMMYFUNCTION("""COMPUTED_VALUE"""),13.73)</f>
        <v>13.73</v>
      </c>
      <c r="D1167" s="2">
        <f>IFERROR(__xludf.DUMMYFUNCTION("""COMPUTED_VALUE"""),13.39)</f>
        <v>13.39</v>
      </c>
      <c r="E1167" s="2">
        <f>IFERROR(__xludf.DUMMYFUNCTION("""COMPUTED_VALUE"""),13.58)</f>
        <v>13.58</v>
      </c>
      <c r="F1167" s="2">
        <f>IFERROR(__xludf.DUMMYFUNCTION("""COMPUTED_VALUE"""),6191003.0)</f>
        <v>6191003</v>
      </c>
    </row>
    <row r="1168">
      <c r="A1168" s="3">
        <f>IFERROR(__xludf.DUMMYFUNCTION("""COMPUTED_VALUE"""),42052.66666666667)</f>
        <v>42052.66667</v>
      </c>
      <c r="B1168" s="2">
        <f>IFERROR(__xludf.DUMMYFUNCTION("""COMPUTED_VALUE"""),13.51)</f>
        <v>13.51</v>
      </c>
      <c r="C1168" s="2">
        <f>IFERROR(__xludf.DUMMYFUNCTION("""COMPUTED_VALUE"""),13.71)</f>
        <v>13.71</v>
      </c>
      <c r="D1168" s="2">
        <f>IFERROR(__xludf.DUMMYFUNCTION("""COMPUTED_VALUE"""),13.43)</f>
        <v>13.43</v>
      </c>
      <c r="E1168" s="2">
        <f>IFERROR(__xludf.DUMMYFUNCTION("""COMPUTED_VALUE"""),13.62)</f>
        <v>13.62</v>
      </c>
      <c r="F1168" s="2">
        <f>IFERROR(__xludf.DUMMYFUNCTION("""COMPUTED_VALUE"""),3979647.0)</f>
        <v>3979647</v>
      </c>
    </row>
    <row r="1169">
      <c r="A1169" s="3">
        <f>IFERROR(__xludf.DUMMYFUNCTION("""COMPUTED_VALUE"""),42053.66666666667)</f>
        <v>42053.66667</v>
      </c>
      <c r="B1169" s="2">
        <f>IFERROR(__xludf.DUMMYFUNCTION("""COMPUTED_VALUE"""),13.6)</f>
        <v>13.6</v>
      </c>
      <c r="C1169" s="2">
        <f>IFERROR(__xludf.DUMMYFUNCTION("""COMPUTED_VALUE"""),13.74)</f>
        <v>13.74</v>
      </c>
      <c r="D1169" s="2">
        <f>IFERROR(__xludf.DUMMYFUNCTION("""COMPUTED_VALUE"""),13.51)</f>
        <v>13.51</v>
      </c>
      <c r="E1169" s="2">
        <f>IFERROR(__xludf.DUMMYFUNCTION("""COMPUTED_VALUE"""),13.63)</f>
        <v>13.63</v>
      </c>
      <c r="F1169" s="2">
        <f>IFERROR(__xludf.DUMMYFUNCTION("""COMPUTED_VALUE"""),2713598.0)</f>
        <v>2713598</v>
      </c>
    </row>
    <row r="1170">
      <c r="A1170" s="3">
        <f>IFERROR(__xludf.DUMMYFUNCTION("""COMPUTED_VALUE"""),42054.66666666667)</f>
        <v>42054.66667</v>
      </c>
      <c r="B1170" s="2">
        <f>IFERROR(__xludf.DUMMYFUNCTION("""COMPUTED_VALUE"""),13.67)</f>
        <v>13.67</v>
      </c>
      <c r="C1170" s="2">
        <f>IFERROR(__xludf.DUMMYFUNCTION("""COMPUTED_VALUE"""),14.16)</f>
        <v>14.16</v>
      </c>
      <c r="D1170" s="2">
        <f>IFERROR(__xludf.DUMMYFUNCTION("""COMPUTED_VALUE"""),13.58)</f>
        <v>13.58</v>
      </c>
      <c r="E1170" s="2">
        <f>IFERROR(__xludf.DUMMYFUNCTION("""COMPUTED_VALUE"""),14.11)</f>
        <v>14.11</v>
      </c>
      <c r="F1170" s="2">
        <f>IFERROR(__xludf.DUMMYFUNCTION("""COMPUTED_VALUE"""),5154148.0)</f>
        <v>5154148</v>
      </c>
    </row>
    <row r="1171">
      <c r="A1171" s="3">
        <f>IFERROR(__xludf.DUMMYFUNCTION("""COMPUTED_VALUE"""),42055.66666666667)</f>
        <v>42055.66667</v>
      </c>
      <c r="B1171" s="2">
        <f>IFERROR(__xludf.DUMMYFUNCTION("""COMPUTED_VALUE"""),14.05)</f>
        <v>14.05</v>
      </c>
      <c r="C1171" s="2">
        <f>IFERROR(__xludf.DUMMYFUNCTION("""COMPUTED_VALUE"""),14.51)</f>
        <v>14.51</v>
      </c>
      <c r="D1171" s="2">
        <f>IFERROR(__xludf.DUMMYFUNCTION("""COMPUTED_VALUE"""),13.99)</f>
        <v>13.99</v>
      </c>
      <c r="E1171" s="2">
        <f>IFERROR(__xludf.DUMMYFUNCTION("""COMPUTED_VALUE"""),14.47)</f>
        <v>14.47</v>
      </c>
      <c r="F1171" s="2">
        <f>IFERROR(__xludf.DUMMYFUNCTION("""COMPUTED_VALUE"""),5982089.0)</f>
        <v>5982089</v>
      </c>
    </row>
    <row r="1172">
      <c r="A1172" s="3">
        <f>IFERROR(__xludf.DUMMYFUNCTION("""COMPUTED_VALUE"""),42058.66666666667)</f>
        <v>42058.66667</v>
      </c>
      <c r="B1172" s="2">
        <f>IFERROR(__xludf.DUMMYFUNCTION("""COMPUTED_VALUE"""),14.33)</f>
        <v>14.33</v>
      </c>
      <c r="C1172" s="2">
        <f>IFERROR(__xludf.DUMMYFUNCTION("""COMPUTED_VALUE"""),14.55)</f>
        <v>14.55</v>
      </c>
      <c r="D1172" s="2">
        <f>IFERROR(__xludf.DUMMYFUNCTION("""COMPUTED_VALUE"""),13.76)</f>
        <v>13.76</v>
      </c>
      <c r="E1172" s="2">
        <f>IFERROR(__xludf.DUMMYFUNCTION("""COMPUTED_VALUE"""),13.82)</f>
        <v>13.82</v>
      </c>
      <c r="F1172" s="2">
        <f>IFERROR(__xludf.DUMMYFUNCTION("""COMPUTED_VALUE"""),8499775.0)</f>
        <v>8499775</v>
      </c>
    </row>
    <row r="1173">
      <c r="A1173" s="3">
        <f>IFERROR(__xludf.DUMMYFUNCTION("""COMPUTED_VALUE"""),42059.66666666667)</f>
        <v>42059.66667</v>
      </c>
      <c r="B1173" s="2">
        <f>IFERROR(__xludf.DUMMYFUNCTION("""COMPUTED_VALUE"""),13.82)</f>
        <v>13.82</v>
      </c>
      <c r="C1173" s="2">
        <f>IFERROR(__xludf.DUMMYFUNCTION("""COMPUTED_VALUE"""),13.82)</f>
        <v>13.82</v>
      </c>
      <c r="D1173" s="2">
        <f>IFERROR(__xludf.DUMMYFUNCTION("""COMPUTED_VALUE"""),13.45)</f>
        <v>13.45</v>
      </c>
      <c r="E1173" s="2">
        <f>IFERROR(__xludf.DUMMYFUNCTION("""COMPUTED_VALUE"""),13.61)</f>
        <v>13.61</v>
      </c>
      <c r="F1173" s="2">
        <f>IFERROR(__xludf.DUMMYFUNCTION("""COMPUTED_VALUE"""),6603560.0)</f>
        <v>6603560</v>
      </c>
    </row>
    <row r="1174">
      <c r="A1174" s="3">
        <f>IFERROR(__xludf.DUMMYFUNCTION("""COMPUTED_VALUE"""),42060.66666666667)</f>
        <v>42060.66667</v>
      </c>
      <c r="B1174" s="2">
        <f>IFERROR(__xludf.DUMMYFUNCTION("""COMPUTED_VALUE"""),13.66)</f>
        <v>13.66</v>
      </c>
      <c r="C1174" s="2">
        <f>IFERROR(__xludf.DUMMYFUNCTION("""COMPUTED_VALUE"""),13.81)</f>
        <v>13.81</v>
      </c>
      <c r="D1174" s="2">
        <f>IFERROR(__xludf.DUMMYFUNCTION("""COMPUTED_VALUE"""),13.51)</f>
        <v>13.51</v>
      </c>
      <c r="E1174" s="2">
        <f>IFERROR(__xludf.DUMMYFUNCTION("""COMPUTED_VALUE"""),13.58)</f>
        <v>13.58</v>
      </c>
      <c r="F1174" s="2">
        <f>IFERROR(__xludf.DUMMYFUNCTION("""COMPUTED_VALUE"""),3909520.0)</f>
        <v>3909520</v>
      </c>
    </row>
    <row r="1175">
      <c r="A1175" s="3">
        <f>IFERROR(__xludf.DUMMYFUNCTION("""COMPUTED_VALUE"""),42061.66666666667)</f>
        <v>42061.66667</v>
      </c>
      <c r="B1175" s="2">
        <f>IFERROR(__xludf.DUMMYFUNCTION("""COMPUTED_VALUE"""),13.6)</f>
        <v>13.6</v>
      </c>
      <c r="C1175" s="2">
        <f>IFERROR(__xludf.DUMMYFUNCTION("""COMPUTED_VALUE"""),14.07)</f>
        <v>14.07</v>
      </c>
      <c r="D1175" s="2">
        <f>IFERROR(__xludf.DUMMYFUNCTION("""COMPUTED_VALUE"""),13.48)</f>
        <v>13.48</v>
      </c>
      <c r="E1175" s="2">
        <f>IFERROR(__xludf.DUMMYFUNCTION("""COMPUTED_VALUE"""),13.81)</f>
        <v>13.81</v>
      </c>
      <c r="F1175" s="2">
        <f>IFERROR(__xludf.DUMMYFUNCTION("""COMPUTED_VALUE"""),6472855.0)</f>
        <v>6472855</v>
      </c>
    </row>
    <row r="1176">
      <c r="A1176" s="3">
        <f>IFERROR(__xludf.DUMMYFUNCTION("""COMPUTED_VALUE"""),42062.66666666667)</f>
        <v>42062.66667</v>
      </c>
      <c r="B1176" s="2">
        <f>IFERROR(__xludf.DUMMYFUNCTION("""COMPUTED_VALUE"""),13.8)</f>
        <v>13.8</v>
      </c>
      <c r="C1176" s="2">
        <f>IFERROR(__xludf.DUMMYFUNCTION("""COMPUTED_VALUE"""),13.9)</f>
        <v>13.9</v>
      </c>
      <c r="D1176" s="2">
        <f>IFERROR(__xludf.DUMMYFUNCTION("""COMPUTED_VALUE"""),13.52)</f>
        <v>13.52</v>
      </c>
      <c r="E1176" s="2">
        <f>IFERROR(__xludf.DUMMYFUNCTION("""COMPUTED_VALUE"""),13.56)</f>
        <v>13.56</v>
      </c>
      <c r="F1176" s="2">
        <f>IFERROR(__xludf.DUMMYFUNCTION("""COMPUTED_VALUE"""),3882084.0)</f>
        <v>3882084</v>
      </c>
    </row>
    <row r="1177">
      <c r="A1177" s="3">
        <f>IFERROR(__xludf.DUMMYFUNCTION("""COMPUTED_VALUE"""),42065.66666666667)</f>
        <v>42065.66667</v>
      </c>
      <c r="B1177" s="2">
        <f>IFERROR(__xludf.DUMMYFUNCTION("""COMPUTED_VALUE"""),13.51)</f>
        <v>13.51</v>
      </c>
      <c r="C1177" s="2">
        <f>IFERROR(__xludf.DUMMYFUNCTION("""COMPUTED_VALUE"""),13.56)</f>
        <v>13.56</v>
      </c>
      <c r="D1177" s="2">
        <f>IFERROR(__xludf.DUMMYFUNCTION("""COMPUTED_VALUE"""),13.06)</f>
        <v>13.06</v>
      </c>
      <c r="E1177" s="2">
        <f>IFERROR(__xludf.DUMMYFUNCTION("""COMPUTED_VALUE"""),13.16)</f>
        <v>13.16</v>
      </c>
      <c r="F1177" s="2">
        <f>IFERROR(__xludf.DUMMYFUNCTION("""COMPUTED_VALUE"""),7922065.0)</f>
        <v>7922065</v>
      </c>
    </row>
    <row r="1178">
      <c r="A1178" s="3">
        <f>IFERROR(__xludf.DUMMYFUNCTION("""COMPUTED_VALUE"""),42066.66666666667)</f>
        <v>42066.66667</v>
      </c>
      <c r="B1178" s="2">
        <f>IFERROR(__xludf.DUMMYFUNCTION("""COMPUTED_VALUE"""),13.12)</f>
        <v>13.12</v>
      </c>
      <c r="C1178" s="2">
        <f>IFERROR(__xludf.DUMMYFUNCTION("""COMPUTED_VALUE"""),13.35)</f>
        <v>13.35</v>
      </c>
      <c r="D1178" s="2">
        <f>IFERROR(__xludf.DUMMYFUNCTION("""COMPUTED_VALUE"""),13.02)</f>
        <v>13.02</v>
      </c>
      <c r="E1178" s="2">
        <f>IFERROR(__xludf.DUMMYFUNCTION("""COMPUTED_VALUE"""),13.3)</f>
        <v>13.3</v>
      </c>
      <c r="F1178" s="2">
        <f>IFERROR(__xludf.DUMMYFUNCTION("""COMPUTED_VALUE"""),4432329.0)</f>
        <v>4432329</v>
      </c>
    </row>
    <row r="1179">
      <c r="A1179" s="3">
        <f>IFERROR(__xludf.DUMMYFUNCTION("""COMPUTED_VALUE"""),42067.66666666667)</f>
        <v>42067.66667</v>
      </c>
      <c r="B1179" s="2">
        <f>IFERROR(__xludf.DUMMYFUNCTION("""COMPUTED_VALUE"""),13.27)</f>
        <v>13.27</v>
      </c>
      <c r="C1179" s="2">
        <f>IFERROR(__xludf.DUMMYFUNCTION("""COMPUTED_VALUE"""),13.5)</f>
        <v>13.5</v>
      </c>
      <c r="D1179" s="2">
        <f>IFERROR(__xludf.DUMMYFUNCTION("""COMPUTED_VALUE"""),13.15)</f>
        <v>13.15</v>
      </c>
      <c r="E1179" s="2">
        <f>IFERROR(__xludf.DUMMYFUNCTION("""COMPUTED_VALUE"""),13.5)</f>
        <v>13.5</v>
      </c>
      <c r="F1179" s="2">
        <f>IFERROR(__xludf.DUMMYFUNCTION("""COMPUTED_VALUE"""),4221962.0)</f>
        <v>4221962</v>
      </c>
    </row>
    <row r="1180">
      <c r="A1180" s="3">
        <f>IFERROR(__xludf.DUMMYFUNCTION("""COMPUTED_VALUE"""),42068.66666666667)</f>
        <v>42068.66667</v>
      </c>
      <c r="B1180" s="2">
        <f>IFERROR(__xludf.DUMMYFUNCTION("""COMPUTED_VALUE"""),13.52)</f>
        <v>13.52</v>
      </c>
      <c r="C1180" s="2">
        <f>IFERROR(__xludf.DUMMYFUNCTION("""COMPUTED_VALUE"""),13.75)</f>
        <v>13.75</v>
      </c>
      <c r="D1180" s="2">
        <f>IFERROR(__xludf.DUMMYFUNCTION("""COMPUTED_VALUE"""),13.34)</f>
        <v>13.34</v>
      </c>
      <c r="E1180" s="2">
        <f>IFERROR(__xludf.DUMMYFUNCTION("""COMPUTED_VALUE"""),13.38)</f>
        <v>13.38</v>
      </c>
      <c r="F1180" s="2">
        <f>IFERROR(__xludf.DUMMYFUNCTION("""COMPUTED_VALUE"""),4877015.0)</f>
        <v>4877015</v>
      </c>
    </row>
    <row r="1181">
      <c r="A1181" s="3">
        <f>IFERROR(__xludf.DUMMYFUNCTION("""COMPUTED_VALUE"""),42069.66666666667)</f>
        <v>42069.66667</v>
      </c>
      <c r="B1181" s="2">
        <f>IFERROR(__xludf.DUMMYFUNCTION("""COMPUTED_VALUE"""),13.28)</f>
        <v>13.28</v>
      </c>
      <c r="C1181" s="2">
        <f>IFERROR(__xludf.DUMMYFUNCTION("""COMPUTED_VALUE"""),13.38)</f>
        <v>13.38</v>
      </c>
      <c r="D1181" s="2">
        <f>IFERROR(__xludf.DUMMYFUNCTION("""COMPUTED_VALUE"""),12.81)</f>
        <v>12.81</v>
      </c>
      <c r="E1181" s="2">
        <f>IFERROR(__xludf.DUMMYFUNCTION("""COMPUTED_VALUE"""),12.93)</f>
        <v>12.93</v>
      </c>
      <c r="F1181" s="2">
        <f>IFERROR(__xludf.DUMMYFUNCTION("""COMPUTED_VALUE"""),6712438.0)</f>
        <v>6712438</v>
      </c>
    </row>
    <row r="1182">
      <c r="A1182" s="3">
        <f>IFERROR(__xludf.DUMMYFUNCTION("""COMPUTED_VALUE"""),42072.66666666667)</f>
        <v>42072.66667</v>
      </c>
      <c r="B1182" s="2">
        <f>IFERROR(__xludf.DUMMYFUNCTION("""COMPUTED_VALUE"""),12.96)</f>
        <v>12.96</v>
      </c>
      <c r="C1182" s="2">
        <f>IFERROR(__xludf.DUMMYFUNCTION("""COMPUTED_VALUE"""),12.97)</f>
        <v>12.97</v>
      </c>
      <c r="D1182" s="2">
        <f>IFERROR(__xludf.DUMMYFUNCTION("""COMPUTED_VALUE"""),12.55)</f>
        <v>12.55</v>
      </c>
      <c r="E1182" s="2">
        <f>IFERROR(__xludf.DUMMYFUNCTION("""COMPUTED_VALUE"""),12.73)</f>
        <v>12.73</v>
      </c>
      <c r="F1182" s="2">
        <f>IFERROR(__xludf.DUMMYFUNCTION("""COMPUTED_VALUE"""),6736724.0)</f>
        <v>6736724</v>
      </c>
    </row>
    <row r="1183">
      <c r="A1183" s="3">
        <f>IFERROR(__xludf.DUMMYFUNCTION("""COMPUTED_VALUE"""),42073.66666666667)</f>
        <v>42073.66667</v>
      </c>
      <c r="B1183" s="2">
        <f>IFERROR(__xludf.DUMMYFUNCTION("""COMPUTED_VALUE"""),12.56)</f>
        <v>12.56</v>
      </c>
      <c r="C1183" s="2">
        <f>IFERROR(__xludf.DUMMYFUNCTION("""COMPUTED_VALUE"""),12.9)</f>
        <v>12.9</v>
      </c>
      <c r="D1183" s="2">
        <f>IFERROR(__xludf.DUMMYFUNCTION("""COMPUTED_VALUE"""),12.51)</f>
        <v>12.51</v>
      </c>
      <c r="E1183" s="2">
        <f>IFERROR(__xludf.DUMMYFUNCTION("""COMPUTED_VALUE"""),12.69)</f>
        <v>12.69</v>
      </c>
      <c r="F1183" s="2">
        <f>IFERROR(__xludf.DUMMYFUNCTION("""COMPUTED_VALUE"""),5579691.0)</f>
        <v>5579691</v>
      </c>
    </row>
    <row r="1184">
      <c r="A1184" s="3">
        <f>IFERROR(__xludf.DUMMYFUNCTION("""COMPUTED_VALUE"""),42074.66666666667)</f>
        <v>42074.66667</v>
      </c>
      <c r="B1184" s="2">
        <f>IFERROR(__xludf.DUMMYFUNCTION("""COMPUTED_VALUE"""),12.74)</f>
        <v>12.74</v>
      </c>
      <c r="C1184" s="2">
        <f>IFERROR(__xludf.DUMMYFUNCTION("""COMPUTED_VALUE"""),13.08)</f>
        <v>13.08</v>
      </c>
      <c r="D1184" s="2">
        <f>IFERROR(__xludf.DUMMYFUNCTION("""COMPUTED_VALUE"""),12.73)</f>
        <v>12.73</v>
      </c>
      <c r="E1184" s="2">
        <f>IFERROR(__xludf.DUMMYFUNCTION("""COMPUTED_VALUE"""),12.92)</f>
        <v>12.92</v>
      </c>
      <c r="F1184" s="2">
        <f>IFERROR(__xludf.DUMMYFUNCTION("""COMPUTED_VALUE"""),4974871.0)</f>
        <v>4974871</v>
      </c>
    </row>
    <row r="1185">
      <c r="A1185" s="3">
        <f>IFERROR(__xludf.DUMMYFUNCTION("""COMPUTED_VALUE"""),42075.66666666667)</f>
        <v>42075.66667</v>
      </c>
      <c r="B1185" s="2">
        <f>IFERROR(__xludf.DUMMYFUNCTION("""COMPUTED_VALUE"""),12.92)</f>
        <v>12.92</v>
      </c>
      <c r="C1185" s="2">
        <f>IFERROR(__xludf.DUMMYFUNCTION("""COMPUTED_VALUE"""),12.96)</f>
        <v>12.96</v>
      </c>
      <c r="D1185" s="2">
        <f>IFERROR(__xludf.DUMMYFUNCTION("""COMPUTED_VALUE"""),12.65)</f>
        <v>12.65</v>
      </c>
      <c r="E1185" s="2">
        <f>IFERROR(__xludf.DUMMYFUNCTION("""COMPUTED_VALUE"""),12.74)</f>
        <v>12.74</v>
      </c>
      <c r="F1185" s="2">
        <f>IFERROR(__xludf.DUMMYFUNCTION("""COMPUTED_VALUE"""),4149294.0)</f>
        <v>4149294</v>
      </c>
    </row>
    <row r="1186">
      <c r="A1186" s="3">
        <f>IFERROR(__xludf.DUMMYFUNCTION("""COMPUTED_VALUE"""),42076.66666666667)</f>
        <v>42076.66667</v>
      </c>
      <c r="B1186" s="2">
        <f>IFERROR(__xludf.DUMMYFUNCTION("""COMPUTED_VALUE"""),12.59)</f>
        <v>12.59</v>
      </c>
      <c r="C1186" s="2">
        <f>IFERROR(__xludf.DUMMYFUNCTION("""COMPUTED_VALUE"""),12.78)</f>
        <v>12.78</v>
      </c>
      <c r="D1186" s="2">
        <f>IFERROR(__xludf.DUMMYFUNCTION("""COMPUTED_VALUE"""),12.49)</f>
        <v>12.49</v>
      </c>
      <c r="E1186" s="2">
        <f>IFERROR(__xludf.DUMMYFUNCTION("""COMPUTED_VALUE"""),12.58)</f>
        <v>12.58</v>
      </c>
      <c r="F1186" s="2">
        <f>IFERROR(__xludf.DUMMYFUNCTION("""COMPUTED_VALUE"""),5434298.0)</f>
        <v>5434298</v>
      </c>
    </row>
    <row r="1187">
      <c r="A1187" s="3">
        <f>IFERROR(__xludf.DUMMYFUNCTION("""COMPUTED_VALUE"""),42079.66666666667)</f>
        <v>42079.66667</v>
      </c>
      <c r="B1187" s="2">
        <f>IFERROR(__xludf.DUMMYFUNCTION("""COMPUTED_VALUE"""),12.8)</f>
        <v>12.8</v>
      </c>
      <c r="C1187" s="2">
        <f>IFERROR(__xludf.DUMMYFUNCTION("""COMPUTED_VALUE"""),13.06)</f>
        <v>13.06</v>
      </c>
      <c r="D1187" s="2">
        <f>IFERROR(__xludf.DUMMYFUNCTION("""COMPUTED_VALUE"""),12.65)</f>
        <v>12.65</v>
      </c>
      <c r="E1187" s="2">
        <f>IFERROR(__xludf.DUMMYFUNCTION("""COMPUTED_VALUE"""),13.05)</f>
        <v>13.05</v>
      </c>
      <c r="F1187" s="2">
        <f>IFERROR(__xludf.DUMMYFUNCTION("""COMPUTED_VALUE"""),5628783.0)</f>
        <v>5628783</v>
      </c>
    </row>
    <row r="1188">
      <c r="A1188" s="3">
        <f>IFERROR(__xludf.DUMMYFUNCTION("""COMPUTED_VALUE"""),42080.66666666667)</f>
        <v>42080.66667</v>
      </c>
      <c r="B1188" s="2">
        <f>IFERROR(__xludf.DUMMYFUNCTION("""COMPUTED_VALUE"""),13.02)</f>
        <v>13.02</v>
      </c>
      <c r="C1188" s="2">
        <f>IFERROR(__xludf.DUMMYFUNCTION("""COMPUTED_VALUE"""),13.25)</f>
        <v>13.25</v>
      </c>
      <c r="D1188" s="2">
        <f>IFERROR(__xludf.DUMMYFUNCTION("""COMPUTED_VALUE"""),12.93)</f>
        <v>12.93</v>
      </c>
      <c r="E1188" s="2">
        <f>IFERROR(__xludf.DUMMYFUNCTION("""COMPUTED_VALUE"""),12.98)</f>
        <v>12.98</v>
      </c>
      <c r="F1188" s="2">
        <f>IFERROR(__xludf.DUMMYFUNCTION("""COMPUTED_VALUE"""),4894052.0)</f>
        <v>4894052</v>
      </c>
    </row>
    <row r="1189">
      <c r="A1189" s="3">
        <f>IFERROR(__xludf.DUMMYFUNCTION("""COMPUTED_VALUE"""),42081.66666666667)</f>
        <v>42081.66667</v>
      </c>
      <c r="B1189" s="2">
        <f>IFERROR(__xludf.DUMMYFUNCTION("""COMPUTED_VALUE"""),13.0)</f>
        <v>13</v>
      </c>
      <c r="C1189" s="2">
        <f>IFERROR(__xludf.DUMMYFUNCTION("""COMPUTED_VALUE"""),13.39)</f>
        <v>13.39</v>
      </c>
      <c r="D1189" s="2">
        <f>IFERROR(__xludf.DUMMYFUNCTION("""COMPUTED_VALUE"""),12.87)</f>
        <v>12.87</v>
      </c>
      <c r="E1189" s="2">
        <f>IFERROR(__xludf.DUMMYFUNCTION("""COMPUTED_VALUE"""),13.38)</f>
        <v>13.38</v>
      </c>
      <c r="F1189" s="2">
        <f>IFERROR(__xludf.DUMMYFUNCTION("""COMPUTED_VALUE"""),4820936.0)</f>
        <v>4820936</v>
      </c>
    </row>
    <row r="1190">
      <c r="A1190" s="3">
        <f>IFERROR(__xludf.DUMMYFUNCTION("""COMPUTED_VALUE"""),42082.66666666667)</f>
        <v>42082.66667</v>
      </c>
      <c r="B1190" s="2">
        <f>IFERROR(__xludf.DUMMYFUNCTION("""COMPUTED_VALUE"""),13.46)</f>
        <v>13.46</v>
      </c>
      <c r="C1190" s="2">
        <f>IFERROR(__xludf.DUMMYFUNCTION("""COMPUTED_VALUE"""),13.64)</f>
        <v>13.64</v>
      </c>
      <c r="D1190" s="2">
        <f>IFERROR(__xludf.DUMMYFUNCTION("""COMPUTED_VALUE"""),12.97)</f>
        <v>12.97</v>
      </c>
      <c r="E1190" s="2">
        <f>IFERROR(__xludf.DUMMYFUNCTION("""COMPUTED_VALUE"""),13.04)</f>
        <v>13.04</v>
      </c>
      <c r="F1190" s="2">
        <f>IFERROR(__xludf.DUMMYFUNCTION("""COMPUTED_VALUE"""),8475244.0)</f>
        <v>8475244</v>
      </c>
    </row>
    <row r="1191">
      <c r="A1191" s="3">
        <f>IFERROR(__xludf.DUMMYFUNCTION("""COMPUTED_VALUE"""),42083.66666666667)</f>
        <v>42083.66667</v>
      </c>
      <c r="B1191" s="2">
        <f>IFERROR(__xludf.DUMMYFUNCTION("""COMPUTED_VALUE"""),13.16)</f>
        <v>13.16</v>
      </c>
      <c r="C1191" s="2">
        <f>IFERROR(__xludf.DUMMYFUNCTION("""COMPUTED_VALUE"""),13.27)</f>
        <v>13.27</v>
      </c>
      <c r="D1191" s="2">
        <f>IFERROR(__xludf.DUMMYFUNCTION("""COMPUTED_VALUE"""),13.04)</f>
        <v>13.04</v>
      </c>
      <c r="E1191" s="2">
        <f>IFERROR(__xludf.DUMMYFUNCTION("""COMPUTED_VALUE"""),13.21)</f>
        <v>13.21</v>
      </c>
      <c r="F1191" s="2">
        <f>IFERROR(__xludf.DUMMYFUNCTION("""COMPUTED_VALUE"""),4269467.0)</f>
        <v>4269467</v>
      </c>
    </row>
    <row r="1192">
      <c r="A1192" s="3">
        <f>IFERROR(__xludf.DUMMYFUNCTION("""COMPUTED_VALUE"""),42086.66666666667)</f>
        <v>42086.66667</v>
      </c>
      <c r="B1192" s="2">
        <f>IFERROR(__xludf.DUMMYFUNCTION("""COMPUTED_VALUE"""),13.23)</f>
        <v>13.23</v>
      </c>
      <c r="C1192" s="2">
        <f>IFERROR(__xludf.DUMMYFUNCTION("""COMPUTED_VALUE"""),13.37)</f>
        <v>13.37</v>
      </c>
      <c r="D1192" s="2">
        <f>IFERROR(__xludf.DUMMYFUNCTION("""COMPUTED_VALUE"""),13.16)</f>
        <v>13.16</v>
      </c>
      <c r="E1192" s="2">
        <f>IFERROR(__xludf.DUMMYFUNCTION("""COMPUTED_VALUE"""),13.31)</f>
        <v>13.31</v>
      </c>
      <c r="F1192" s="2">
        <f>IFERROR(__xludf.DUMMYFUNCTION("""COMPUTED_VALUE"""),2631626.0)</f>
        <v>2631626</v>
      </c>
    </row>
    <row r="1193">
      <c r="A1193" s="3">
        <f>IFERROR(__xludf.DUMMYFUNCTION("""COMPUTED_VALUE"""),42087.66666666667)</f>
        <v>42087.66667</v>
      </c>
      <c r="B1193" s="2">
        <f>IFERROR(__xludf.DUMMYFUNCTION("""COMPUTED_VALUE"""),13.44)</f>
        <v>13.44</v>
      </c>
      <c r="C1193" s="2">
        <f>IFERROR(__xludf.DUMMYFUNCTION("""COMPUTED_VALUE"""),13.59)</f>
        <v>13.59</v>
      </c>
      <c r="D1193" s="2">
        <f>IFERROR(__xludf.DUMMYFUNCTION("""COMPUTED_VALUE"""),13.32)</f>
        <v>13.32</v>
      </c>
      <c r="E1193" s="2">
        <f>IFERROR(__xludf.DUMMYFUNCTION("""COMPUTED_VALUE"""),13.45)</f>
        <v>13.45</v>
      </c>
      <c r="F1193" s="2">
        <f>IFERROR(__xludf.DUMMYFUNCTION("""COMPUTED_VALUE"""),3649860.0)</f>
        <v>3649860</v>
      </c>
    </row>
    <row r="1194">
      <c r="A1194" s="3">
        <f>IFERROR(__xludf.DUMMYFUNCTION("""COMPUTED_VALUE"""),42088.66666666667)</f>
        <v>42088.66667</v>
      </c>
      <c r="B1194" s="2">
        <f>IFERROR(__xludf.DUMMYFUNCTION("""COMPUTED_VALUE"""),13.23)</f>
        <v>13.23</v>
      </c>
      <c r="C1194" s="2">
        <f>IFERROR(__xludf.DUMMYFUNCTION("""COMPUTED_VALUE"""),13.24)</f>
        <v>13.24</v>
      </c>
      <c r="D1194" s="2">
        <f>IFERROR(__xludf.DUMMYFUNCTION("""COMPUTED_VALUE"""),12.85)</f>
        <v>12.85</v>
      </c>
      <c r="E1194" s="2">
        <f>IFERROR(__xludf.DUMMYFUNCTION("""COMPUTED_VALUE"""),12.95)</f>
        <v>12.95</v>
      </c>
      <c r="F1194" s="2">
        <f>IFERROR(__xludf.DUMMYFUNCTION("""COMPUTED_VALUE"""),5730389.0)</f>
        <v>5730389</v>
      </c>
    </row>
    <row r="1195">
      <c r="A1195" s="3">
        <f>IFERROR(__xludf.DUMMYFUNCTION("""COMPUTED_VALUE"""),42089.66666666667)</f>
        <v>42089.66667</v>
      </c>
      <c r="B1195" s="2">
        <f>IFERROR(__xludf.DUMMYFUNCTION("""COMPUTED_VALUE"""),12.93)</f>
        <v>12.93</v>
      </c>
      <c r="C1195" s="2">
        <f>IFERROR(__xludf.DUMMYFUNCTION("""COMPUTED_VALUE"""),12.99)</f>
        <v>12.99</v>
      </c>
      <c r="D1195" s="2">
        <f>IFERROR(__xludf.DUMMYFUNCTION("""COMPUTED_VALUE"""),12.65)</f>
        <v>12.65</v>
      </c>
      <c r="E1195" s="2">
        <f>IFERROR(__xludf.DUMMYFUNCTION("""COMPUTED_VALUE"""),12.69)</f>
        <v>12.69</v>
      </c>
      <c r="F1195" s="2">
        <f>IFERROR(__xludf.DUMMYFUNCTION("""COMPUTED_VALUE"""),4127956.0)</f>
        <v>4127956</v>
      </c>
    </row>
    <row r="1196">
      <c r="A1196" s="3">
        <f>IFERROR(__xludf.DUMMYFUNCTION("""COMPUTED_VALUE"""),42090.66666666667)</f>
        <v>42090.66667</v>
      </c>
      <c r="B1196" s="2">
        <f>IFERROR(__xludf.DUMMYFUNCTION("""COMPUTED_VALUE"""),12.6)</f>
        <v>12.6</v>
      </c>
      <c r="C1196" s="2">
        <f>IFERROR(__xludf.DUMMYFUNCTION("""COMPUTED_VALUE"""),12.62)</f>
        <v>12.62</v>
      </c>
      <c r="D1196" s="2">
        <f>IFERROR(__xludf.DUMMYFUNCTION("""COMPUTED_VALUE"""),12.09)</f>
        <v>12.09</v>
      </c>
      <c r="E1196" s="2">
        <f>IFERROR(__xludf.DUMMYFUNCTION("""COMPUTED_VALUE"""),12.33)</f>
        <v>12.33</v>
      </c>
      <c r="F1196" s="2">
        <f>IFERROR(__xludf.DUMMYFUNCTION("""COMPUTED_VALUE"""),8604947.0)</f>
        <v>8604947</v>
      </c>
    </row>
    <row r="1197">
      <c r="A1197" s="3">
        <f>IFERROR(__xludf.DUMMYFUNCTION("""COMPUTED_VALUE"""),42093.66666666667)</f>
        <v>42093.66667</v>
      </c>
      <c r="B1197" s="2">
        <f>IFERROR(__xludf.DUMMYFUNCTION("""COMPUTED_VALUE"""),12.39)</f>
        <v>12.39</v>
      </c>
      <c r="C1197" s="2">
        <f>IFERROR(__xludf.DUMMYFUNCTION("""COMPUTED_VALUE"""),12.82)</f>
        <v>12.82</v>
      </c>
      <c r="D1197" s="2">
        <f>IFERROR(__xludf.DUMMYFUNCTION("""COMPUTED_VALUE"""),12.12)</f>
        <v>12.12</v>
      </c>
      <c r="E1197" s="2">
        <f>IFERROR(__xludf.DUMMYFUNCTION("""COMPUTED_VALUE"""),12.7)</f>
        <v>12.7</v>
      </c>
      <c r="F1197" s="2">
        <f>IFERROR(__xludf.DUMMYFUNCTION("""COMPUTED_VALUE"""),1.0089516E7)</f>
        <v>10089516</v>
      </c>
    </row>
    <row r="1198">
      <c r="A1198" s="3">
        <f>IFERROR(__xludf.DUMMYFUNCTION("""COMPUTED_VALUE"""),42094.66666666667)</f>
        <v>42094.66667</v>
      </c>
      <c r="B1198" s="2">
        <f>IFERROR(__xludf.DUMMYFUNCTION("""COMPUTED_VALUE"""),12.9)</f>
        <v>12.9</v>
      </c>
      <c r="C1198" s="2">
        <f>IFERROR(__xludf.DUMMYFUNCTION("""COMPUTED_VALUE"""),12.92)</f>
        <v>12.92</v>
      </c>
      <c r="D1198" s="2">
        <f>IFERROR(__xludf.DUMMYFUNCTION("""COMPUTED_VALUE"""),12.56)</f>
        <v>12.56</v>
      </c>
      <c r="E1198" s="2">
        <f>IFERROR(__xludf.DUMMYFUNCTION("""COMPUTED_VALUE"""),12.58)</f>
        <v>12.58</v>
      </c>
      <c r="F1198" s="2">
        <f>IFERROR(__xludf.DUMMYFUNCTION("""COMPUTED_VALUE"""),5026569.0)</f>
        <v>5026569</v>
      </c>
    </row>
    <row r="1199">
      <c r="A1199" s="3">
        <f>IFERROR(__xludf.DUMMYFUNCTION("""COMPUTED_VALUE"""),42095.66666666667)</f>
        <v>42095.66667</v>
      </c>
      <c r="B1199" s="2">
        <f>IFERROR(__xludf.DUMMYFUNCTION("""COMPUTED_VALUE"""),12.58)</f>
        <v>12.58</v>
      </c>
      <c r="C1199" s="2">
        <f>IFERROR(__xludf.DUMMYFUNCTION("""COMPUTED_VALUE"""),12.82)</f>
        <v>12.82</v>
      </c>
      <c r="D1199" s="2">
        <f>IFERROR(__xludf.DUMMYFUNCTION("""COMPUTED_VALUE"""),12.4)</f>
        <v>12.4</v>
      </c>
      <c r="E1199" s="2">
        <f>IFERROR(__xludf.DUMMYFUNCTION("""COMPUTED_VALUE"""),12.51)</f>
        <v>12.51</v>
      </c>
      <c r="F1199" s="2">
        <f>IFERROR(__xludf.DUMMYFUNCTION("""COMPUTED_VALUE"""),3794621.0)</f>
        <v>3794621</v>
      </c>
    </row>
    <row r="1200">
      <c r="A1200" s="3">
        <f>IFERROR(__xludf.DUMMYFUNCTION("""COMPUTED_VALUE"""),42096.66666666667)</f>
        <v>42096.66667</v>
      </c>
      <c r="B1200" s="2">
        <f>IFERROR(__xludf.DUMMYFUNCTION("""COMPUTED_VALUE"""),12.68)</f>
        <v>12.68</v>
      </c>
      <c r="C1200" s="2">
        <f>IFERROR(__xludf.DUMMYFUNCTION("""COMPUTED_VALUE"""),12.88)</f>
        <v>12.88</v>
      </c>
      <c r="D1200" s="2">
        <f>IFERROR(__xludf.DUMMYFUNCTION("""COMPUTED_VALUE"""),12.67)</f>
        <v>12.67</v>
      </c>
      <c r="E1200" s="2">
        <f>IFERROR(__xludf.DUMMYFUNCTION("""COMPUTED_VALUE"""),12.73)</f>
        <v>12.73</v>
      </c>
      <c r="F1200" s="2">
        <f>IFERROR(__xludf.DUMMYFUNCTION("""COMPUTED_VALUE"""),5010368.0)</f>
        <v>5010368</v>
      </c>
    </row>
    <row r="1201">
      <c r="A1201" s="3">
        <f>IFERROR(__xludf.DUMMYFUNCTION("""COMPUTED_VALUE"""),42100.66666666667)</f>
        <v>42100.66667</v>
      </c>
      <c r="B1201" s="2">
        <f>IFERROR(__xludf.DUMMYFUNCTION("""COMPUTED_VALUE"""),13.2)</f>
        <v>13.2</v>
      </c>
      <c r="C1201" s="2">
        <f>IFERROR(__xludf.DUMMYFUNCTION("""COMPUTED_VALUE"""),13.85)</f>
        <v>13.85</v>
      </c>
      <c r="D1201" s="2">
        <f>IFERROR(__xludf.DUMMYFUNCTION("""COMPUTED_VALUE"""),13.17)</f>
        <v>13.17</v>
      </c>
      <c r="E1201" s="2">
        <f>IFERROR(__xludf.DUMMYFUNCTION("""COMPUTED_VALUE"""),13.54)</f>
        <v>13.54</v>
      </c>
      <c r="F1201" s="2">
        <f>IFERROR(__xludf.DUMMYFUNCTION("""COMPUTED_VALUE"""),1.2455811E7)</f>
        <v>12455811</v>
      </c>
    </row>
    <row r="1202">
      <c r="A1202" s="3">
        <f>IFERROR(__xludf.DUMMYFUNCTION("""COMPUTED_VALUE"""),42101.66666666667)</f>
        <v>42101.66667</v>
      </c>
      <c r="B1202" s="2">
        <f>IFERROR(__xludf.DUMMYFUNCTION("""COMPUTED_VALUE"""),13.5)</f>
        <v>13.5</v>
      </c>
      <c r="C1202" s="2">
        <f>IFERROR(__xludf.DUMMYFUNCTION("""COMPUTED_VALUE"""),13.67)</f>
        <v>13.67</v>
      </c>
      <c r="D1202" s="2">
        <f>IFERROR(__xludf.DUMMYFUNCTION("""COMPUTED_VALUE"""),13.41)</f>
        <v>13.41</v>
      </c>
      <c r="E1202" s="2">
        <f>IFERROR(__xludf.DUMMYFUNCTION("""COMPUTED_VALUE"""),13.55)</f>
        <v>13.55</v>
      </c>
      <c r="F1202" s="2">
        <f>IFERROR(__xludf.DUMMYFUNCTION("""COMPUTED_VALUE"""),4347864.0)</f>
        <v>4347864</v>
      </c>
    </row>
    <row r="1203">
      <c r="A1203" s="3">
        <f>IFERROR(__xludf.DUMMYFUNCTION("""COMPUTED_VALUE"""),42102.66666666667)</f>
        <v>42102.66667</v>
      </c>
      <c r="B1203" s="2">
        <f>IFERROR(__xludf.DUMMYFUNCTION("""COMPUTED_VALUE"""),13.88)</f>
        <v>13.88</v>
      </c>
      <c r="C1203" s="2">
        <f>IFERROR(__xludf.DUMMYFUNCTION("""COMPUTED_VALUE"""),14.06)</f>
        <v>14.06</v>
      </c>
      <c r="D1203" s="2">
        <f>IFERROR(__xludf.DUMMYFUNCTION("""COMPUTED_VALUE"""),13.72)</f>
        <v>13.72</v>
      </c>
      <c r="E1203" s="2">
        <f>IFERROR(__xludf.DUMMYFUNCTION("""COMPUTED_VALUE"""),13.84)</f>
        <v>13.84</v>
      </c>
      <c r="F1203" s="2">
        <f>IFERROR(__xludf.DUMMYFUNCTION("""COMPUTED_VALUE"""),6303117.0)</f>
        <v>6303117</v>
      </c>
    </row>
    <row r="1204">
      <c r="A1204" s="3">
        <f>IFERROR(__xludf.DUMMYFUNCTION("""COMPUTED_VALUE"""),42103.66666666667)</f>
        <v>42103.66667</v>
      </c>
      <c r="B1204" s="2">
        <f>IFERROR(__xludf.DUMMYFUNCTION("""COMPUTED_VALUE"""),13.88)</f>
        <v>13.88</v>
      </c>
      <c r="C1204" s="2">
        <f>IFERROR(__xludf.DUMMYFUNCTION("""COMPUTED_VALUE"""),14.02)</f>
        <v>14.02</v>
      </c>
      <c r="D1204" s="2">
        <f>IFERROR(__xludf.DUMMYFUNCTION("""COMPUTED_VALUE"""),13.74)</f>
        <v>13.74</v>
      </c>
      <c r="E1204" s="2">
        <f>IFERROR(__xludf.DUMMYFUNCTION("""COMPUTED_VALUE"""),14.01)</f>
        <v>14.01</v>
      </c>
      <c r="F1204" s="2">
        <f>IFERROR(__xludf.DUMMYFUNCTION("""COMPUTED_VALUE"""),3800225.0)</f>
        <v>3800225</v>
      </c>
    </row>
    <row r="1205">
      <c r="A1205" s="3">
        <f>IFERROR(__xludf.DUMMYFUNCTION("""COMPUTED_VALUE"""),42104.66666666667)</f>
        <v>42104.66667</v>
      </c>
      <c r="B1205" s="2">
        <f>IFERROR(__xludf.DUMMYFUNCTION("""COMPUTED_VALUE"""),13.99)</f>
        <v>13.99</v>
      </c>
      <c r="C1205" s="2">
        <f>IFERROR(__xludf.DUMMYFUNCTION("""COMPUTED_VALUE"""),14.11)</f>
        <v>14.11</v>
      </c>
      <c r="D1205" s="2">
        <f>IFERROR(__xludf.DUMMYFUNCTION("""COMPUTED_VALUE"""),13.93)</f>
        <v>13.93</v>
      </c>
      <c r="E1205" s="2">
        <f>IFERROR(__xludf.DUMMYFUNCTION("""COMPUTED_VALUE"""),14.06)</f>
        <v>14.06</v>
      </c>
      <c r="F1205" s="2">
        <f>IFERROR(__xludf.DUMMYFUNCTION("""COMPUTED_VALUE"""),4067676.0)</f>
        <v>4067676</v>
      </c>
    </row>
    <row r="1206">
      <c r="A1206" s="3">
        <f>IFERROR(__xludf.DUMMYFUNCTION("""COMPUTED_VALUE"""),42107.66666666667)</f>
        <v>42107.66667</v>
      </c>
      <c r="B1206" s="2">
        <f>IFERROR(__xludf.DUMMYFUNCTION("""COMPUTED_VALUE"""),14.03)</f>
        <v>14.03</v>
      </c>
      <c r="C1206" s="2">
        <f>IFERROR(__xludf.DUMMYFUNCTION("""COMPUTED_VALUE"""),14.2)</f>
        <v>14.2</v>
      </c>
      <c r="D1206" s="2">
        <f>IFERROR(__xludf.DUMMYFUNCTION("""COMPUTED_VALUE"""),13.94)</f>
        <v>13.94</v>
      </c>
      <c r="E1206" s="2">
        <f>IFERROR(__xludf.DUMMYFUNCTION("""COMPUTED_VALUE"""),13.99)</f>
        <v>13.99</v>
      </c>
      <c r="F1206" s="2">
        <f>IFERROR(__xludf.DUMMYFUNCTION("""COMPUTED_VALUE"""),3758230.0)</f>
        <v>3758230</v>
      </c>
    </row>
    <row r="1207">
      <c r="A1207" s="3">
        <f>IFERROR(__xludf.DUMMYFUNCTION("""COMPUTED_VALUE"""),42108.66666666667)</f>
        <v>42108.66667</v>
      </c>
      <c r="B1207" s="2">
        <f>IFERROR(__xludf.DUMMYFUNCTION("""COMPUTED_VALUE"""),13.9)</f>
        <v>13.9</v>
      </c>
      <c r="C1207" s="2">
        <f>IFERROR(__xludf.DUMMYFUNCTION("""COMPUTED_VALUE"""),13.97)</f>
        <v>13.97</v>
      </c>
      <c r="D1207" s="2">
        <f>IFERROR(__xludf.DUMMYFUNCTION("""COMPUTED_VALUE"""),13.7)</f>
        <v>13.7</v>
      </c>
      <c r="E1207" s="2">
        <f>IFERROR(__xludf.DUMMYFUNCTION("""COMPUTED_VALUE"""),13.83)</f>
        <v>13.83</v>
      </c>
      <c r="F1207" s="2">
        <f>IFERROR(__xludf.DUMMYFUNCTION("""COMPUTED_VALUE"""),3025963.0)</f>
        <v>3025963</v>
      </c>
    </row>
    <row r="1208">
      <c r="A1208" s="3">
        <f>IFERROR(__xludf.DUMMYFUNCTION("""COMPUTED_VALUE"""),42109.66666666667)</f>
        <v>42109.66667</v>
      </c>
      <c r="B1208" s="2">
        <f>IFERROR(__xludf.DUMMYFUNCTION("""COMPUTED_VALUE"""),13.8)</f>
        <v>13.8</v>
      </c>
      <c r="C1208" s="2">
        <f>IFERROR(__xludf.DUMMYFUNCTION("""COMPUTED_VALUE"""),13.97)</f>
        <v>13.97</v>
      </c>
      <c r="D1208" s="2">
        <f>IFERROR(__xludf.DUMMYFUNCTION("""COMPUTED_VALUE"""),13.77)</f>
        <v>13.77</v>
      </c>
      <c r="E1208" s="2">
        <f>IFERROR(__xludf.DUMMYFUNCTION("""COMPUTED_VALUE"""),13.86)</f>
        <v>13.86</v>
      </c>
      <c r="F1208" s="2">
        <f>IFERROR(__xludf.DUMMYFUNCTION("""COMPUTED_VALUE"""),1952378.0)</f>
        <v>1952378</v>
      </c>
    </row>
    <row r="1209">
      <c r="A1209" s="3">
        <f>IFERROR(__xludf.DUMMYFUNCTION("""COMPUTED_VALUE"""),42110.66666666667)</f>
        <v>42110.66667</v>
      </c>
      <c r="B1209" s="2">
        <f>IFERROR(__xludf.DUMMYFUNCTION("""COMPUTED_VALUE"""),13.84)</f>
        <v>13.84</v>
      </c>
      <c r="C1209" s="2">
        <f>IFERROR(__xludf.DUMMYFUNCTION("""COMPUTED_VALUE"""),13.94)</f>
        <v>13.94</v>
      </c>
      <c r="D1209" s="2">
        <f>IFERROR(__xludf.DUMMYFUNCTION("""COMPUTED_VALUE"""),13.75)</f>
        <v>13.75</v>
      </c>
      <c r="E1209" s="2">
        <f>IFERROR(__xludf.DUMMYFUNCTION("""COMPUTED_VALUE"""),13.78)</f>
        <v>13.78</v>
      </c>
      <c r="F1209" s="2">
        <f>IFERROR(__xludf.DUMMYFUNCTION("""COMPUTED_VALUE"""),1659059.0)</f>
        <v>1659059</v>
      </c>
    </row>
    <row r="1210">
      <c r="A1210" s="3">
        <f>IFERROR(__xludf.DUMMYFUNCTION("""COMPUTED_VALUE"""),42111.66666666667)</f>
        <v>42111.66667</v>
      </c>
      <c r="B1210" s="2">
        <f>IFERROR(__xludf.DUMMYFUNCTION("""COMPUTED_VALUE"""),13.67)</f>
        <v>13.67</v>
      </c>
      <c r="C1210" s="2">
        <f>IFERROR(__xludf.DUMMYFUNCTION("""COMPUTED_VALUE"""),13.79)</f>
        <v>13.79</v>
      </c>
      <c r="D1210" s="2">
        <f>IFERROR(__xludf.DUMMYFUNCTION("""COMPUTED_VALUE"""),13.57)</f>
        <v>13.57</v>
      </c>
      <c r="E1210" s="2">
        <f>IFERROR(__xludf.DUMMYFUNCTION("""COMPUTED_VALUE"""),13.79)</f>
        <v>13.79</v>
      </c>
      <c r="F1210" s="2">
        <f>IFERROR(__xludf.DUMMYFUNCTION("""COMPUTED_VALUE"""),2469926.0)</f>
        <v>2469926</v>
      </c>
    </row>
    <row r="1211">
      <c r="A1211" s="3">
        <f>IFERROR(__xludf.DUMMYFUNCTION("""COMPUTED_VALUE"""),42114.66666666667)</f>
        <v>42114.66667</v>
      </c>
      <c r="B1211" s="2">
        <f>IFERROR(__xludf.DUMMYFUNCTION("""COMPUTED_VALUE"""),13.79)</f>
        <v>13.79</v>
      </c>
      <c r="C1211" s="2">
        <f>IFERROR(__xludf.DUMMYFUNCTION("""COMPUTED_VALUE"""),13.86)</f>
        <v>13.86</v>
      </c>
      <c r="D1211" s="2">
        <f>IFERROR(__xludf.DUMMYFUNCTION("""COMPUTED_VALUE"""),13.59)</f>
        <v>13.59</v>
      </c>
      <c r="E1211" s="2">
        <f>IFERROR(__xludf.DUMMYFUNCTION("""COMPUTED_VALUE"""),13.68)</f>
        <v>13.68</v>
      </c>
      <c r="F1211" s="2">
        <f>IFERROR(__xludf.DUMMYFUNCTION("""COMPUTED_VALUE"""),2559251.0)</f>
        <v>2559251</v>
      </c>
    </row>
    <row r="1212">
      <c r="A1212" s="3">
        <f>IFERROR(__xludf.DUMMYFUNCTION("""COMPUTED_VALUE"""),42115.66666666667)</f>
        <v>42115.66667</v>
      </c>
      <c r="B1212" s="2">
        <f>IFERROR(__xludf.DUMMYFUNCTION("""COMPUTED_VALUE"""),13.72)</f>
        <v>13.72</v>
      </c>
      <c r="C1212" s="2">
        <f>IFERROR(__xludf.DUMMYFUNCTION("""COMPUTED_VALUE"""),14.05)</f>
        <v>14.05</v>
      </c>
      <c r="D1212" s="2">
        <f>IFERROR(__xludf.DUMMYFUNCTION("""COMPUTED_VALUE"""),13.62)</f>
        <v>13.62</v>
      </c>
      <c r="E1212" s="2">
        <f>IFERROR(__xludf.DUMMYFUNCTION("""COMPUTED_VALUE"""),13.96)</f>
        <v>13.96</v>
      </c>
      <c r="F1212" s="2">
        <f>IFERROR(__xludf.DUMMYFUNCTION("""COMPUTED_VALUE"""),3432541.0)</f>
        <v>3432541</v>
      </c>
    </row>
    <row r="1213">
      <c r="A1213" s="3">
        <f>IFERROR(__xludf.DUMMYFUNCTION("""COMPUTED_VALUE"""),42116.66666666667)</f>
        <v>42116.66667</v>
      </c>
      <c r="B1213" s="2">
        <f>IFERROR(__xludf.DUMMYFUNCTION("""COMPUTED_VALUE"""),14.17)</f>
        <v>14.17</v>
      </c>
      <c r="C1213" s="2">
        <f>IFERROR(__xludf.DUMMYFUNCTION("""COMPUTED_VALUE"""),14.79)</f>
        <v>14.79</v>
      </c>
      <c r="D1213" s="2">
        <f>IFERROR(__xludf.DUMMYFUNCTION("""COMPUTED_VALUE"""),14.11)</f>
        <v>14.11</v>
      </c>
      <c r="E1213" s="2">
        <f>IFERROR(__xludf.DUMMYFUNCTION("""COMPUTED_VALUE"""),14.63)</f>
        <v>14.63</v>
      </c>
      <c r="F1213" s="2">
        <f>IFERROR(__xludf.DUMMYFUNCTION("""COMPUTED_VALUE"""),7863037.0)</f>
        <v>7863037</v>
      </c>
    </row>
    <row r="1214">
      <c r="A1214" s="3">
        <f>IFERROR(__xludf.DUMMYFUNCTION("""COMPUTED_VALUE"""),42117.66666666667)</f>
        <v>42117.66667</v>
      </c>
      <c r="B1214" s="2">
        <f>IFERROR(__xludf.DUMMYFUNCTION("""COMPUTED_VALUE"""),14.54)</f>
        <v>14.54</v>
      </c>
      <c r="C1214" s="2">
        <f>IFERROR(__xludf.DUMMYFUNCTION("""COMPUTED_VALUE"""),14.77)</f>
        <v>14.77</v>
      </c>
      <c r="D1214" s="2">
        <f>IFERROR(__xludf.DUMMYFUNCTION("""COMPUTED_VALUE"""),14.48)</f>
        <v>14.48</v>
      </c>
      <c r="E1214" s="2">
        <f>IFERROR(__xludf.DUMMYFUNCTION("""COMPUTED_VALUE"""),14.57)</f>
        <v>14.57</v>
      </c>
      <c r="F1214" s="2">
        <f>IFERROR(__xludf.DUMMYFUNCTION("""COMPUTED_VALUE"""),4411184.0)</f>
        <v>4411184</v>
      </c>
    </row>
    <row r="1215">
      <c r="A1215" s="3">
        <f>IFERROR(__xludf.DUMMYFUNCTION("""COMPUTED_VALUE"""),42118.66666666667)</f>
        <v>42118.66667</v>
      </c>
      <c r="B1215" s="2">
        <f>IFERROR(__xludf.DUMMYFUNCTION("""COMPUTED_VALUE"""),14.7)</f>
        <v>14.7</v>
      </c>
      <c r="C1215" s="2">
        <f>IFERROR(__xludf.DUMMYFUNCTION("""COMPUTED_VALUE"""),14.72)</f>
        <v>14.72</v>
      </c>
      <c r="D1215" s="2">
        <f>IFERROR(__xludf.DUMMYFUNCTION("""COMPUTED_VALUE"""),14.53)</f>
        <v>14.53</v>
      </c>
      <c r="E1215" s="2">
        <f>IFERROR(__xludf.DUMMYFUNCTION("""COMPUTED_VALUE"""),14.56)</f>
        <v>14.56</v>
      </c>
      <c r="F1215" s="2">
        <f>IFERROR(__xludf.DUMMYFUNCTION("""COMPUTED_VALUE"""),2427843.0)</f>
        <v>2427843</v>
      </c>
    </row>
    <row r="1216">
      <c r="A1216" s="3">
        <f>IFERROR(__xludf.DUMMYFUNCTION("""COMPUTED_VALUE"""),42121.66666666667)</f>
        <v>42121.66667</v>
      </c>
      <c r="B1216" s="2">
        <f>IFERROR(__xludf.DUMMYFUNCTION("""COMPUTED_VALUE"""),14.84)</f>
        <v>14.84</v>
      </c>
      <c r="C1216" s="2">
        <f>IFERROR(__xludf.DUMMYFUNCTION("""COMPUTED_VALUE"""),15.92)</f>
        <v>15.92</v>
      </c>
      <c r="D1216" s="2">
        <f>IFERROR(__xludf.DUMMYFUNCTION("""COMPUTED_VALUE"""),14.8)</f>
        <v>14.8</v>
      </c>
      <c r="E1216" s="2">
        <f>IFERROR(__xludf.DUMMYFUNCTION("""COMPUTED_VALUE"""),15.44)</f>
        <v>15.44</v>
      </c>
      <c r="F1216" s="2">
        <f>IFERROR(__xludf.DUMMYFUNCTION("""COMPUTED_VALUE"""),1.1672627E7)</f>
        <v>11672627</v>
      </c>
    </row>
    <row r="1217">
      <c r="A1217" s="3">
        <f>IFERROR(__xludf.DUMMYFUNCTION("""COMPUTED_VALUE"""),42122.66666666667)</f>
        <v>42122.66667</v>
      </c>
      <c r="B1217" s="2">
        <f>IFERROR(__xludf.DUMMYFUNCTION("""COMPUTED_VALUE"""),15.65)</f>
        <v>15.65</v>
      </c>
      <c r="C1217" s="2">
        <f>IFERROR(__xludf.DUMMYFUNCTION("""COMPUTED_VALUE"""),15.7)</f>
        <v>15.7</v>
      </c>
      <c r="D1217" s="2">
        <f>IFERROR(__xludf.DUMMYFUNCTION("""COMPUTED_VALUE"""),15.2)</f>
        <v>15.2</v>
      </c>
      <c r="E1217" s="2">
        <f>IFERROR(__xludf.DUMMYFUNCTION("""COMPUTED_VALUE"""),15.37)</f>
        <v>15.37</v>
      </c>
      <c r="F1217" s="2">
        <f>IFERROR(__xludf.DUMMYFUNCTION("""COMPUTED_VALUE"""),6085379.0)</f>
        <v>6085379</v>
      </c>
    </row>
    <row r="1218">
      <c r="A1218" s="3">
        <f>IFERROR(__xludf.DUMMYFUNCTION("""COMPUTED_VALUE"""),42123.66666666667)</f>
        <v>42123.66667</v>
      </c>
      <c r="B1218" s="2">
        <f>IFERROR(__xludf.DUMMYFUNCTION("""COMPUTED_VALUE"""),15.34)</f>
        <v>15.34</v>
      </c>
      <c r="C1218" s="2">
        <f>IFERROR(__xludf.DUMMYFUNCTION("""COMPUTED_VALUE"""),15.66)</f>
        <v>15.66</v>
      </c>
      <c r="D1218" s="2">
        <f>IFERROR(__xludf.DUMMYFUNCTION("""COMPUTED_VALUE"""),15.18)</f>
        <v>15.18</v>
      </c>
      <c r="E1218" s="2">
        <f>IFERROR(__xludf.DUMMYFUNCTION("""COMPUTED_VALUE"""),15.5)</f>
        <v>15.5</v>
      </c>
      <c r="F1218" s="2">
        <f>IFERROR(__xludf.DUMMYFUNCTION("""COMPUTED_VALUE"""),3936077.0)</f>
        <v>3936077</v>
      </c>
    </row>
    <row r="1219">
      <c r="A1219" s="3">
        <f>IFERROR(__xludf.DUMMYFUNCTION("""COMPUTED_VALUE"""),42124.66666666667)</f>
        <v>42124.66667</v>
      </c>
      <c r="B1219" s="2">
        <f>IFERROR(__xludf.DUMMYFUNCTION("""COMPUTED_VALUE"""),15.36)</f>
        <v>15.36</v>
      </c>
      <c r="C1219" s="2">
        <f>IFERROR(__xludf.DUMMYFUNCTION("""COMPUTED_VALUE"""),15.53)</f>
        <v>15.53</v>
      </c>
      <c r="D1219" s="2">
        <f>IFERROR(__xludf.DUMMYFUNCTION("""COMPUTED_VALUE"""),15.01)</f>
        <v>15.01</v>
      </c>
      <c r="E1219" s="2">
        <f>IFERROR(__xludf.DUMMYFUNCTION("""COMPUTED_VALUE"""),15.07)</f>
        <v>15.07</v>
      </c>
      <c r="F1219" s="2">
        <f>IFERROR(__xludf.DUMMYFUNCTION("""COMPUTED_VALUE"""),3911857.0)</f>
        <v>3911857</v>
      </c>
    </row>
    <row r="1220">
      <c r="A1220" s="3">
        <f>IFERROR(__xludf.DUMMYFUNCTION("""COMPUTED_VALUE"""),42125.66666666667)</f>
        <v>42125.66667</v>
      </c>
      <c r="B1220" s="2">
        <f>IFERROR(__xludf.DUMMYFUNCTION("""COMPUTED_VALUE"""),15.32)</f>
        <v>15.32</v>
      </c>
      <c r="C1220" s="2">
        <f>IFERROR(__xludf.DUMMYFUNCTION("""COMPUTED_VALUE"""),15.45)</f>
        <v>15.45</v>
      </c>
      <c r="D1220" s="2">
        <f>IFERROR(__xludf.DUMMYFUNCTION("""COMPUTED_VALUE"""),14.69)</f>
        <v>14.69</v>
      </c>
      <c r="E1220" s="2">
        <f>IFERROR(__xludf.DUMMYFUNCTION("""COMPUTED_VALUE"""),15.07)</f>
        <v>15.07</v>
      </c>
      <c r="F1220" s="2">
        <f>IFERROR(__xludf.DUMMYFUNCTION("""COMPUTED_VALUE"""),5281689.0)</f>
        <v>5281689</v>
      </c>
    </row>
    <row r="1221">
      <c r="A1221" s="3">
        <f>IFERROR(__xludf.DUMMYFUNCTION("""COMPUTED_VALUE"""),42128.66666666667)</f>
        <v>42128.66667</v>
      </c>
      <c r="B1221" s="2">
        <f>IFERROR(__xludf.DUMMYFUNCTION("""COMPUTED_VALUE"""),15.21)</f>
        <v>15.21</v>
      </c>
      <c r="C1221" s="2">
        <f>IFERROR(__xludf.DUMMYFUNCTION("""COMPUTED_VALUE"""),15.65)</f>
        <v>15.65</v>
      </c>
      <c r="D1221" s="2">
        <f>IFERROR(__xludf.DUMMYFUNCTION("""COMPUTED_VALUE"""),15.14)</f>
        <v>15.14</v>
      </c>
      <c r="E1221" s="2">
        <f>IFERROR(__xludf.DUMMYFUNCTION("""COMPUTED_VALUE"""),15.37)</f>
        <v>15.37</v>
      </c>
      <c r="F1221" s="2">
        <f>IFERROR(__xludf.DUMMYFUNCTION("""COMPUTED_VALUE"""),4434596.0)</f>
        <v>4434596</v>
      </c>
    </row>
    <row r="1222">
      <c r="A1222" s="3">
        <f>IFERROR(__xludf.DUMMYFUNCTION("""COMPUTED_VALUE"""),42129.66666666667)</f>
        <v>42129.66667</v>
      </c>
      <c r="B1222" s="2">
        <f>IFERROR(__xludf.DUMMYFUNCTION("""COMPUTED_VALUE"""),15.85)</f>
        <v>15.85</v>
      </c>
      <c r="C1222" s="2">
        <f>IFERROR(__xludf.DUMMYFUNCTION("""COMPUTED_VALUE"""),15.97)</f>
        <v>15.97</v>
      </c>
      <c r="D1222" s="2">
        <f>IFERROR(__xludf.DUMMYFUNCTION("""COMPUTED_VALUE"""),15.28)</f>
        <v>15.28</v>
      </c>
      <c r="E1222" s="2">
        <f>IFERROR(__xludf.DUMMYFUNCTION("""COMPUTED_VALUE"""),15.53)</f>
        <v>15.53</v>
      </c>
      <c r="F1222" s="2">
        <f>IFERROR(__xludf.DUMMYFUNCTION("""COMPUTED_VALUE"""),5796873.0)</f>
        <v>5796873</v>
      </c>
    </row>
    <row r="1223">
      <c r="A1223" s="3">
        <f>IFERROR(__xludf.DUMMYFUNCTION("""COMPUTED_VALUE"""),42130.66666666667)</f>
        <v>42130.66667</v>
      </c>
      <c r="B1223" s="2">
        <f>IFERROR(__xludf.DUMMYFUNCTION("""COMPUTED_VALUE"""),15.6)</f>
        <v>15.6</v>
      </c>
      <c r="C1223" s="2">
        <f>IFERROR(__xludf.DUMMYFUNCTION("""COMPUTED_VALUE"""),15.63)</f>
        <v>15.63</v>
      </c>
      <c r="D1223" s="2">
        <f>IFERROR(__xludf.DUMMYFUNCTION("""COMPUTED_VALUE"""),15.21)</f>
        <v>15.21</v>
      </c>
      <c r="E1223" s="2">
        <f>IFERROR(__xludf.DUMMYFUNCTION("""COMPUTED_VALUE"""),15.36)</f>
        <v>15.36</v>
      </c>
      <c r="F1223" s="2">
        <f>IFERROR(__xludf.DUMMYFUNCTION("""COMPUTED_VALUE"""),5270933.0)</f>
        <v>5270933</v>
      </c>
    </row>
    <row r="1224">
      <c r="A1224" s="3">
        <f>IFERROR(__xludf.DUMMYFUNCTION("""COMPUTED_VALUE"""),42131.66666666667)</f>
        <v>42131.66667</v>
      </c>
      <c r="B1224" s="2">
        <f>IFERROR(__xludf.DUMMYFUNCTION("""COMPUTED_VALUE"""),14.73)</f>
        <v>14.73</v>
      </c>
      <c r="C1224" s="2">
        <f>IFERROR(__xludf.DUMMYFUNCTION("""COMPUTED_VALUE"""),15.83)</f>
        <v>15.83</v>
      </c>
      <c r="D1224" s="2">
        <f>IFERROR(__xludf.DUMMYFUNCTION("""COMPUTED_VALUE"""),14.68)</f>
        <v>14.68</v>
      </c>
      <c r="E1224" s="2">
        <f>IFERROR(__xludf.DUMMYFUNCTION("""COMPUTED_VALUE"""),15.79)</f>
        <v>15.79</v>
      </c>
      <c r="F1224" s="2">
        <f>IFERROR(__xludf.DUMMYFUNCTION("""COMPUTED_VALUE"""),9455909.0)</f>
        <v>9455909</v>
      </c>
    </row>
    <row r="1225">
      <c r="A1225" s="3">
        <f>IFERROR(__xludf.DUMMYFUNCTION("""COMPUTED_VALUE"""),42132.66666666667)</f>
        <v>42132.66667</v>
      </c>
      <c r="B1225" s="2">
        <f>IFERROR(__xludf.DUMMYFUNCTION("""COMPUTED_VALUE"""),15.73)</f>
        <v>15.73</v>
      </c>
      <c r="C1225" s="2">
        <f>IFERROR(__xludf.DUMMYFUNCTION("""COMPUTED_VALUE"""),15.89)</f>
        <v>15.89</v>
      </c>
      <c r="D1225" s="2">
        <f>IFERROR(__xludf.DUMMYFUNCTION("""COMPUTED_VALUE"""),15.58)</f>
        <v>15.58</v>
      </c>
      <c r="E1225" s="2">
        <f>IFERROR(__xludf.DUMMYFUNCTION("""COMPUTED_VALUE"""),15.77)</f>
        <v>15.77</v>
      </c>
      <c r="F1225" s="2">
        <f>IFERROR(__xludf.DUMMYFUNCTION("""COMPUTED_VALUE"""),4668236.0)</f>
        <v>4668236</v>
      </c>
    </row>
    <row r="1226">
      <c r="A1226" s="3">
        <f>IFERROR(__xludf.DUMMYFUNCTION("""COMPUTED_VALUE"""),42135.66666666667)</f>
        <v>42135.66667</v>
      </c>
      <c r="B1226" s="2">
        <f>IFERROR(__xludf.DUMMYFUNCTION("""COMPUTED_VALUE"""),15.75)</f>
        <v>15.75</v>
      </c>
      <c r="C1226" s="2">
        <f>IFERROR(__xludf.DUMMYFUNCTION("""COMPUTED_VALUE"""),16.19)</f>
        <v>16.19</v>
      </c>
      <c r="D1226" s="2">
        <f>IFERROR(__xludf.DUMMYFUNCTION("""COMPUTED_VALUE"""),15.69)</f>
        <v>15.69</v>
      </c>
      <c r="E1226" s="2">
        <f>IFERROR(__xludf.DUMMYFUNCTION("""COMPUTED_VALUE"""),15.97)</f>
        <v>15.97</v>
      </c>
      <c r="F1226" s="2">
        <f>IFERROR(__xludf.DUMMYFUNCTION("""COMPUTED_VALUE"""),5672262.0)</f>
        <v>5672262</v>
      </c>
    </row>
    <row r="1227">
      <c r="A1227" s="3">
        <f>IFERROR(__xludf.DUMMYFUNCTION("""COMPUTED_VALUE"""),42136.66666666667)</f>
        <v>42136.66667</v>
      </c>
      <c r="B1227" s="2">
        <f>IFERROR(__xludf.DUMMYFUNCTION("""COMPUTED_VALUE"""),16.01)</f>
        <v>16.01</v>
      </c>
      <c r="C1227" s="2">
        <f>IFERROR(__xludf.DUMMYFUNCTION("""COMPUTED_VALUE"""),16.42)</f>
        <v>16.42</v>
      </c>
      <c r="D1227" s="2">
        <f>IFERROR(__xludf.DUMMYFUNCTION("""COMPUTED_VALUE"""),15.88)</f>
        <v>15.88</v>
      </c>
      <c r="E1227" s="2">
        <f>IFERROR(__xludf.DUMMYFUNCTION("""COMPUTED_VALUE"""),16.32)</f>
        <v>16.32</v>
      </c>
      <c r="F1227" s="2">
        <f>IFERROR(__xludf.DUMMYFUNCTION("""COMPUTED_VALUE"""),6363429.0)</f>
        <v>6363429</v>
      </c>
    </row>
    <row r="1228">
      <c r="A1228" s="3">
        <f>IFERROR(__xludf.DUMMYFUNCTION("""COMPUTED_VALUE"""),42137.66666666667)</f>
        <v>42137.66667</v>
      </c>
      <c r="B1228" s="2">
        <f>IFERROR(__xludf.DUMMYFUNCTION("""COMPUTED_VALUE"""),16.51)</f>
        <v>16.51</v>
      </c>
      <c r="C1228" s="2">
        <f>IFERROR(__xludf.DUMMYFUNCTION("""COMPUTED_VALUE"""),16.55)</f>
        <v>16.55</v>
      </c>
      <c r="D1228" s="2">
        <f>IFERROR(__xludf.DUMMYFUNCTION("""COMPUTED_VALUE"""),16.15)</f>
        <v>16.15</v>
      </c>
      <c r="E1228" s="2">
        <f>IFERROR(__xludf.DUMMYFUNCTION("""COMPUTED_VALUE"""),16.21)</f>
        <v>16.21</v>
      </c>
      <c r="F1228" s="2">
        <f>IFERROR(__xludf.DUMMYFUNCTION("""COMPUTED_VALUE"""),5440165.0)</f>
        <v>5440165</v>
      </c>
    </row>
    <row r="1229">
      <c r="A1229" s="3">
        <f>IFERROR(__xludf.DUMMYFUNCTION("""COMPUTED_VALUE"""),42138.66666666667)</f>
        <v>42138.66667</v>
      </c>
      <c r="B1229" s="2">
        <f>IFERROR(__xludf.DUMMYFUNCTION("""COMPUTED_VALUE"""),16.32)</f>
        <v>16.32</v>
      </c>
      <c r="C1229" s="2">
        <f>IFERROR(__xludf.DUMMYFUNCTION("""COMPUTED_VALUE"""),16.33)</f>
        <v>16.33</v>
      </c>
      <c r="D1229" s="2">
        <f>IFERROR(__xludf.DUMMYFUNCTION("""COMPUTED_VALUE"""),16.08)</f>
        <v>16.08</v>
      </c>
      <c r="E1229" s="2">
        <f>IFERROR(__xludf.DUMMYFUNCTION("""COMPUTED_VALUE"""),16.27)</f>
        <v>16.27</v>
      </c>
      <c r="F1229" s="2">
        <f>IFERROR(__xludf.DUMMYFUNCTION("""COMPUTED_VALUE"""),2895936.0)</f>
        <v>2895936</v>
      </c>
    </row>
    <row r="1230">
      <c r="A1230" s="3">
        <f>IFERROR(__xludf.DUMMYFUNCTION("""COMPUTED_VALUE"""),42139.66666666667)</f>
        <v>42139.66667</v>
      </c>
      <c r="B1230" s="2">
        <f>IFERROR(__xludf.DUMMYFUNCTION("""COMPUTED_VALUE"""),16.26)</f>
        <v>16.26</v>
      </c>
      <c r="C1230" s="2">
        <f>IFERROR(__xludf.DUMMYFUNCTION("""COMPUTED_VALUE"""),16.63)</f>
        <v>16.63</v>
      </c>
      <c r="D1230" s="2">
        <f>IFERROR(__xludf.DUMMYFUNCTION("""COMPUTED_VALUE"""),16.17)</f>
        <v>16.17</v>
      </c>
      <c r="E1230" s="2">
        <f>IFERROR(__xludf.DUMMYFUNCTION("""COMPUTED_VALUE"""),16.59)</f>
        <v>16.59</v>
      </c>
      <c r="F1230" s="2">
        <f>IFERROR(__xludf.DUMMYFUNCTION("""COMPUTED_VALUE"""),4527563.0)</f>
        <v>4527563</v>
      </c>
    </row>
    <row r="1231">
      <c r="A1231" s="3">
        <f>IFERROR(__xludf.DUMMYFUNCTION("""COMPUTED_VALUE"""),42142.66666666667)</f>
        <v>42142.66667</v>
      </c>
      <c r="B1231" s="2">
        <f>IFERROR(__xludf.DUMMYFUNCTION("""COMPUTED_VALUE"""),16.46)</f>
        <v>16.46</v>
      </c>
      <c r="C1231" s="2">
        <f>IFERROR(__xludf.DUMMYFUNCTION("""COMPUTED_VALUE"""),16.66)</f>
        <v>16.66</v>
      </c>
      <c r="D1231" s="2">
        <f>IFERROR(__xludf.DUMMYFUNCTION("""COMPUTED_VALUE"""),16.4)</f>
        <v>16.4</v>
      </c>
      <c r="E1231" s="2">
        <f>IFERROR(__xludf.DUMMYFUNCTION("""COMPUTED_VALUE"""),16.58)</f>
        <v>16.58</v>
      </c>
      <c r="F1231" s="2">
        <f>IFERROR(__xludf.DUMMYFUNCTION("""COMPUTED_VALUE"""),3353212.0)</f>
        <v>3353212</v>
      </c>
    </row>
    <row r="1232">
      <c r="A1232" s="3">
        <f>IFERROR(__xludf.DUMMYFUNCTION("""COMPUTED_VALUE"""),42143.66666666667)</f>
        <v>42143.66667</v>
      </c>
      <c r="B1232" s="2">
        <f>IFERROR(__xludf.DUMMYFUNCTION("""COMPUTED_VALUE"""),16.56)</f>
        <v>16.56</v>
      </c>
      <c r="C1232" s="2">
        <f>IFERROR(__xludf.DUMMYFUNCTION("""COMPUTED_VALUE"""),16.73)</f>
        <v>16.73</v>
      </c>
      <c r="D1232" s="2">
        <f>IFERROR(__xludf.DUMMYFUNCTION("""COMPUTED_VALUE"""),16.41)</f>
        <v>16.41</v>
      </c>
      <c r="E1232" s="2">
        <f>IFERROR(__xludf.DUMMYFUNCTION("""COMPUTED_VALUE"""),16.48)</f>
        <v>16.48</v>
      </c>
      <c r="F1232" s="2">
        <f>IFERROR(__xludf.DUMMYFUNCTION("""COMPUTED_VALUE"""),3674231.0)</f>
        <v>3674231</v>
      </c>
    </row>
    <row r="1233">
      <c r="A1233" s="3">
        <f>IFERROR(__xludf.DUMMYFUNCTION("""COMPUTED_VALUE"""),42144.66666666667)</f>
        <v>42144.66667</v>
      </c>
      <c r="B1233" s="2">
        <f>IFERROR(__xludf.DUMMYFUNCTION("""COMPUTED_VALUE"""),16.47)</f>
        <v>16.47</v>
      </c>
      <c r="C1233" s="2">
        <f>IFERROR(__xludf.DUMMYFUNCTION("""COMPUTED_VALUE"""),16.52)</f>
        <v>16.52</v>
      </c>
      <c r="D1233" s="2">
        <f>IFERROR(__xludf.DUMMYFUNCTION("""COMPUTED_VALUE"""),16.09)</f>
        <v>16.09</v>
      </c>
      <c r="E1233" s="2">
        <f>IFERROR(__xludf.DUMMYFUNCTION("""COMPUTED_VALUE"""),16.29)</f>
        <v>16.29</v>
      </c>
      <c r="F1233" s="2">
        <f>IFERROR(__xludf.DUMMYFUNCTION("""COMPUTED_VALUE"""),3755569.0)</f>
        <v>3755569</v>
      </c>
    </row>
    <row r="1234">
      <c r="A1234" s="3">
        <f>IFERROR(__xludf.DUMMYFUNCTION("""COMPUTED_VALUE"""),42145.66666666667)</f>
        <v>42145.66667</v>
      </c>
      <c r="B1234" s="2">
        <f>IFERROR(__xludf.DUMMYFUNCTION("""COMPUTED_VALUE"""),16.21)</f>
        <v>16.21</v>
      </c>
      <c r="C1234" s="2">
        <f>IFERROR(__xludf.DUMMYFUNCTION("""COMPUTED_VALUE"""),16.44)</f>
        <v>16.44</v>
      </c>
      <c r="D1234" s="2">
        <f>IFERROR(__xludf.DUMMYFUNCTION("""COMPUTED_VALUE"""),16.16)</f>
        <v>16.16</v>
      </c>
      <c r="E1234" s="2">
        <f>IFERROR(__xludf.DUMMYFUNCTION("""COMPUTED_VALUE"""),16.37)</f>
        <v>16.37</v>
      </c>
      <c r="F1234" s="2">
        <f>IFERROR(__xludf.DUMMYFUNCTION("""COMPUTED_VALUE"""),1970643.0)</f>
        <v>1970643</v>
      </c>
    </row>
    <row r="1235">
      <c r="A1235" s="3">
        <f>IFERROR(__xludf.DUMMYFUNCTION("""COMPUTED_VALUE"""),42146.66666666667)</f>
        <v>42146.66667</v>
      </c>
      <c r="B1235" s="2">
        <f>IFERROR(__xludf.DUMMYFUNCTION("""COMPUTED_VALUE"""),16.36)</f>
        <v>16.36</v>
      </c>
      <c r="C1235" s="2">
        <f>IFERROR(__xludf.DUMMYFUNCTION("""COMPUTED_VALUE"""),16.57)</f>
        <v>16.57</v>
      </c>
      <c r="D1235" s="2">
        <f>IFERROR(__xludf.DUMMYFUNCTION("""COMPUTED_VALUE"""),16.33)</f>
        <v>16.33</v>
      </c>
      <c r="E1235" s="2">
        <f>IFERROR(__xludf.DUMMYFUNCTION("""COMPUTED_VALUE"""),16.52)</f>
        <v>16.52</v>
      </c>
      <c r="F1235" s="2">
        <f>IFERROR(__xludf.DUMMYFUNCTION("""COMPUTED_VALUE"""),2223089.0)</f>
        <v>2223089</v>
      </c>
    </row>
    <row r="1236">
      <c r="A1236" s="3">
        <f>IFERROR(__xludf.DUMMYFUNCTION("""COMPUTED_VALUE"""),42150.66666666667)</f>
        <v>42150.66667</v>
      </c>
      <c r="B1236" s="2">
        <f>IFERROR(__xludf.DUMMYFUNCTION("""COMPUTED_VALUE"""),16.51)</f>
        <v>16.51</v>
      </c>
      <c r="C1236" s="2">
        <f>IFERROR(__xludf.DUMMYFUNCTION("""COMPUTED_VALUE"""),16.8)</f>
        <v>16.8</v>
      </c>
      <c r="D1236" s="2">
        <f>IFERROR(__xludf.DUMMYFUNCTION("""COMPUTED_VALUE"""),16.43)</f>
        <v>16.43</v>
      </c>
      <c r="E1236" s="2">
        <f>IFERROR(__xludf.DUMMYFUNCTION("""COMPUTED_VALUE"""),16.5)</f>
        <v>16.5</v>
      </c>
      <c r="F1236" s="2">
        <f>IFERROR(__xludf.DUMMYFUNCTION("""COMPUTED_VALUE"""),3498682.0)</f>
        <v>3498682</v>
      </c>
    </row>
    <row r="1237">
      <c r="A1237" s="3">
        <f>IFERROR(__xludf.DUMMYFUNCTION("""COMPUTED_VALUE"""),42151.66666666667)</f>
        <v>42151.66667</v>
      </c>
      <c r="B1237" s="2">
        <f>IFERROR(__xludf.DUMMYFUNCTION("""COMPUTED_VALUE"""),16.57)</f>
        <v>16.57</v>
      </c>
      <c r="C1237" s="2">
        <f>IFERROR(__xludf.DUMMYFUNCTION("""COMPUTED_VALUE"""),16.63)</f>
        <v>16.63</v>
      </c>
      <c r="D1237" s="2">
        <f>IFERROR(__xludf.DUMMYFUNCTION("""COMPUTED_VALUE"""),16.37)</f>
        <v>16.37</v>
      </c>
      <c r="E1237" s="2">
        <f>IFERROR(__xludf.DUMMYFUNCTION("""COMPUTED_VALUE"""),16.5)</f>
        <v>16.5</v>
      </c>
      <c r="F1237" s="2">
        <f>IFERROR(__xludf.DUMMYFUNCTION("""COMPUTED_VALUE"""),3408200.0)</f>
        <v>3408200</v>
      </c>
    </row>
    <row r="1238">
      <c r="A1238" s="3">
        <f>IFERROR(__xludf.DUMMYFUNCTION("""COMPUTED_VALUE"""),42152.66666666667)</f>
        <v>42152.66667</v>
      </c>
      <c r="B1238" s="2">
        <f>IFERROR(__xludf.DUMMYFUNCTION("""COMPUTED_VALUE"""),16.47)</f>
        <v>16.47</v>
      </c>
      <c r="C1238" s="2">
        <f>IFERROR(__xludf.DUMMYFUNCTION("""COMPUTED_VALUE"""),16.79)</f>
        <v>16.79</v>
      </c>
      <c r="D1238" s="2">
        <f>IFERROR(__xludf.DUMMYFUNCTION("""COMPUTED_VALUE"""),16.34)</f>
        <v>16.34</v>
      </c>
      <c r="E1238" s="2">
        <f>IFERROR(__xludf.DUMMYFUNCTION("""COMPUTED_VALUE"""),16.76)</f>
        <v>16.76</v>
      </c>
      <c r="F1238" s="2">
        <f>IFERROR(__xludf.DUMMYFUNCTION("""COMPUTED_VALUE"""),3647283.0)</f>
        <v>3647283</v>
      </c>
    </row>
    <row r="1239">
      <c r="A1239" s="3">
        <f>IFERROR(__xludf.DUMMYFUNCTION("""COMPUTED_VALUE"""),42153.66666666667)</f>
        <v>42153.66667</v>
      </c>
      <c r="B1239" s="2">
        <f>IFERROR(__xludf.DUMMYFUNCTION("""COMPUTED_VALUE"""),16.72)</f>
        <v>16.72</v>
      </c>
      <c r="C1239" s="2">
        <f>IFERROR(__xludf.DUMMYFUNCTION("""COMPUTED_VALUE"""),16.86)</f>
        <v>16.86</v>
      </c>
      <c r="D1239" s="2">
        <f>IFERROR(__xludf.DUMMYFUNCTION("""COMPUTED_VALUE"""),16.63)</f>
        <v>16.63</v>
      </c>
      <c r="E1239" s="2">
        <f>IFERROR(__xludf.DUMMYFUNCTION("""COMPUTED_VALUE"""),16.72)</f>
        <v>16.72</v>
      </c>
      <c r="F1239" s="2">
        <f>IFERROR(__xludf.DUMMYFUNCTION("""COMPUTED_VALUE"""),3789283.0)</f>
        <v>3789283</v>
      </c>
    </row>
    <row r="1240">
      <c r="A1240" s="3">
        <f>IFERROR(__xludf.DUMMYFUNCTION("""COMPUTED_VALUE"""),42156.66666666667)</f>
        <v>42156.66667</v>
      </c>
      <c r="B1240" s="2">
        <f>IFERROR(__xludf.DUMMYFUNCTION("""COMPUTED_VALUE"""),16.75)</f>
        <v>16.75</v>
      </c>
      <c r="C1240" s="2">
        <f>IFERROR(__xludf.DUMMYFUNCTION("""COMPUTED_VALUE"""),16.77)</f>
        <v>16.77</v>
      </c>
      <c r="D1240" s="2">
        <f>IFERROR(__xludf.DUMMYFUNCTION("""COMPUTED_VALUE"""),16.5)</f>
        <v>16.5</v>
      </c>
      <c r="E1240" s="2">
        <f>IFERROR(__xludf.DUMMYFUNCTION("""COMPUTED_VALUE"""),16.63)</f>
        <v>16.63</v>
      </c>
      <c r="F1240" s="2">
        <f>IFERROR(__xludf.DUMMYFUNCTION("""COMPUTED_VALUE"""),2505057.0)</f>
        <v>2505057</v>
      </c>
    </row>
    <row r="1241">
      <c r="A1241" s="3">
        <f>IFERROR(__xludf.DUMMYFUNCTION("""COMPUTED_VALUE"""),42157.66666666667)</f>
        <v>42157.66667</v>
      </c>
      <c r="B1241" s="2">
        <f>IFERROR(__xludf.DUMMYFUNCTION("""COMPUTED_VALUE"""),16.59)</f>
        <v>16.59</v>
      </c>
      <c r="C1241" s="2">
        <f>IFERROR(__xludf.DUMMYFUNCTION("""COMPUTED_VALUE"""),16.63)</f>
        <v>16.63</v>
      </c>
      <c r="D1241" s="2">
        <f>IFERROR(__xludf.DUMMYFUNCTION("""COMPUTED_VALUE"""),16.42)</f>
        <v>16.42</v>
      </c>
      <c r="E1241" s="2">
        <f>IFERROR(__xludf.DUMMYFUNCTION("""COMPUTED_VALUE"""),16.56)</f>
        <v>16.56</v>
      </c>
      <c r="F1241" s="2">
        <f>IFERROR(__xludf.DUMMYFUNCTION("""COMPUTED_VALUE"""),2134809.0)</f>
        <v>2134809</v>
      </c>
    </row>
    <row r="1242">
      <c r="A1242" s="3">
        <f>IFERROR(__xludf.DUMMYFUNCTION("""COMPUTED_VALUE"""),42158.66666666667)</f>
        <v>42158.66667</v>
      </c>
      <c r="B1242" s="2">
        <f>IFERROR(__xludf.DUMMYFUNCTION("""COMPUTED_VALUE"""),16.53)</f>
        <v>16.53</v>
      </c>
      <c r="C1242" s="2">
        <f>IFERROR(__xludf.DUMMYFUNCTION("""COMPUTED_VALUE"""),16.71)</f>
        <v>16.71</v>
      </c>
      <c r="D1242" s="2">
        <f>IFERROR(__xludf.DUMMYFUNCTION("""COMPUTED_VALUE"""),16.47)</f>
        <v>16.47</v>
      </c>
      <c r="E1242" s="2">
        <f>IFERROR(__xludf.DUMMYFUNCTION("""COMPUTED_VALUE"""),16.6)</f>
        <v>16.6</v>
      </c>
      <c r="F1242" s="2">
        <f>IFERROR(__xludf.DUMMYFUNCTION("""COMPUTED_VALUE"""),1781505.0)</f>
        <v>1781505</v>
      </c>
    </row>
    <row r="1243">
      <c r="A1243" s="3">
        <f>IFERROR(__xludf.DUMMYFUNCTION("""COMPUTED_VALUE"""),42159.66666666667)</f>
        <v>42159.66667</v>
      </c>
      <c r="B1243" s="2">
        <f>IFERROR(__xludf.DUMMYFUNCTION("""COMPUTED_VALUE"""),16.5)</f>
        <v>16.5</v>
      </c>
      <c r="C1243" s="2">
        <f>IFERROR(__xludf.DUMMYFUNCTION("""COMPUTED_VALUE"""),16.62)</f>
        <v>16.62</v>
      </c>
      <c r="D1243" s="2">
        <f>IFERROR(__xludf.DUMMYFUNCTION("""COMPUTED_VALUE"""),16.38)</f>
        <v>16.38</v>
      </c>
      <c r="E1243" s="2">
        <f>IFERROR(__xludf.DUMMYFUNCTION("""COMPUTED_VALUE"""),16.39)</f>
        <v>16.39</v>
      </c>
      <c r="F1243" s="2">
        <f>IFERROR(__xludf.DUMMYFUNCTION("""COMPUTED_VALUE"""),2453615.0)</f>
        <v>2453615</v>
      </c>
    </row>
    <row r="1244">
      <c r="A1244" s="3">
        <f>IFERROR(__xludf.DUMMYFUNCTION("""COMPUTED_VALUE"""),42160.66666666667)</f>
        <v>42160.66667</v>
      </c>
      <c r="B1244" s="2">
        <f>IFERROR(__xludf.DUMMYFUNCTION("""COMPUTED_VALUE"""),16.41)</f>
        <v>16.41</v>
      </c>
      <c r="C1244" s="2">
        <f>IFERROR(__xludf.DUMMYFUNCTION("""COMPUTED_VALUE"""),16.65)</f>
        <v>16.65</v>
      </c>
      <c r="D1244" s="2">
        <f>IFERROR(__xludf.DUMMYFUNCTION("""COMPUTED_VALUE"""),16.38)</f>
        <v>16.38</v>
      </c>
      <c r="E1244" s="2">
        <f>IFERROR(__xludf.DUMMYFUNCTION("""COMPUTED_VALUE"""),16.61)</f>
        <v>16.61</v>
      </c>
      <c r="F1244" s="2">
        <f>IFERROR(__xludf.DUMMYFUNCTION("""COMPUTED_VALUE"""),3022026.0)</f>
        <v>3022026</v>
      </c>
    </row>
    <row r="1245">
      <c r="A1245" s="3">
        <f>IFERROR(__xludf.DUMMYFUNCTION("""COMPUTED_VALUE"""),42163.66666666667)</f>
        <v>42163.66667</v>
      </c>
      <c r="B1245" s="2">
        <f>IFERROR(__xludf.DUMMYFUNCTION("""COMPUTED_VALUE"""),16.72)</f>
        <v>16.72</v>
      </c>
      <c r="C1245" s="2">
        <f>IFERROR(__xludf.DUMMYFUNCTION("""COMPUTED_VALUE"""),17.25)</f>
        <v>17.25</v>
      </c>
      <c r="D1245" s="2">
        <f>IFERROR(__xludf.DUMMYFUNCTION("""COMPUTED_VALUE"""),16.69)</f>
        <v>16.69</v>
      </c>
      <c r="E1245" s="2">
        <f>IFERROR(__xludf.DUMMYFUNCTION("""COMPUTED_VALUE"""),17.09)</f>
        <v>17.09</v>
      </c>
      <c r="F1245" s="2">
        <f>IFERROR(__xludf.DUMMYFUNCTION("""COMPUTED_VALUE"""),5016997.0)</f>
        <v>5016997</v>
      </c>
    </row>
    <row r="1246">
      <c r="A1246" s="3">
        <f>IFERROR(__xludf.DUMMYFUNCTION("""COMPUTED_VALUE"""),42164.66666666667)</f>
        <v>42164.66667</v>
      </c>
      <c r="B1246" s="2">
        <f>IFERROR(__xludf.DUMMYFUNCTION("""COMPUTED_VALUE"""),17.03)</f>
        <v>17.03</v>
      </c>
      <c r="C1246" s="2">
        <f>IFERROR(__xludf.DUMMYFUNCTION("""COMPUTED_VALUE"""),17.18)</f>
        <v>17.18</v>
      </c>
      <c r="D1246" s="2">
        <f>IFERROR(__xludf.DUMMYFUNCTION("""COMPUTED_VALUE"""),16.94)</f>
        <v>16.94</v>
      </c>
      <c r="E1246" s="2">
        <f>IFERROR(__xludf.DUMMYFUNCTION("""COMPUTED_VALUE"""),17.07)</f>
        <v>17.07</v>
      </c>
      <c r="F1246" s="2">
        <f>IFERROR(__xludf.DUMMYFUNCTION("""COMPUTED_VALUE"""),2611146.0)</f>
        <v>2611146</v>
      </c>
    </row>
    <row r="1247">
      <c r="A1247" s="3">
        <f>IFERROR(__xludf.DUMMYFUNCTION("""COMPUTED_VALUE"""),42165.66666666667)</f>
        <v>42165.66667</v>
      </c>
      <c r="B1247" s="2">
        <f>IFERROR(__xludf.DUMMYFUNCTION("""COMPUTED_VALUE"""),16.79)</f>
        <v>16.79</v>
      </c>
      <c r="C1247" s="2">
        <f>IFERROR(__xludf.DUMMYFUNCTION("""COMPUTED_VALUE"""),16.93)</f>
        <v>16.93</v>
      </c>
      <c r="D1247" s="2">
        <f>IFERROR(__xludf.DUMMYFUNCTION("""COMPUTED_VALUE"""),16.57)</f>
        <v>16.57</v>
      </c>
      <c r="E1247" s="2">
        <f>IFERROR(__xludf.DUMMYFUNCTION("""COMPUTED_VALUE"""),16.71)</f>
        <v>16.71</v>
      </c>
      <c r="F1247" s="2">
        <f>IFERROR(__xludf.DUMMYFUNCTION("""COMPUTED_VALUE"""),3454453.0)</f>
        <v>3454453</v>
      </c>
    </row>
    <row r="1248">
      <c r="A1248" s="3">
        <f>IFERROR(__xludf.DUMMYFUNCTION("""COMPUTED_VALUE"""),42166.66666666667)</f>
        <v>42166.66667</v>
      </c>
      <c r="B1248" s="2">
        <f>IFERROR(__xludf.DUMMYFUNCTION("""COMPUTED_VALUE"""),16.88)</f>
        <v>16.88</v>
      </c>
      <c r="C1248" s="2">
        <f>IFERROR(__xludf.DUMMYFUNCTION("""COMPUTED_VALUE"""),16.96)</f>
        <v>16.96</v>
      </c>
      <c r="D1248" s="2">
        <f>IFERROR(__xludf.DUMMYFUNCTION("""COMPUTED_VALUE"""),16.7)</f>
        <v>16.7</v>
      </c>
      <c r="E1248" s="2">
        <f>IFERROR(__xludf.DUMMYFUNCTION("""COMPUTED_VALUE"""),16.76)</f>
        <v>16.76</v>
      </c>
      <c r="F1248" s="2">
        <f>IFERROR(__xludf.DUMMYFUNCTION("""COMPUTED_VALUE"""),2044058.0)</f>
        <v>2044058</v>
      </c>
    </row>
    <row r="1249">
      <c r="A1249" s="3">
        <f>IFERROR(__xludf.DUMMYFUNCTION("""COMPUTED_VALUE"""),42167.66666666667)</f>
        <v>42167.66667</v>
      </c>
      <c r="B1249" s="2">
        <f>IFERROR(__xludf.DUMMYFUNCTION("""COMPUTED_VALUE"""),16.68)</f>
        <v>16.68</v>
      </c>
      <c r="C1249" s="2">
        <f>IFERROR(__xludf.DUMMYFUNCTION("""COMPUTED_VALUE"""),16.9)</f>
        <v>16.9</v>
      </c>
      <c r="D1249" s="2">
        <f>IFERROR(__xludf.DUMMYFUNCTION("""COMPUTED_VALUE"""),16.68)</f>
        <v>16.68</v>
      </c>
      <c r="E1249" s="2">
        <f>IFERROR(__xludf.DUMMYFUNCTION("""COMPUTED_VALUE"""),16.71)</f>
        <v>16.71</v>
      </c>
      <c r="F1249" s="2">
        <f>IFERROR(__xludf.DUMMYFUNCTION("""COMPUTED_VALUE"""),1422335.0)</f>
        <v>1422335</v>
      </c>
    </row>
    <row r="1250">
      <c r="A1250" s="3">
        <f>IFERROR(__xludf.DUMMYFUNCTION("""COMPUTED_VALUE"""),42170.66666666667)</f>
        <v>42170.66667</v>
      </c>
      <c r="B1250" s="2">
        <f>IFERROR(__xludf.DUMMYFUNCTION("""COMPUTED_VALUE"""),16.65)</f>
        <v>16.65</v>
      </c>
      <c r="C1250" s="2">
        <f>IFERROR(__xludf.DUMMYFUNCTION("""COMPUTED_VALUE"""),16.75)</f>
        <v>16.75</v>
      </c>
      <c r="D1250" s="2">
        <f>IFERROR(__xludf.DUMMYFUNCTION("""COMPUTED_VALUE"""),16.4)</f>
        <v>16.4</v>
      </c>
      <c r="E1250" s="2">
        <f>IFERROR(__xludf.DUMMYFUNCTION("""COMPUTED_VALUE"""),16.69)</f>
        <v>16.69</v>
      </c>
      <c r="F1250" s="2">
        <f>IFERROR(__xludf.DUMMYFUNCTION("""COMPUTED_VALUE"""),2186175.0)</f>
        <v>2186175</v>
      </c>
    </row>
    <row r="1251">
      <c r="A1251" s="3">
        <f>IFERROR(__xludf.DUMMYFUNCTION("""COMPUTED_VALUE"""),42171.66666666667)</f>
        <v>42171.66667</v>
      </c>
      <c r="B1251" s="2">
        <f>IFERROR(__xludf.DUMMYFUNCTION("""COMPUTED_VALUE"""),16.68)</f>
        <v>16.68</v>
      </c>
      <c r="C1251" s="2">
        <f>IFERROR(__xludf.DUMMYFUNCTION("""COMPUTED_VALUE"""),16.9)</f>
        <v>16.9</v>
      </c>
      <c r="D1251" s="2">
        <f>IFERROR(__xludf.DUMMYFUNCTION("""COMPUTED_VALUE"""),16.61)</f>
        <v>16.61</v>
      </c>
      <c r="E1251" s="2">
        <f>IFERROR(__xludf.DUMMYFUNCTION("""COMPUTED_VALUE"""),16.87)</f>
        <v>16.87</v>
      </c>
      <c r="F1251" s="2">
        <f>IFERROR(__xludf.DUMMYFUNCTION("""COMPUTED_VALUE"""),1984678.0)</f>
        <v>1984678</v>
      </c>
    </row>
    <row r="1252">
      <c r="A1252" s="3">
        <f>IFERROR(__xludf.DUMMYFUNCTION("""COMPUTED_VALUE"""),42172.66666666667)</f>
        <v>42172.66667</v>
      </c>
      <c r="B1252" s="2">
        <f>IFERROR(__xludf.DUMMYFUNCTION("""COMPUTED_VALUE"""),16.81)</f>
        <v>16.81</v>
      </c>
      <c r="C1252" s="2">
        <f>IFERROR(__xludf.DUMMYFUNCTION("""COMPUTED_VALUE"""),17.62)</f>
        <v>17.62</v>
      </c>
      <c r="D1252" s="2">
        <f>IFERROR(__xludf.DUMMYFUNCTION("""COMPUTED_VALUE"""),16.8)</f>
        <v>16.8</v>
      </c>
      <c r="E1252" s="2">
        <f>IFERROR(__xludf.DUMMYFUNCTION("""COMPUTED_VALUE"""),17.36)</f>
        <v>17.36</v>
      </c>
      <c r="F1252" s="2">
        <f>IFERROR(__xludf.DUMMYFUNCTION("""COMPUTED_VALUE"""),5512920.0)</f>
        <v>5512920</v>
      </c>
    </row>
    <row r="1253">
      <c r="A1253" s="3">
        <f>IFERROR(__xludf.DUMMYFUNCTION("""COMPUTED_VALUE"""),42173.66666666667)</f>
        <v>42173.66667</v>
      </c>
      <c r="B1253" s="2">
        <f>IFERROR(__xludf.DUMMYFUNCTION("""COMPUTED_VALUE"""),17.46)</f>
        <v>17.46</v>
      </c>
      <c r="C1253" s="2">
        <f>IFERROR(__xludf.DUMMYFUNCTION("""COMPUTED_VALUE"""),17.56)</f>
        <v>17.56</v>
      </c>
      <c r="D1253" s="2">
        <f>IFERROR(__xludf.DUMMYFUNCTION("""COMPUTED_VALUE"""),17.33)</f>
        <v>17.33</v>
      </c>
      <c r="E1253" s="2">
        <f>IFERROR(__xludf.DUMMYFUNCTION("""COMPUTED_VALUE"""),17.46)</f>
        <v>17.46</v>
      </c>
      <c r="F1253" s="2">
        <f>IFERROR(__xludf.DUMMYFUNCTION("""COMPUTED_VALUE"""),2782703.0)</f>
        <v>2782703</v>
      </c>
    </row>
    <row r="1254">
      <c r="A1254" s="3">
        <f>IFERROR(__xludf.DUMMYFUNCTION("""COMPUTED_VALUE"""),42174.66666666667)</f>
        <v>42174.66667</v>
      </c>
      <c r="B1254" s="2">
        <f>IFERROR(__xludf.DUMMYFUNCTION("""COMPUTED_VALUE"""),17.48)</f>
        <v>17.48</v>
      </c>
      <c r="C1254" s="2">
        <f>IFERROR(__xludf.DUMMYFUNCTION("""COMPUTED_VALUE"""),17.59)</f>
        <v>17.59</v>
      </c>
      <c r="D1254" s="2">
        <f>IFERROR(__xludf.DUMMYFUNCTION("""COMPUTED_VALUE"""),17.34)</f>
        <v>17.34</v>
      </c>
      <c r="E1254" s="2">
        <f>IFERROR(__xludf.DUMMYFUNCTION("""COMPUTED_VALUE"""),17.5)</f>
        <v>17.5</v>
      </c>
      <c r="F1254" s="2">
        <f>IFERROR(__xludf.DUMMYFUNCTION("""COMPUTED_VALUE"""),2463013.0)</f>
        <v>2463013</v>
      </c>
    </row>
    <row r="1255">
      <c r="A1255" s="3">
        <f>IFERROR(__xludf.DUMMYFUNCTION("""COMPUTED_VALUE"""),42177.66666666667)</f>
        <v>42177.66667</v>
      </c>
      <c r="B1255" s="2">
        <f>IFERROR(__xludf.DUMMYFUNCTION("""COMPUTED_VALUE"""),17.48)</f>
        <v>17.48</v>
      </c>
      <c r="C1255" s="2">
        <f>IFERROR(__xludf.DUMMYFUNCTION("""COMPUTED_VALUE"""),17.63)</f>
        <v>17.63</v>
      </c>
      <c r="D1255" s="2">
        <f>IFERROR(__xludf.DUMMYFUNCTION("""COMPUTED_VALUE"""),17.05)</f>
        <v>17.05</v>
      </c>
      <c r="E1255" s="2">
        <f>IFERROR(__xludf.DUMMYFUNCTION("""COMPUTED_VALUE"""),17.32)</f>
        <v>17.32</v>
      </c>
      <c r="F1255" s="2">
        <f>IFERROR(__xludf.DUMMYFUNCTION("""COMPUTED_VALUE"""),4561079.0)</f>
        <v>4561079</v>
      </c>
    </row>
    <row r="1256">
      <c r="A1256" s="3">
        <f>IFERROR(__xludf.DUMMYFUNCTION("""COMPUTED_VALUE"""),42178.66666666667)</f>
        <v>42178.66667</v>
      </c>
      <c r="B1256" s="2">
        <f>IFERROR(__xludf.DUMMYFUNCTION("""COMPUTED_VALUE"""),17.35)</f>
        <v>17.35</v>
      </c>
      <c r="C1256" s="2">
        <f>IFERROR(__xludf.DUMMYFUNCTION("""COMPUTED_VALUE"""),17.87)</f>
        <v>17.87</v>
      </c>
      <c r="D1256" s="2">
        <f>IFERROR(__xludf.DUMMYFUNCTION("""COMPUTED_VALUE"""),17.24)</f>
        <v>17.24</v>
      </c>
      <c r="E1256" s="2">
        <f>IFERROR(__xludf.DUMMYFUNCTION("""COMPUTED_VALUE"""),17.84)</f>
        <v>17.84</v>
      </c>
      <c r="F1256" s="2">
        <f>IFERROR(__xludf.DUMMYFUNCTION("""COMPUTED_VALUE"""),3870818.0)</f>
        <v>3870818</v>
      </c>
    </row>
    <row r="1257">
      <c r="A1257" s="3">
        <f>IFERROR(__xludf.DUMMYFUNCTION("""COMPUTED_VALUE"""),42179.66666666667)</f>
        <v>42179.66667</v>
      </c>
      <c r="B1257" s="2">
        <f>IFERROR(__xludf.DUMMYFUNCTION("""COMPUTED_VALUE"""),17.8)</f>
        <v>17.8</v>
      </c>
      <c r="C1257" s="2">
        <f>IFERROR(__xludf.DUMMYFUNCTION("""COMPUTED_VALUE"""),17.82)</f>
        <v>17.82</v>
      </c>
      <c r="D1257" s="2">
        <f>IFERROR(__xludf.DUMMYFUNCTION("""COMPUTED_VALUE"""),17.58)</f>
        <v>17.58</v>
      </c>
      <c r="E1257" s="2">
        <f>IFERROR(__xludf.DUMMYFUNCTION("""COMPUTED_VALUE"""),17.68)</f>
        <v>17.68</v>
      </c>
      <c r="F1257" s="2">
        <f>IFERROR(__xludf.DUMMYFUNCTION("""COMPUTED_VALUE"""),2412293.0)</f>
        <v>2412293</v>
      </c>
    </row>
    <row r="1258">
      <c r="A1258" s="3">
        <f>IFERROR(__xludf.DUMMYFUNCTION("""COMPUTED_VALUE"""),42180.66666666667)</f>
        <v>42180.66667</v>
      </c>
      <c r="B1258" s="2">
        <f>IFERROR(__xludf.DUMMYFUNCTION("""COMPUTED_VALUE"""),17.77)</f>
        <v>17.77</v>
      </c>
      <c r="C1258" s="2">
        <f>IFERROR(__xludf.DUMMYFUNCTION("""COMPUTED_VALUE"""),18.09)</f>
        <v>18.09</v>
      </c>
      <c r="D1258" s="2">
        <f>IFERROR(__xludf.DUMMYFUNCTION("""COMPUTED_VALUE"""),17.68)</f>
        <v>17.68</v>
      </c>
      <c r="E1258" s="2">
        <f>IFERROR(__xludf.DUMMYFUNCTION("""COMPUTED_VALUE"""),17.92)</f>
        <v>17.92</v>
      </c>
      <c r="F1258" s="2">
        <f>IFERROR(__xludf.DUMMYFUNCTION("""COMPUTED_VALUE"""),2849204.0)</f>
        <v>2849204</v>
      </c>
    </row>
    <row r="1259">
      <c r="A1259" s="3">
        <f>IFERROR(__xludf.DUMMYFUNCTION("""COMPUTED_VALUE"""),42181.66666666667)</f>
        <v>42181.66667</v>
      </c>
      <c r="B1259" s="2">
        <f>IFERROR(__xludf.DUMMYFUNCTION("""COMPUTED_VALUE"""),17.94)</f>
        <v>17.94</v>
      </c>
      <c r="C1259" s="2">
        <f>IFERROR(__xludf.DUMMYFUNCTION("""COMPUTED_VALUE"""),17.94)</f>
        <v>17.94</v>
      </c>
      <c r="D1259" s="2">
        <f>IFERROR(__xludf.DUMMYFUNCTION("""COMPUTED_VALUE"""),17.73)</f>
        <v>17.73</v>
      </c>
      <c r="E1259" s="2">
        <f>IFERROR(__xludf.DUMMYFUNCTION("""COMPUTED_VALUE"""),17.81)</f>
        <v>17.81</v>
      </c>
      <c r="F1259" s="2">
        <f>IFERROR(__xludf.DUMMYFUNCTION("""COMPUTED_VALUE"""),3838434.0)</f>
        <v>3838434</v>
      </c>
    </row>
    <row r="1260">
      <c r="A1260" s="3">
        <f>IFERROR(__xludf.DUMMYFUNCTION("""COMPUTED_VALUE"""),42184.66666666667)</f>
        <v>42184.66667</v>
      </c>
      <c r="B1260" s="2">
        <f>IFERROR(__xludf.DUMMYFUNCTION("""COMPUTED_VALUE"""),17.46)</f>
        <v>17.46</v>
      </c>
      <c r="C1260" s="2">
        <f>IFERROR(__xludf.DUMMYFUNCTION("""COMPUTED_VALUE"""),17.73)</f>
        <v>17.73</v>
      </c>
      <c r="D1260" s="2">
        <f>IFERROR(__xludf.DUMMYFUNCTION("""COMPUTED_VALUE"""),17.38)</f>
        <v>17.38</v>
      </c>
      <c r="E1260" s="2">
        <f>IFERROR(__xludf.DUMMYFUNCTION("""COMPUTED_VALUE"""),17.47)</f>
        <v>17.47</v>
      </c>
      <c r="F1260" s="2">
        <f>IFERROR(__xludf.DUMMYFUNCTION("""COMPUTED_VALUE"""),3478909.0)</f>
        <v>3478909</v>
      </c>
    </row>
    <row r="1261">
      <c r="A1261" s="3">
        <f>IFERROR(__xludf.DUMMYFUNCTION("""COMPUTED_VALUE"""),42185.66666666667)</f>
        <v>42185.66667</v>
      </c>
      <c r="B1261" s="2">
        <f>IFERROR(__xludf.DUMMYFUNCTION("""COMPUTED_VALUE"""),17.65)</f>
        <v>17.65</v>
      </c>
      <c r="C1261" s="2">
        <f>IFERROR(__xludf.DUMMYFUNCTION("""COMPUTED_VALUE"""),18.06)</f>
        <v>18.06</v>
      </c>
      <c r="D1261" s="2">
        <f>IFERROR(__xludf.DUMMYFUNCTION("""COMPUTED_VALUE"""),17.6)</f>
        <v>17.6</v>
      </c>
      <c r="E1261" s="2">
        <f>IFERROR(__xludf.DUMMYFUNCTION("""COMPUTED_VALUE"""),17.88)</f>
        <v>17.88</v>
      </c>
      <c r="F1261" s="2">
        <f>IFERROR(__xludf.DUMMYFUNCTION("""COMPUTED_VALUE"""),3086935.0)</f>
        <v>3086935</v>
      </c>
    </row>
    <row r="1262">
      <c r="A1262" s="3">
        <f>IFERROR(__xludf.DUMMYFUNCTION("""COMPUTED_VALUE"""),42186.66666666667)</f>
        <v>42186.66667</v>
      </c>
      <c r="B1262" s="2">
        <f>IFERROR(__xludf.DUMMYFUNCTION("""COMPUTED_VALUE"""),18.08)</f>
        <v>18.08</v>
      </c>
      <c r="C1262" s="2">
        <f>IFERROR(__xludf.DUMMYFUNCTION("""COMPUTED_VALUE"""),18.17)</f>
        <v>18.17</v>
      </c>
      <c r="D1262" s="2">
        <f>IFERROR(__xludf.DUMMYFUNCTION("""COMPUTED_VALUE"""),17.86)</f>
        <v>17.86</v>
      </c>
      <c r="E1262" s="2">
        <f>IFERROR(__xludf.DUMMYFUNCTION("""COMPUTED_VALUE"""),17.94)</f>
        <v>17.94</v>
      </c>
      <c r="F1262" s="2">
        <f>IFERROR(__xludf.DUMMYFUNCTION("""COMPUTED_VALUE"""),2101224.0)</f>
        <v>2101224</v>
      </c>
    </row>
    <row r="1263">
      <c r="A1263" s="3">
        <f>IFERROR(__xludf.DUMMYFUNCTION("""COMPUTED_VALUE"""),42187.66666666667)</f>
        <v>42187.66667</v>
      </c>
      <c r="B1263" s="2">
        <f>IFERROR(__xludf.DUMMYFUNCTION("""COMPUTED_VALUE"""),18.68)</f>
        <v>18.68</v>
      </c>
      <c r="C1263" s="2">
        <f>IFERROR(__xludf.DUMMYFUNCTION("""COMPUTED_VALUE"""),18.83)</f>
        <v>18.83</v>
      </c>
      <c r="D1263" s="2">
        <f>IFERROR(__xludf.DUMMYFUNCTION("""COMPUTED_VALUE"""),18.22)</f>
        <v>18.22</v>
      </c>
      <c r="E1263" s="2">
        <f>IFERROR(__xludf.DUMMYFUNCTION("""COMPUTED_VALUE"""),18.67)</f>
        <v>18.67</v>
      </c>
      <c r="F1263" s="2">
        <f>IFERROR(__xludf.DUMMYFUNCTION("""COMPUTED_VALUE"""),7163930.0)</f>
        <v>7163930</v>
      </c>
    </row>
    <row r="1264">
      <c r="A1264" s="3">
        <f>IFERROR(__xludf.DUMMYFUNCTION("""COMPUTED_VALUE"""),42191.66666666667)</f>
        <v>42191.66667</v>
      </c>
      <c r="B1264" s="2">
        <f>IFERROR(__xludf.DUMMYFUNCTION("""COMPUTED_VALUE"""),18.59)</f>
        <v>18.59</v>
      </c>
      <c r="C1264" s="2">
        <f>IFERROR(__xludf.DUMMYFUNCTION("""COMPUTED_VALUE"""),18.78)</f>
        <v>18.78</v>
      </c>
      <c r="D1264" s="2">
        <f>IFERROR(__xludf.DUMMYFUNCTION("""COMPUTED_VALUE"""),18.42)</f>
        <v>18.42</v>
      </c>
      <c r="E1264" s="2">
        <f>IFERROR(__xludf.DUMMYFUNCTION("""COMPUTED_VALUE"""),18.65)</f>
        <v>18.65</v>
      </c>
      <c r="F1264" s="2">
        <f>IFERROR(__xludf.DUMMYFUNCTION("""COMPUTED_VALUE"""),4121933.0)</f>
        <v>4121933</v>
      </c>
    </row>
    <row r="1265">
      <c r="A1265" s="3">
        <f>IFERROR(__xludf.DUMMYFUNCTION("""COMPUTED_VALUE"""),42192.66666666667)</f>
        <v>42192.66667</v>
      </c>
      <c r="B1265" s="2">
        <f>IFERROR(__xludf.DUMMYFUNCTION("""COMPUTED_VALUE"""),18.33)</f>
        <v>18.33</v>
      </c>
      <c r="C1265" s="2">
        <f>IFERROR(__xludf.DUMMYFUNCTION("""COMPUTED_VALUE"""),18.35)</f>
        <v>18.35</v>
      </c>
      <c r="D1265" s="2">
        <f>IFERROR(__xludf.DUMMYFUNCTION("""COMPUTED_VALUE"""),17.38)</f>
        <v>17.38</v>
      </c>
      <c r="E1265" s="2">
        <f>IFERROR(__xludf.DUMMYFUNCTION("""COMPUTED_VALUE"""),17.86)</f>
        <v>17.86</v>
      </c>
      <c r="F1265" s="2">
        <f>IFERROR(__xludf.DUMMYFUNCTION("""COMPUTED_VALUE"""),6105126.0)</f>
        <v>6105126</v>
      </c>
    </row>
    <row r="1266">
      <c r="A1266" s="3">
        <f>IFERROR(__xludf.DUMMYFUNCTION("""COMPUTED_VALUE"""),42193.66666666667)</f>
        <v>42193.66667</v>
      </c>
      <c r="B1266" s="2">
        <f>IFERROR(__xludf.DUMMYFUNCTION("""COMPUTED_VALUE"""),17.29)</f>
        <v>17.29</v>
      </c>
      <c r="C1266" s="2">
        <f>IFERROR(__xludf.DUMMYFUNCTION("""COMPUTED_VALUE"""),17.39)</f>
        <v>17.39</v>
      </c>
      <c r="D1266" s="2">
        <f>IFERROR(__xludf.DUMMYFUNCTION("""COMPUTED_VALUE"""),16.95)</f>
        <v>16.95</v>
      </c>
      <c r="E1266" s="2">
        <f>IFERROR(__xludf.DUMMYFUNCTION("""COMPUTED_VALUE"""),17.0)</f>
        <v>17</v>
      </c>
      <c r="F1266" s="2">
        <f>IFERROR(__xludf.DUMMYFUNCTION("""COMPUTED_VALUE"""),6221077.0)</f>
        <v>6221077</v>
      </c>
    </row>
    <row r="1267">
      <c r="A1267" s="3">
        <f>IFERROR(__xludf.DUMMYFUNCTION("""COMPUTED_VALUE"""),42194.66666666667)</f>
        <v>42194.66667</v>
      </c>
      <c r="B1267" s="2">
        <f>IFERROR(__xludf.DUMMYFUNCTION("""COMPUTED_VALUE"""),17.27)</f>
        <v>17.27</v>
      </c>
      <c r="C1267" s="2">
        <f>IFERROR(__xludf.DUMMYFUNCTION("""COMPUTED_VALUE"""),17.53)</f>
        <v>17.53</v>
      </c>
      <c r="D1267" s="2">
        <f>IFERROR(__xludf.DUMMYFUNCTION("""COMPUTED_VALUE"""),17.12)</f>
        <v>17.12</v>
      </c>
      <c r="E1267" s="2">
        <f>IFERROR(__xludf.DUMMYFUNCTION("""COMPUTED_VALUE"""),17.19)</f>
        <v>17.19</v>
      </c>
      <c r="F1267" s="2">
        <f>IFERROR(__xludf.DUMMYFUNCTION("""COMPUTED_VALUE"""),3334077.0)</f>
        <v>3334077</v>
      </c>
    </row>
    <row r="1268">
      <c r="A1268" s="3">
        <f>IFERROR(__xludf.DUMMYFUNCTION("""COMPUTED_VALUE"""),42195.66666666667)</f>
        <v>42195.66667</v>
      </c>
      <c r="B1268" s="2">
        <f>IFERROR(__xludf.DUMMYFUNCTION("""COMPUTED_VALUE"""),17.48)</f>
        <v>17.48</v>
      </c>
      <c r="C1268" s="2">
        <f>IFERROR(__xludf.DUMMYFUNCTION("""COMPUTED_VALUE"""),17.53)</f>
        <v>17.53</v>
      </c>
      <c r="D1268" s="2">
        <f>IFERROR(__xludf.DUMMYFUNCTION("""COMPUTED_VALUE"""),17.19)</f>
        <v>17.19</v>
      </c>
      <c r="E1268" s="2">
        <f>IFERROR(__xludf.DUMMYFUNCTION("""COMPUTED_VALUE"""),17.28)</f>
        <v>17.28</v>
      </c>
      <c r="F1268" s="2">
        <f>IFERROR(__xludf.DUMMYFUNCTION("""COMPUTED_VALUE"""),2610858.0)</f>
        <v>2610858</v>
      </c>
    </row>
    <row r="1269">
      <c r="A1269" s="3">
        <f>IFERROR(__xludf.DUMMYFUNCTION("""COMPUTED_VALUE"""),42198.66666666667)</f>
        <v>42198.66667</v>
      </c>
      <c r="B1269" s="2">
        <f>IFERROR(__xludf.DUMMYFUNCTION("""COMPUTED_VALUE"""),17.48)</f>
        <v>17.48</v>
      </c>
      <c r="C1269" s="2">
        <f>IFERROR(__xludf.DUMMYFUNCTION("""COMPUTED_VALUE"""),17.5)</f>
        <v>17.5</v>
      </c>
      <c r="D1269" s="2">
        <f>IFERROR(__xludf.DUMMYFUNCTION("""COMPUTED_VALUE"""),17.07)</f>
        <v>17.07</v>
      </c>
      <c r="E1269" s="2">
        <f>IFERROR(__xludf.DUMMYFUNCTION("""COMPUTED_VALUE"""),17.48)</f>
        <v>17.48</v>
      </c>
      <c r="F1269" s="2">
        <f>IFERROR(__xludf.DUMMYFUNCTION("""COMPUTED_VALUE"""),2960319.0)</f>
        <v>2960319</v>
      </c>
    </row>
    <row r="1270">
      <c r="A1270" s="3">
        <f>IFERROR(__xludf.DUMMYFUNCTION("""COMPUTED_VALUE"""),42199.66666666667)</f>
        <v>42199.66667</v>
      </c>
      <c r="B1270" s="2">
        <f>IFERROR(__xludf.DUMMYFUNCTION("""COMPUTED_VALUE"""),17.47)</f>
        <v>17.47</v>
      </c>
      <c r="C1270" s="2">
        <f>IFERROR(__xludf.DUMMYFUNCTION("""COMPUTED_VALUE"""),17.73)</f>
        <v>17.73</v>
      </c>
      <c r="D1270" s="2">
        <f>IFERROR(__xludf.DUMMYFUNCTION("""COMPUTED_VALUE"""),17.37)</f>
        <v>17.37</v>
      </c>
      <c r="E1270" s="2">
        <f>IFERROR(__xludf.DUMMYFUNCTION("""COMPUTED_VALUE"""),17.71)</f>
        <v>17.71</v>
      </c>
      <c r="F1270" s="2">
        <f>IFERROR(__xludf.DUMMYFUNCTION("""COMPUTED_VALUE"""),1907641.0)</f>
        <v>1907641</v>
      </c>
    </row>
    <row r="1271">
      <c r="A1271" s="3">
        <f>IFERROR(__xludf.DUMMYFUNCTION("""COMPUTED_VALUE"""),42200.66666666667)</f>
        <v>42200.66667</v>
      </c>
      <c r="B1271" s="2">
        <f>IFERROR(__xludf.DUMMYFUNCTION("""COMPUTED_VALUE"""),17.78)</f>
        <v>17.78</v>
      </c>
      <c r="C1271" s="2">
        <f>IFERROR(__xludf.DUMMYFUNCTION("""COMPUTED_VALUE"""),17.83)</f>
        <v>17.83</v>
      </c>
      <c r="D1271" s="2">
        <f>IFERROR(__xludf.DUMMYFUNCTION("""COMPUTED_VALUE"""),17.47)</f>
        <v>17.47</v>
      </c>
      <c r="E1271" s="2">
        <f>IFERROR(__xludf.DUMMYFUNCTION("""COMPUTED_VALUE"""),17.54)</f>
        <v>17.54</v>
      </c>
      <c r="F1271" s="2">
        <f>IFERROR(__xludf.DUMMYFUNCTION("""COMPUTED_VALUE"""),2021621.0)</f>
        <v>2021621</v>
      </c>
    </row>
    <row r="1272">
      <c r="A1272" s="3">
        <f>IFERROR(__xludf.DUMMYFUNCTION("""COMPUTED_VALUE"""),42201.66666666667)</f>
        <v>42201.66667</v>
      </c>
      <c r="B1272" s="2">
        <f>IFERROR(__xludf.DUMMYFUNCTION("""COMPUTED_VALUE"""),17.61)</f>
        <v>17.61</v>
      </c>
      <c r="C1272" s="2">
        <f>IFERROR(__xludf.DUMMYFUNCTION("""COMPUTED_VALUE"""),17.81)</f>
        <v>17.81</v>
      </c>
      <c r="D1272" s="2">
        <f>IFERROR(__xludf.DUMMYFUNCTION("""COMPUTED_VALUE"""),17.54)</f>
        <v>17.54</v>
      </c>
      <c r="E1272" s="2">
        <f>IFERROR(__xludf.DUMMYFUNCTION("""COMPUTED_VALUE"""),17.78)</f>
        <v>17.78</v>
      </c>
      <c r="F1272" s="2">
        <f>IFERROR(__xludf.DUMMYFUNCTION("""COMPUTED_VALUE"""),1615961.0)</f>
        <v>1615961</v>
      </c>
    </row>
    <row r="1273">
      <c r="A1273" s="3">
        <f>IFERROR(__xludf.DUMMYFUNCTION("""COMPUTED_VALUE"""),42202.66666666667)</f>
        <v>42202.66667</v>
      </c>
      <c r="B1273" s="2">
        <f>IFERROR(__xludf.DUMMYFUNCTION("""COMPUTED_VALUE"""),18.17)</f>
        <v>18.17</v>
      </c>
      <c r="C1273" s="2">
        <f>IFERROR(__xludf.DUMMYFUNCTION("""COMPUTED_VALUE"""),18.37)</f>
        <v>18.37</v>
      </c>
      <c r="D1273" s="2">
        <f>IFERROR(__xludf.DUMMYFUNCTION("""COMPUTED_VALUE"""),17.88)</f>
        <v>17.88</v>
      </c>
      <c r="E1273" s="2">
        <f>IFERROR(__xludf.DUMMYFUNCTION("""COMPUTED_VALUE"""),18.31)</f>
        <v>18.31</v>
      </c>
      <c r="F1273" s="2">
        <f>IFERROR(__xludf.DUMMYFUNCTION("""COMPUTED_VALUE"""),5004099.0)</f>
        <v>5004099</v>
      </c>
    </row>
    <row r="1274">
      <c r="A1274" s="3">
        <f>IFERROR(__xludf.DUMMYFUNCTION("""COMPUTED_VALUE"""),42205.66666666667)</f>
        <v>42205.66667</v>
      </c>
      <c r="B1274" s="2">
        <f>IFERROR(__xludf.DUMMYFUNCTION("""COMPUTED_VALUE"""),18.33)</f>
        <v>18.33</v>
      </c>
      <c r="C1274" s="2">
        <f>IFERROR(__xludf.DUMMYFUNCTION("""COMPUTED_VALUE"""),19.11)</f>
        <v>19.11</v>
      </c>
      <c r="D1274" s="2">
        <f>IFERROR(__xludf.DUMMYFUNCTION("""COMPUTED_VALUE"""),18.17)</f>
        <v>18.17</v>
      </c>
      <c r="E1274" s="2">
        <f>IFERROR(__xludf.DUMMYFUNCTION("""COMPUTED_VALUE"""),18.82)</f>
        <v>18.82</v>
      </c>
      <c r="F1274" s="2">
        <f>IFERROR(__xludf.DUMMYFUNCTION("""COMPUTED_VALUE"""),4978454.0)</f>
        <v>4978454</v>
      </c>
    </row>
    <row r="1275">
      <c r="A1275" s="3">
        <f>IFERROR(__xludf.DUMMYFUNCTION("""COMPUTED_VALUE"""),42206.66666666667)</f>
        <v>42206.66667</v>
      </c>
      <c r="B1275" s="2">
        <f>IFERROR(__xludf.DUMMYFUNCTION("""COMPUTED_VALUE"""),18.0)</f>
        <v>18</v>
      </c>
      <c r="C1275" s="2">
        <f>IFERROR(__xludf.DUMMYFUNCTION("""COMPUTED_VALUE"""),18.23)</f>
        <v>18.23</v>
      </c>
      <c r="D1275" s="2">
        <f>IFERROR(__xludf.DUMMYFUNCTION("""COMPUTED_VALUE"""),17.77)</f>
        <v>17.77</v>
      </c>
      <c r="E1275" s="2">
        <f>IFERROR(__xludf.DUMMYFUNCTION("""COMPUTED_VALUE"""),17.78)</f>
        <v>17.78</v>
      </c>
      <c r="F1275" s="2">
        <f>IFERROR(__xludf.DUMMYFUNCTION("""COMPUTED_VALUE"""),6108686.0)</f>
        <v>6108686</v>
      </c>
    </row>
    <row r="1276">
      <c r="A1276" s="3">
        <f>IFERROR(__xludf.DUMMYFUNCTION("""COMPUTED_VALUE"""),42207.66666666667)</f>
        <v>42207.66667</v>
      </c>
      <c r="B1276" s="2">
        <f>IFERROR(__xludf.DUMMYFUNCTION("""COMPUTED_VALUE"""),17.42)</f>
        <v>17.42</v>
      </c>
      <c r="C1276" s="2">
        <f>IFERROR(__xludf.DUMMYFUNCTION("""COMPUTED_VALUE"""),17.96)</f>
        <v>17.96</v>
      </c>
      <c r="D1276" s="2">
        <f>IFERROR(__xludf.DUMMYFUNCTION("""COMPUTED_VALUE"""),17.39)</f>
        <v>17.39</v>
      </c>
      <c r="E1276" s="2">
        <f>IFERROR(__xludf.DUMMYFUNCTION("""COMPUTED_VALUE"""),17.86)</f>
        <v>17.86</v>
      </c>
      <c r="F1276" s="2">
        <f>IFERROR(__xludf.DUMMYFUNCTION("""COMPUTED_VALUE"""),3104960.0)</f>
        <v>3104960</v>
      </c>
    </row>
    <row r="1277">
      <c r="A1277" s="3">
        <f>IFERROR(__xludf.DUMMYFUNCTION("""COMPUTED_VALUE"""),42208.66666666667)</f>
        <v>42208.66667</v>
      </c>
      <c r="B1277" s="2">
        <f>IFERROR(__xludf.DUMMYFUNCTION("""COMPUTED_VALUE"""),17.98)</f>
        <v>17.98</v>
      </c>
      <c r="C1277" s="2">
        <f>IFERROR(__xludf.DUMMYFUNCTION("""COMPUTED_VALUE"""),17.99)</f>
        <v>17.99</v>
      </c>
      <c r="D1277" s="2">
        <f>IFERROR(__xludf.DUMMYFUNCTION("""COMPUTED_VALUE"""),17.68)</f>
        <v>17.68</v>
      </c>
      <c r="E1277" s="2">
        <f>IFERROR(__xludf.DUMMYFUNCTION("""COMPUTED_VALUE"""),17.81)</f>
        <v>17.81</v>
      </c>
      <c r="F1277" s="2">
        <f>IFERROR(__xludf.DUMMYFUNCTION("""COMPUTED_VALUE"""),2227239.0)</f>
        <v>2227239</v>
      </c>
    </row>
    <row r="1278">
      <c r="A1278" s="3">
        <f>IFERROR(__xludf.DUMMYFUNCTION("""COMPUTED_VALUE"""),42209.66666666667)</f>
        <v>42209.66667</v>
      </c>
      <c r="B1278" s="2">
        <f>IFERROR(__xludf.DUMMYFUNCTION("""COMPUTED_VALUE"""),17.83)</f>
        <v>17.83</v>
      </c>
      <c r="C1278" s="2">
        <f>IFERROR(__xludf.DUMMYFUNCTION("""COMPUTED_VALUE"""),18.07)</f>
        <v>18.07</v>
      </c>
      <c r="D1278" s="2">
        <f>IFERROR(__xludf.DUMMYFUNCTION("""COMPUTED_VALUE"""),17.59)</f>
        <v>17.59</v>
      </c>
      <c r="E1278" s="2">
        <f>IFERROR(__xludf.DUMMYFUNCTION("""COMPUTED_VALUE"""),17.69)</f>
        <v>17.69</v>
      </c>
      <c r="F1278" s="2">
        <f>IFERROR(__xludf.DUMMYFUNCTION("""COMPUTED_VALUE"""),2836498.0)</f>
        <v>2836498</v>
      </c>
    </row>
    <row r="1279">
      <c r="A1279" s="3">
        <f>IFERROR(__xludf.DUMMYFUNCTION("""COMPUTED_VALUE"""),42212.66666666667)</f>
        <v>42212.66667</v>
      </c>
      <c r="B1279" s="2">
        <f>IFERROR(__xludf.DUMMYFUNCTION("""COMPUTED_VALUE"""),17.5)</f>
        <v>17.5</v>
      </c>
      <c r="C1279" s="2">
        <f>IFERROR(__xludf.DUMMYFUNCTION("""COMPUTED_VALUE"""),17.63)</f>
        <v>17.63</v>
      </c>
      <c r="D1279" s="2">
        <f>IFERROR(__xludf.DUMMYFUNCTION("""COMPUTED_VALUE"""),16.72)</f>
        <v>16.72</v>
      </c>
      <c r="E1279" s="2">
        <f>IFERROR(__xludf.DUMMYFUNCTION("""COMPUTED_VALUE"""),16.87)</f>
        <v>16.87</v>
      </c>
      <c r="F1279" s="2">
        <f>IFERROR(__xludf.DUMMYFUNCTION("""COMPUTED_VALUE"""),4694192.0)</f>
        <v>4694192</v>
      </c>
    </row>
    <row r="1280">
      <c r="A1280" s="3">
        <f>IFERROR(__xludf.DUMMYFUNCTION("""COMPUTED_VALUE"""),42213.66666666667)</f>
        <v>42213.66667</v>
      </c>
      <c r="B1280" s="2">
        <f>IFERROR(__xludf.DUMMYFUNCTION("""COMPUTED_VALUE"""),17.05)</f>
        <v>17.05</v>
      </c>
      <c r="C1280" s="2">
        <f>IFERROR(__xludf.DUMMYFUNCTION("""COMPUTED_VALUE"""),17.69)</f>
        <v>17.69</v>
      </c>
      <c r="D1280" s="2">
        <f>IFERROR(__xludf.DUMMYFUNCTION("""COMPUTED_VALUE"""),16.79)</f>
        <v>16.79</v>
      </c>
      <c r="E1280" s="2">
        <f>IFERROR(__xludf.DUMMYFUNCTION("""COMPUTED_VALUE"""),17.65)</f>
        <v>17.65</v>
      </c>
      <c r="F1280" s="2">
        <f>IFERROR(__xludf.DUMMYFUNCTION("""COMPUTED_VALUE"""),3895808.0)</f>
        <v>3895808</v>
      </c>
    </row>
    <row r="1281">
      <c r="A1281" s="3">
        <f>IFERROR(__xludf.DUMMYFUNCTION("""COMPUTED_VALUE"""),42214.66666666667)</f>
        <v>42214.66667</v>
      </c>
      <c r="B1281" s="2">
        <f>IFERROR(__xludf.DUMMYFUNCTION("""COMPUTED_VALUE"""),17.62)</f>
        <v>17.62</v>
      </c>
      <c r="C1281" s="2">
        <f>IFERROR(__xludf.DUMMYFUNCTION("""COMPUTED_VALUE"""),17.86)</f>
        <v>17.86</v>
      </c>
      <c r="D1281" s="2">
        <f>IFERROR(__xludf.DUMMYFUNCTION("""COMPUTED_VALUE"""),17.47)</f>
        <v>17.47</v>
      </c>
      <c r="E1281" s="2">
        <f>IFERROR(__xludf.DUMMYFUNCTION("""COMPUTED_VALUE"""),17.59)</f>
        <v>17.59</v>
      </c>
      <c r="F1281" s="2">
        <f>IFERROR(__xludf.DUMMYFUNCTION("""COMPUTED_VALUE"""),2790095.0)</f>
        <v>2790095</v>
      </c>
    </row>
    <row r="1282">
      <c r="A1282" s="3">
        <f>IFERROR(__xludf.DUMMYFUNCTION("""COMPUTED_VALUE"""),42215.66666666667)</f>
        <v>42215.66667</v>
      </c>
      <c r="B1282" s="2">
        <f>IFERROR(__xludf.DUMMYFUNCTION("""COMPUTED_VALUE"""),17.51)</f>
        <v>17.51</v>
      </c>
      <c r="C1282" s="2">
        <f>IFERROR(__xludf.DUMMYFUNCTION("""COMPUTED_VALUE"""),17.8)</f>
        <v>17.8</v>
      </c>
      <c r="D1282" s="2">
        <f>IFERROR(__xludf.DUMMYFUNCTION("""COMPUTED_VALUE"""),17.47)</f>
        <v>17.47</v>
      </c>
      <c r="E1282" s="2">
        <f>IFERROR(__xludf.DUMMYFUNCTION("""COMPUTED_VALUE"""),17.79)</f>
        <v>17.79</v>
      </c>
      <c r="F1282" s="2">
        <f>IFERROR(__xludf.DUMMYFUNCTION("""COMPUTED_VALUE"""),2034560.0)</f>
        <v>2034560</v>
      </c>
    </row>
    <row r="1283">
      <c r="A1283" s="3">
        <f>IFERROR(__xludf.DUMMYFUNCTION("""COMPUTED_VALUE"""),42216.66666666667)</f>
        <v>42216.66667</v>
      </c>
      <c r="B1283" s="2">
        <f>IFERROR(__xludf.DUMMYFUNCTION("""COMPUTED_VALUE"""),17.84)</f>
        <v>17.84</v>
      </c>
      <c r="C1283" s="2">
        <f>IFERROR(__xludf.DUMMYFUNCTION("""COMPUTED_VALUE"""),17.96)</f>
        <v>17.96</v>
      </c>
      <c r="D1283" s="2">
        <f>IFERROR(__xludf.DUMMYFUNCTION("""COMPUTED_VALUE"""),17.67)</f>
        <v>17.67</v>
      </c>
      <c r="E1283" s="2">
        <f>IFERROR(__xludf.DUMMYFUNCTION("""COMPUTED_VALUE"""),17.74)</f>
        <v>17.74</v>
      </c>
      <c r="F1283" s="2">
        <f>IFERROR(__xludf.DUMMYFUNCTION("""COMPUTED_VALUE"""),2222552.0)</f>
        <v>2222552</v>
      </c>
    </row>
    <row r="1284">
      <c r="A1284" s="3">
        <f>IFERROR(__xludf.DUMMYFUNCTION("""COMPUTED_VALUE"""),42219.66666666667)</f>
        <v>42219.66667</v>
      </c>
      <c r="B1284" s="2">
        <f>IFERROR(__xludf.DUMMYFUNCTION("""COMPUTED_VALUE"""),17.75)</f>
        <v>17.75</v>
      </c>
      <c r="C1284" s="2">
        <f>IFERROR(__xludf.DUMMYFUNCTION("""COMPUTED_VALUE"""),17.78)</f>
        <v>17.78</v>
      </c>
      <c r="D1284" s="2">
        <f>IFERROR(__xludf.DUMMYFUNCTION("""COMPUTED_VALUE"""),17.14)</f>
        <v>17.14</v>
      </c>
      <c r="E1284" s="2">
        <f>IFERROR(__xludf.DUMMYFUNCTION("""COMPUTED_VALUE"""),17.33)</f>
        <v>17.33</v>
      </c>
      <c r="F1284" s="2">
        <f>IFERROR(__xludf.DUMMYFUNCTION("""COMPUTED_VALUE"""),2553474.0)</f>
        <v>2553474</v>
      </c>
    </row>
    <row r="1285">
      <c r="A1285" s="3">
        <f>IFERROR(__xludf.DUMMYFUNCTION("""COMPUTED_VALUE"""),42220.66666666667)</f>
        <v>42220.66667</v>
      </c>
      <c r="B1285" s="2">
        <f>IFERROR(__xludf.DUMMYFUNCTION("""COMPUTED_VALUE"""),17.33)</f>
        <v>17.33</v>
      </c>
      <c r="C1285" s="2">
        <f>IFERROR(__xludf.DUMMYFUNCTION("""COMPUTED_VALUE"""),17.78)</f>
        <v>17.78</v>
      </c>
      <c r="D1285" s="2">
        <f>IFERROR(__xludf.DUMMYFUNCTION("""COMPUTED_VALUE"""),17.22)</f>
        <v>17.22</v>
      </c>
      <c r="E1285" s="2">
        <f>IFERROR(__xludf.DUMMYFUNCTION("""COMPUTED_VALUE"""),17.75)</f>
        <v>17.75</v>
      </c>
      <c r="F1285" s="2">
        <f>IFERROR(__xludf.DUMMYFUNCTION("""COMPUTED_VALUE"""),2352530.0)</f>
        <v>2352530</v>
      </c>
    </row>
    <row r="1286">
      <c r="A1286" s="3">
        <f>IFERROR(__xludf.DUMMYFUNCTION("""COMPUTED_VALUE"""),42221.66666666667)</f>
        <v>42221.66667</v>
      </c>
      <c r="B1286" s="2">
        <f>IFERROR(__xludf.DUMMYFUNCTION("""COMPUTED_VALUE"""),17.57)</f>
        <v>17.57</v>
      </c>
      <c r="C1286" s="2">
        <f>IFERROR(__xludf.DUMMYFUNCTION("""COMPUTED_VALUE"""),18.07)</f>
        <v>18.07</v>
      </c>
      <c r="D1286" s="2">
        <f>IFERROR(__xludf.DUMMYFUNCTION("""COMPUTED_VALUE"""),17.36)</f>
        <v>17.36</v>
      </c>
      <c r="E1286" s="2">
        <f>IFERROR(__xludf.DUMMYFUNCTION("""COMPUTED_VALUE"""),18.01)</f>
        <v>18.01</v>
      </c>
      <c r="F1286" s="2">
        <f>IFERROR(__xludf.DUMMYFUNCTION("""COMPUTED_VALUE"""),6214319.0)</f>
        <v>6214319</v>
      </c>
    </row>
    <row r="1287">
      <c r="A1287" s="3">
        <f>IFERROR(__xludf.DUMMYFUNCTION("""COMPUTED_VALUE"""),42222.66666666667)</f>
        <v>42222.66667</v>
      </c>
      <c r="B1287" s="2">
        <f>IFERROR(__xludf.DUMMYFUNCTION("""COMPUTED_VALUE"""),16.64)</f>
        <v>16.64</v>
      </c>
      <c r="C1287" s="2">
        <f>IFERROR(__xludf.DUMMYFUNCTION("""COMPUTED_VALUE"""),17.0)</f>
        <v>17</v>
      </c>
      <c r="D1287" s="2">
        <f>IFERROR(__xludf.DUMMYFUNCTION("""COMPUTED_VALUE"""),15.74)</f>
        <v>15.74</v>
      </c>
      <c r="E1287" s="2">
        <f>IFERROR(__xludf.DUMMYFUNCTION("""COMPUTED_VALUE"""),16.41)</f>
        <v>16.41</v>
      </c>
      <c r="F1287" s="2">
        <f>IFERROR(__xludf.DUMMYFUNCTION("""COMPUTED_VALUE"""),1.4623754E7)</f>
        <v>14623754</v>
      </c>
    </row>
    <row r="1288">
      <c r="A1288" s="3">
        <f>IFERROR(__xludf.DUMMYFUNCTION("""COMPUTED_VALUE"""),42223.66666666667)</f>
        <v>42223.66667</v>
      </c>
      <c r="B1288" s="2">
        <f>IFERROR(__xludf.DUMMYFUNCTION("""COMPUTED_VALUE"""),16.24)</f>
        <v>16.24</v>
      </c>
      <c r="C1288" s="2">
        <f>IFERROR(__xludf.DUMMYFUNCTION("""COMPUTED_VALUE"""),16.25)</f>
        <v>16.25</v>
      </c>
      <c r="D1288" s="2">
        <f>IFERROR(__xludf.DUMMYFUNCTION("""COMPUTED_VALUE"""),15.89)</f>
        <v>15.89</v>
      </c>
      <c r="E1288" s="2">
        <f>IFERROR(__xludf.DUMMYFUNCTION("""COMPUTED_VALUE"""),16.17)</f>
        <v>16.17</v>
      </c>
      <c r="F1288" s="2">
        <f>IFERROR(__xludf.DUMMYFUNCTION("""COMPUTED_VALUE"""),5073390.0)</f>
        <v>5073390</v>
      </c>
    </row>
    <row r="1289">
      <c r="A1289" s="3">
        <f>IFERROR(__xludf.DUMMYFUNCTION("""COMPUTED_VALUE"""),42226.66666666667)</f>
        <v>42226.66667</v>
      </c>
      <c r="B1289" s="2">
        <f>IFERROR(__xludf.DUMMYFUNCTION("""COMPUTED_VALUE"""),15.88)</f>
        <v>15.88</v>
      </c>
      <c r="C1289" s="2">
        <f>IFERROR(__xludf.DUMMYFUNCTION("""COMPUTED_VALUE"""),16.2)</f>
        <v>16.2</v>
      </c>
      <c r="D1289" s="2">
        <f>IFERROR(__xludf.DUMMYFUNCTION("""COMPUTED_VALUE"""),15.74)</f>
        <v>15.74</v>
      </c>
      <c r="E1289" s="2">
        <f>IFERROR(__xludf.DUMMYFUNCTION("""COMPUTED_VALUE"""),16.08)</f>
        <v>16.08</v>
      </c>
      <c r="F1289" s="2">
        <f>IFERROR(__xludf.DUMMYFUNCTION("""COMPUTED_VALUE"""),4185860.0)</f>
        <v>4185860</v>
      </c>
    </row>
    <row r="1290">
      <c r="A1290" s="3">
        <f>IFERROR(__xludf.DUMMYFUNCTION("""COMPUTED_VALUE"""),42227.66666666667)</f>
        <v>42227.66667</v>
      </c>
      <c r="B1290" s="2">
        <f>IFERROR(__xludf.DUMMYFUNCTION("""COMPUTED_VALUE"""),15.81)</f>
        <v>15.81</v>
      </c>
      <c r="C1290" s="2">
        <f>IFERROR(__xludf.DUMMYFUNCTION("""COMPUTED_VALUE"""),15.95)</f>
        <v>15.95</v>
      </c>
      <c r="D1290" s="2">
        <f>IFERROR(__xludf.DUMMYFUNCTION("""COMPUTED_VALUE"""),15.63)</f>
        <v>15.63</v>
      </c>
      <c r="E1290" s="2">
        <f>IFERROR(__xludf.DUMMYFUNCTION("""COMPUTED_VALUE"""),15.82)</f>
        <v>15.82</v>
      </c>
      <c r="F1290" s="2">
        <f>IFERROR(__xludf.DUMMYFUNCTION("""COMPUTED_VALUE"""),4264939.0)</f>
        <v>4264939</v>
      </c>
    </row>
    <row r="1291">
      <c r="A1291" s="3">
        <f>IFERROR(__xludf.DUMMYFUNCTION("""COMPUTED_VALUE"""),42228.66666666667)</f>
        <v>42228.66667</v>
      </c>
      <c r="B1291" s="2">
        <f>IFERROR(__xludf.DUMMYFUNCTION("""COMPUTED_VALUE"""),15.67)</f>
        <v>15.67</v>
      </c>
      <c r="C1291" s="2">
        <f>IFERROR(__xludf.DUMMYFUNCTION("""COMPUTED_VALUE"""),15.98)</f>
        <v>15.98</v>
      </c>
      <c r="D1291" s="2">
        <f>IFERROR(__xludf.DUMMYFUNCTION("""COMPUTED_VALUE"""),15.52)</f>
        <v>15.52</v>
      </c>
      <c r="E1291" s="2">
        <f>IFERROR(__xludf.DUMMYFUNCTION("""COMPUTED_VALUE"""),15.88)</f>
        <v>15.88</v>
      </c>
      <c r="F1291" s="2">
        <f>IFERROR(__xludf.DUMMYFUNCTION("""COMPUTED_VALUE"""),3739157.0)</f>
        <v>3739157</v>
      </c>
    </row>
    <row r="1292">
      <c r="A1292" s="3">
        <f>IFERROR(__xludf.DUMMYFUNCTION("""COMPUTED_VALUE"""),42229.66666666667)</f>
        <v>42229.66667</v>
      </c>
      <c r="B1292" s="2">
        <f>IFERROR(__xludf.DUMMYFUNCTION("""COMPUTED_VALUE"""),15.99)</f>
        <v>15.99</v>
      </c>
      <c r="C1292" s="2">
        <f>IFERROR(__xludf.DUMMYFUNCTION("""COMPUTED_VALUE"""),16.43)</f>
        <v>16.43</v>
      </c>
      <c r="D1292" s="2">
        <f>IFERROR(__xludf.DUMMYFUNCTION("""COMPUTED_VALUE"""),15.94)</f>
        <v>15.94</v>
      </c>
      <c r="E1292" s="2">
        <f>IFERROR(__xludf.DUMMYFUNCTION("""COMPUTED_VALUE"""),16.17)</f>
        <v>16.17</v>
      </c>
      <c r="F1292" s="2">
        <f>IFERROR(__xludf.DUMMYFUNCTION("""COMPUTED_VALUE"""),4689182.0)</f>
        <v>4689182</v>
      </c>
    </row>
    <row r="1293">
      <c r="A1293" s="3">
        <f>IFERROR(__xludf.DUMMYFUNCTION("""COMPUTED_VALUE"""),42230.66666666667)</f>
        <v>42230.66667</v>
      </c>
      <c r="B1293" s="2">
        <f>IFERROR(__xludf.DUMMYFUNCTION("""COMPUTED_VALUE"""),16.48)</f>
        <v>16.48</v>
      </c>
      <c r="C1293" s="2">
        <f>IFERROR(__xludf.DUMMYFUNCTION("""COMPUTED_VALUE"""),16.53)</f>
        <v>16.53</v>
      </c>
      <c r="D1293" s="2">
        <f>IFERROR(__xludf.DUMMYFUNCTION("""COMPUTED_VALUE"""),16.12)</f>
        <v>16.12</v>
      </c>
      <c r="E1293" s="2">
        <f>IFERROR(__xludf.DUMMYFUNCTION("""COMPUTED_VALUE"""),16.21)</f>
        <v>16.21</v>
      </c>
      <c r="F1293" s="2">
        <f>IFERROR(__xludf.DUMMYFUNCTION("""COMPUTED_VALUE"""),4364810.0)</f>
        <v>4364810</v>
      </c>
    </row>
    <row r="1294">
      <c r="A1294" s="3">
        <f>IFERROR(__xludf.DUMMYFUNCTION("""COMPUTED_VALUE"""),42233.66666666667)</f>
        <v>42233.66667</v>
      </c>
      <c r="B1294" s="2">
        <f>IFERROR(__xludf.DUMMYFUNCTION("""COMPUTED_VALUE"""),17.04)</f>
        <v>17.04</v>
      </c>
      <c r="C1294" s="2">
        <f>IFERROR(__xludf.DUMMYFUNCTION("""COMPUTED_VALUE"""),17.11)</f>
        <v>17.11</v>
      </c>
      <c r="D1294" s="2">
        <f>IFERROR(__xludf.DUMMYFUNCTION("""COMPUTED_VALUE"""),16.7)</f>
        <v>16.7</v>
      </c>
      <c r="E1294" s="2">
        <f>IFERROR(__xludf.DUMMYFUNCTION("""COMPUTED_VALUE"""),17.0)</f>
        <v>17</v>
      </c>
      <c r="F1294" s="2">
        <f>IFERROR(__xludf.DUMMYFUNCTION("""COMPUTED_VALUE"""),7176690.0)</f>
        <v>7176690</v>
      </c>
    </row>
    <row r="1295">
      <c r="A1295" s="3">
        <f>IFERROR(__xludf.DUMMYFUNCTION("""COMPUTED_VALUE"""),42234.66666666667)</f>
        <v>42234.66667</v>
      </c>
      <c r="B1295" s="2">
        <f>IFERROR(__xludf.DUMMYFUNCTION("""COMPUTED_VALUE"""),17.03)</f>
        <v>17.03</v>
      </c>
      <c r="C1295" s="2">
        <f>IFERROR(__xludf.DUMMYFUNCTION("""COMPUTED_VALUE"""),17.4)</f>
        <v>17.4</v>
      </c>
      <c r="D1295" s="2">
        <f>IFERROR(__xludf.DUMMYFUNCTION("""COMPUTED_VALUE"""),16.9)</f>
        <v>16.9</v>
      </c>
      <c r="E1295" s="2">
        <f>IFERROR(__xludf.DUMMYFUNCTION("""COMPUTED_VALUE"""),17.38)</f>
        <v>17.38</v>
      </c>
      <c r="F1295" s="2">
        <f>IFERROR(__xludf.DUMMYFUNCTION("""COMPUTED_VALUE"""),4195035.0)</f>
        <v>4195035</v>
      </c>
    </row>
    <row r="1296">
      <c r="A1296" s="3">
        <f>IFERROR(__xludf.DUMMYFUNCTION("""COMPUTED_VALUE"""),42235.66666666667)</f>
        <v>42235.66667</v>
      </c>
      <c r="B1296" s="2">
        <f>IFERROR(__xludf.DUMMYFUNCTION("""COMPUTED_VALUE"""),17.36)</f>
        <v>17.36</v>
      </c>
      <c r="C1296" s="2">
        <f>IFERROR(__xludf.DUMMYFUNCTION("""COMPUTED_VALUE"""),17.38)</f>
        <v>17.38</v>
      </c>
      <c r="D1296" s="2">
        <f>IFERROR(__xludf.DUMMYFUNCTION("""COMPUTED_VALUE"""),17.0)</f>
        <v>17</v>
      </c>
      <c r="E1296" s="2">
        <f>IFERROR(__xludf.DUMMYFUNCTION("""COMPUTED_VALUE"""),17.02)</f>
        <v>17.02</v>
      </c>
      <c r="F1296" s="2">
        <f>IFERROR(__xludf.DUMMYFUNCTION("""COMPUTED_VALUE"""),3604282.0)</f>
        <v>3604282</v>
      </c>
    </row>
    <row r="1297">
      <c r="A1297" s="3">
        <f>IFERROR(__xludf.DUMMYFUNCTION("""COMPUTED_VALUE"""),42236.66666666667)</f>
        <v>42236.66667</v>
      </c>
      <c r="B1297" s="2">
        <f>IFERROR(__xludf.DUMMYFUNCTION("""COMPUTED_VALUE"""),16.8)</f>
        <v>16.8</v>
      </c>
      <c r="C1297" s="2">
        <f>IFERROR(__xludf.DUMMYFUNCTION("""COMPUTED_VALUE"""),16.97)</f>
        <v>16.97</v>
      </c>
      <c r="D1297" s="2">
        <f>IFERROR(__xludf.DUMMYFUNCTION("""COMPUTED_VALUE"""),16.13)</f>
        <v>16.13</v>
      </c>
      <c r="E1297" s="2">
        <f>IFERROR(__xludf.DUMMYFUNCTION("""COMPUTED_VALUE"""),16.15)</f>
        <v>16.15</v>
      </c>
      <c r="F1297" s="2">
        <f>IFERROR(__xludf.DUMMYFUNCTION("""COMPUTED_VALUE"""),4905757.0)</f>
        <v>4905757</v>
      </c>
    </row>
    <row r="1298">
      <c r="A1298" s="3">
        <f>IFERROR(__xludf.DUMMYFUNCTION("""COMPUTED_VALUE"""),42237.66666666667)</f>
        <v>42237.66667</v>
      </c>
      <c r="B1298" s="2">
        <f>IFERROR(__xludf.DUMMYFUNCTION("""COMPUTED_VALUE"""),15.73)</f>
        <v>15.73</v>
      </c>
      <c r="C1298" s="2">
        <f>IFERROR(__xludf.DUMMYFUNCTION("""COMPUTED_VALUE"""),16.25)</f>
        <v>16.25</v>
      </c>
      <c r="D1298" s="2">
        <f>IFERROR(__xludf.DUMMYFUNCTION("""COMPUTED_VALUE"""),15.37)</f>
        <v>15.37</v>
      </c>
      <c r="E1298" s="2">
        <f>IFERROR(__xludf.DUMMYFUNCTION("""COMPUTED_VALUE"""),15.38)</f>
        <v>15.38</v>
      </c>
      <c r="F1298" s="2">
        <f>IFERROR(__xludf.DUMMYFUNCTION("""COMPUTED_VALUE"""),6590234.0)</f>
        <v>6590234</v>
      </c>
    </row>
    <row r="1299">
      <c r="A1299" s="3">
        <f>IFERROR(__xludf.DUMMYFUNCTION("""COMPUTED_VALUE"""),42240.66666666667)</f>
        <v>42240.66667</v>
      </c>
      <c r="B1299" s="2">
        <f>IFERROR(__xludf.DUMMYFUNCTION("""COMPUTED_VALUE"""),13.52)</f>
        <v>13.52</v>
      </c>
      <c r="C1299" s="2">
        <f>IFERROR(__xludf.DUMMYFUNCTION("""COMPUTED_VALUE"""),15.43)</f>
        <v>15.43</v>
      </c>
      <c r="D1299" s="2">
        <f>IFERROR(__xludf.DUMMYFUNCTION("""COMPUTED_VALUE"""),13.0)</f>
        <v>13</v>
      </c>
      <c r="E1299" s="2">
        <f>IFERROR(__xludf.DUMMYFUNCTION("""COMPUTED_VALUE"""),14.59)</f>
        <v>14.59</v>
      </c>
      <c r="F1299" s="2">
        <f>IFERROR(__xludf.DUMMYFUNCTION("""COMPUTED_VALUE"""),9581585.0)</f>
        <v>9581585</v>
      </c>
    </row>
    <row r="1300">
      <c r="A1300" s="3">
        <f>IFERROR(__xludf.DUMMYFUNCTION("""COMPUTED_VALUE"""),42241.66666666667)</f>
        <v>42241.66667</v>
      </c>
      <c r="B1300" s="2">
        <f>IFERROR(__xludf.DUMMYFUNCTION("""COMPUTED_VALUE"""),15.37)</f>
        <v>15.37</v>
      </c>
      <c r="C1300" s="2">
        <f>IFERROR(__xludf.DUMMYFUNCTION("""COMPUTED_VALUE"""),15.39)</f>
        <v>15.39</v>
      </c>
      <c r="D1300" s="2">
        <f>IFERROR(__xludf.DUMMYFUNCTION("""COMPUTED_VALUE"""),14.61)</f>
        <v>14.61</v>
      </c>
      <c r="E1300" s="2">
        <f>IFERROR(__xludf.DUMMYFUNCTION("""COMPUTED_VALUE"""),14.67)</f>
        <v>14.67</v>
      </c>
      <c r="F1300" s="2">
        <f>IFERROR(__xludf.DUMMYFUNCTION("""COMPUTED_VALUE"""),4327294.0)</f>
        <v>4327294</v>
      </c>
    </row>
    <row r="1301">
      <c r="A1301" s="3">
        <f>IFERROR(__xludf.DUMMYFUNCTION("""COMPUTED_VALUE"""),42242.66666666667)</f>
        <v>42242.66667</v>
      </c>
      <c r="B1301" s="2">
        <f>IFERROR(__xludf.DUMMYFUNCTION("""COMPUTED_VALUE"""),15.2)</f>
        <v>15.2</v>
      </c>
      <c r="C1301" s="2">
        <f>IFERROR(__xludf.DUMMYFUNCTION("""COMPUTED_VALUE"""),15.2)</f>
        <v>15.2</v>
      </c>
      <c r="D1301" s="2">
        <f>IFERROR(__xludf.DUMMYFUNCTION("""COMPUTED_VALUE"""),14.37)</f>
        <v>14.37</v>
      </c>
      <c r="E1301" s="2">
        <f>IFERROR(__xludf.DUMMYFUNCTION("""COMPUTED_VALUE"""),14.99)</f>
        <v>14.99</v>
      </c>
      <c r="F1301" s="2">
        <f>IFERROR(__xludf.DUMMYFUNCTION("""COMPUTED_VALUE"""),4963042.0)</f>
        <v>4963042</v>
      </c>
    </row>
    <row r="1302">
      <c r="A1302" s="3">
        <f>IFERROR(__xludf.DUMMYFUNCTION("""COMPUTED_VALUE"""),42243.66666666667)</f>
        <v>42243.66667</v>
      </c>
      <c r="B1302" s="2">
        <f>IFERROR(__xludf.DUMMYFUNCTION("""COMPUTED_VALUE"""),15.4)</f>
        <v>15.4</v>
      </c>
      <c r="C1302" s="2">
        <f>IFERROR(__xludf.DUMMYFUNCTION("""COMPUTED_VALUE"""),16.32)</f>
        <v>16.32</v>
      </c>
      <c r="D1302" s="2">
        <f>IFERROR(__xludf.DUMMYFUNCTION("""COMPUTED_VALUE"""),15.39)</f>
        <v>15.39</v>
      </c>
      <c r="E1302" s="2">
        <f>IFERROR(__xludf.DUMMYFUNCTION("""COMPUTED_VALUE"""),16.2)</f>
        <v>16.2</v>
      </c>
      <c r="F1302" s="2">
        <f>IFERROR(__xludf.DUMMYFUNCTION("""COMPUTED_VALUE"""),7655959.0)</f>
        <v>7655959</v>
      </c>
    </row>
    <row r="1303">
      <c r="A1303" s="3">
        <f>IFERROR(__xludf.DUMMYFUNCTION("""COMPUTED_VALUE"""),42244.66666666667)</f>
        <v>42244.66667</v>
      </c>
      <c r="B1303" s="2">
        <f>IFERROR(__xludf.DUMMYFUNCTION("""COMPUTED_VALUE"""),16.12)</f>
        <v>16.12</v>
      </c>
      <c r="C1303" s="2">
        <f>IFERROR(__xludf.DUMMYFUNCTION("""COMPUTED_VALUE"""),16.76)</f>
        <v>16.76</v>
      </c>
      <c r="D1303" s="2">
        <f>IFERROR(__xludf.DUMMYFUNCTION("""COMPUTED_VALUE"""),16.1)</f>
        <v>16.1</v>
      </c>
      <c r="E1303" s="2">
        <f>IFERROR(__xludf.DUMMYFUNCTION("""COMPUTED_VALUE"""),16.57)</f>
        <v>16.57</v>
      </c>
      <c r="F1303" s="2">
        <f>IFERROR(__xludf.DUMMYFUNCTION("""COMPUTED_VALUE"""),5513673.0)</f>
        <v>5513673</v>
      </c>
    </row>
    <row r="1304">
      <c r="A1304" s="3">
        <f>IFERROR(__xludf.DUMMYFUNCTION("""COMPUTED_VALUE"""),42247.66666666667)</f>
        <v>42247.66667</v>
      </c>
      <c r="B1304" s="2">
        <f>IFERROR(__xludf.DUMMYFUNCTION("""COMPUTED_VALUE"""),16.37)</f>
        <v>16.37</v>
      </c>
      <c r="C1304" s="2">
        <f>IFERROR(__xludf.DUMMYFUNCTION("""COMPUTED_VALUE"""),17.0)</f>
        <v>17</v>
      </c>
      <c r="D1304" s="2">
        <f>IFERROR(__xludf.DUMMYFUNCTION("""COMPUTED_VALUE"""),16.37)</f>
        <v>16.37</v>
      </c>
      <c r="E1304" s="2">
        <f>IFERROR(__xludf.DUMMYFUNCTION("""COMPUTED_VALUE"""),16.6)</f>
        <v>16.6</v>
      </c>
      <c r="F1304" s="2">
        <f>IFERROR(__xludf.DUMMYFUNCTION("""COMPUTED_VALUE"""),4700232.0)</f>
        <v>4700232</v>
      </c>
    </row>
    <row r="1305">
      <c r="A1305" s="3">
        <f>IFERROR(__xludf.DUMMYFUNCTION("""COMPUTED_VALUE"""),42248.66666666667)</f>
        <v>42248.66667</v>
      </c>
      <c r="B1305" s="2">
        <f>IFERROR(__xludf.DUMMYFUNCTION("""COMPUTED_VALUE"""),16.02)</f>
        <v>16.02</v>
      </c>
      <c r="C1305" s="2">
        <f>IFERROR(__xludf.DUMMYFUNCTION("""COMPUTED_VALUE"""),16.4)</f>
        <v>16.4</v>
      </c>
      <c r="D1305" s="2">
        <f>IFERROR(__xludf.DUMMYFUNCTION("""COMPUTED_VALUE"""),15.8)</f>
        <v>15.8</v>
      </c>
      <c r="E1305" s="2">
        <f>IFERROR(__xludf.DUMMYFUNCTION("""COMPUTED_VALUE"""),15.91)</f>
        <v>15.91</v>
      </c>
      <c r="F1305" s="2">
        <f>IFERROR(__xludf.DUMMYFUNCTION("""COMPUTED_VALUE"""),5454765.0)</f>
        <v>5454765</v>
      </c>
    </row>
    <row r="1306">
      <c r="A1306" s="3">
        <f>IFERROR(__xludf.DUMMYFUNCTION("""COMPUTED_VALUE"""),42249.66666666667)</f>
        <v>42249.66667</v>
      </c>
      <c r="B1306" s="2">
        <f>IFERROR(__xludf.DUMMYFUNCTION("""COMPUTED_VALUE"""),16.35)</f>
        <v>16.35</v>
      </c>
      <c r="C1306" s="2">
        <f>IFERROR(__xludf.DUMMYFUNCTION("""COMPUTED_VALUE"""),16.53)</f>
        <v>16.53</v>
      </c>
      <c r="D1306" s="2">
        <f>IFERROR(__xludf.DUMMYFUNCTION("""COMPUTED_VALUE"""),15.99)</f>
        <v>15.99</v>
      </c>
      <c r="E1306" s="2">
        <f>IFERROR(__xludf.DUMMYFUNCTION("""COMPUTED_VALUE"""),16.51)</f>
        <v>16.51</v>
      </c>
      <c r="F1306" s="2">
        <f>IFERROR(__xludf.DUMMYFUNCTION("""COMPUTED_VALUE"""),4629174.0)</f>
        <v>4629174</v>
      </c>
    </row>
    <row r="1307">
      <c r="A1307" s="3">
        <f>IFERROR(__xludf.DUMMYFUNCTION("""COMPUTED_VALUE"""),42250.66666666667)</f>
        <v>42250.66667</v>
      </c>
      <c r="B1307" s="2">
        <f>IFERROR(__xludf.DUMMYFUNCTION("""COMPUTED_VALUE"""),16.8)</f>
        <v>16.8</v>
      </c>
      <c r="C1307" s="2">
        <f>IFERROR(__xludf.DUMMYFUNCTION("""COMPUTED_VALUE"""),16.81)</f>
        <v>16.81</v>
      </c>
      <c r="D1307" s="2">
        <f>IFERROR(__xludf.DUMMYFUNCTION("""COMPUTED_VALUE"""),16.33)</f>
        <v>16.33</v>
      </c>
      <c r="E1307" s="2">
        <f>IFERROR(__xludf.DUMMYFUNCTION("""COMPUTED_VALUE"""),16.37)</f>
        <v>16.37</v>
      </c>
      <c r="F1307" s="2">
        <f>IFERROR(__xludf.DUMMYFUNCTION("""COMPUTED_VALUE"""),4194772.0)</f>
        <v>4194772</v>
      </c>
    </row>
    <row r="1308">
      <c r="A1308" s="3">
        <f>IFERROR(__xludf.DUMMYFUNCTION("""COMPUTED_VALUE"""),42251.66666666667)</f>
        <v>42251.66667</v>
      </c>
      <c r="B1308" s="2">
        <f>IFERROR(__xludf.DUMMYFUNCTION("""COMPUTED_VALUE"""),16.06)</f>
        <v>16.06</v>
      </c>
      <c r="C1308" s="2">
        <f>IFERROR(__xludf.DUMMYFUNCTION("""COMPUTED_VALUE"""),16.27)</f>
        <v>16.27</v>
      </c>
      <c r="D1308" s="2">
        <f>IFERROR(__xludf.DUMMYFUNCTION("""COMPUTED_VALUE"""),15.88)</f>
        <v>15.88</v>
      </c>
      <c r="E1308" s="2">
        <f>IFERROR(__xludf.DUMMYFUNCTION("""COMPUTED_VALUE"""),16.13)</f>
        <v>16.13</v>
      </c>
      <c r="F1308" s="2">
        <f>IFERROR(__xludf.DUMMYFUNCTION("""COMPUTED_VALUE"""),3689153.0)</f>
        <v>3689153</v>
      </c>
    </row>
    <row r="1309">
      <c r="A1309" s="3">
        <f>IFERROR(__xludf.DUMMYFUNCTION("""COMPUTED_VALUE"""),42255.66666666667)</f>
        <v>42255.66667</v>
      </c>
      <c r="B1309" s="2">
        <f>IFERROR(__xludf.DUMMYFUNCTION("""COMPUTED_VALUE"""),16.34)</f>
        <v>16.34</v>
      </c>
      <c r="C1309" s="2">
        <f>IFERROR(__xludf.DUMMYFUNCTION("""COMPUTED_VALUE"""),16.61)</f>
        <v>16.61</v>
      </c>
      <c r="D1309" s="2">
        <f>IFERROR(__xludf.DUMMYFUNCTION("""COMPUTED_VALUE"""),16.27)</f>
        <v>16.27</v>
      </c>
      <c r="E1309" s="2">
        <f>IFERROR(__xludf.DUMMYFUNCTION("""COMPUTED_VALUE"""),16.54)</f>
        <v>16.54</v>
      </c>
      <c r="F1309" s="2">
        <f>IFERROR(__xludf.DUMMYFUNCTION("""COMPUTED_VALUE"""),3138231.0)</f>
        <v>3138231</v>
      </c>
    </row>
    <row r="1310">
      <c r="A1310" s="3">
        <f>IFERROR(__xludf.DUMMYFUNCTION("""COMPUTED_VALUE"""),42256.66666666667)</f>
        <v>42256.66667</v>
      </c>
      <c r="B1310" s="2">
        <f>IFERROR(__xludf.DUMMYFUNCTION("""COMPUTED_VALUE"""),16.8)</f>
        <v>16.8</v>
      </c>
      <c r="C1310" s="2">
        <f>IFERROR(__xludf.DUMMYFUNCTION("""COMPUTED_VALUE"""),16.95)</f>
        <v>16.95</v>
      </c>
      <c r="D1310" s="2">
        <f>IFERROR(__xludf.DUMMYFUNCTION("""COMPUTED_VALUE"""),16.55)</f>
        <v>16.55</v>
      </c>
      <c r="E1310" s="2">
        <f>IFERROR(__xludf.DUMMYFUNCTION("""COMPUTED_VALUE"""),16.59)</f>
        <v>16.59</v>
      </c>
      <c r="F1310" s="2">
        <f>IFERROR(__xludf.DUMMYFUNCTION("""COMPUTED_VALUE"""),3390788.0)</f>
        <v>3390788</v>
      </c>
    </row>
    <row r="1311">
      <c r="A1311" s="3">
        <f>IFERROR(__xludf.DUMMYFUNCTION("""COMPUTED_VALUE"""),42257.66666666667)</f>
        <v>42257.66667</v>
      </c>
      <c r="B1311" s="2">
        <f>IFERROR(__xludf.DUMMYFUNCTION("""COMPUTED_VALUE"""),16.48)</f>
        <v>16.48</v>
      </c>
      <c r="C1311" s="2">
        <f>IFERROR(__xludf.DUMMYFUNCTION("""COMPUTED_VALUE"""),16.71)</f>
        <v>16.71</v>
      </c>
      <c r="D1311" s="2">
        <f>IFERROR(__xludf.DUMMYFUNCTION("""COMPUTED_VALUE"""),16.36)</f>
        <v>16.36</v>
      </c>
      <c r="E1311" s="2">
        <f>IFERROR(__xludf.DUMMYFUNCTION("""COMPUTED_VALUE"""),16.57)</f>
        <v>16.57</v>
      </c>
      <c r="F1311" s="2">
        <f>IFERROR(__xludf.DUMMYFUNCTION("""COMPUTED_VALUE"""),2709024.0)</f>
        <v>2709024</v>
      </c>
    </row>
    <row r="1312">
      <c r="A1312" s="3">
        <f>IFERROR(__xludf.DUMMYFUNCTION("""COMPUTED_VALUE"""),42258.66666666667)</f>
        <v>42258.66667</v>
      </c>
      <c r="B1312" s="2">
        <f>IFERROR(__xludf.DUMMYFUNCTION("""COMPUTED_VALUE"""),16.51)</f>
        <v>16.51</v>
      </c>
      <c r="C1312" s="2">
        <f>IFERROR(__xludf.DUMMYFUNCTION("""COMPUTED_VALUE"""),16.68)</f>
        <v>16.68</v>
      </c>
      <c r="D1312" s="2">
        <f>IFERROR(__xludf.DUMMYFUNCTION("""COMPUTED_VALUE"""),16.32)</f>
        <v>16.32</v>
      </c>
      <c r="E1312" s="2">
        <f>IFERROR(__xludf.DUMMYFUNCTION("""COMPUTED_VALUE"""),16.68)</f>
        <v>16.68</v>
      </c>
      <c r="F1312" s="2">
        <f>IFERROR(__xludf.DUMMYFUNCTION("""COMPUTED_VALUE"""),2350844.0)</f>
        <v>2350844</v>
      </c>
    </row>
    <row r="1313">
      <c r="A1313" s="3">
        <f>IFERROR(__xludf.DUMMYFUNCTION("""COMPUTED_VALUE"""),42261.66666666667)</f>
        <v>42261.66667</v>
      </c>
      <c r="B1313" s="2">
        <f>IFERROR(__xludf.DUMMYFUNCTION("""COMPUTED_VALUE"""),16.74)</f>
        <v>16.74</v>
      </c>
      <c r="C1313" s="2">
        <f>IFERROR(__xludf.DUMMYFUNCTION("""COMPUTED_VALUE"""),16.95)</f>
        <v>16.95</v>
      </c>
      <c r="D1313" s="2">
        <f>IFERROR(__xludf.DUMMYFUNCTION("""COMPUTED_VALUE"""),16.64)</f>
        <v>16.64</v>
      </c>
      <c r="E1313" s="2">
        <f>IFERROR(__xludf.DUMMYFUNCTION("""COMPUTED_VALUE"""),16.88)</f>
        <v>16.88</v>
      </c>
      <c r="F1313" s="2">
        <f>IFERROR(__xludf.DUMMYFUNCTION("""COMPUTED_VALUE"""),2890851.0)</f>
        <v>2890851</v>
      </c>
    </row>
    <row r="1314">
      <c r="A1314" s="3">
        <f>IFERROR(__xludf.DUMMYFUNCTION("""COMPUTED_VALUE"""),42262.66666666667)</f>
        <v>42262.66667</v>
      </c>
      <c r="B1314" s="2">
        <f>IFERROR(__xludf.DUMMYFUNCTION("""COMPUTED_VALUE"""),16.85)</f>
        <v>16.85</v>
      </c>
      <c r="C1314" s="2">
        <f>IFERROR(__xludf.DUMMYFUNCTION("""COMPUTED_VALUE"""),16.97)</f>
        <v>16.97</v>
      </c>
      <c r="D1314" s="2">
        <f>IFERROR(__xludf.DUMMYFUNCTION("""COMPUTED_VALUE"""),16.63)</f>
        <v>16.63</v>
      </c>
      <c r="E1314" s="2">
        <f>IFERROR(__xludf.DUMMYFUNCTION("""COMPUTED_VALUE"""),16.9)</f>
        <v>16.9</v>
      </c>
      <c r="F1314" s="2">
        <f>IFERROR(__xludf.DUMMYFUNCTION("""COMPUTED_VALUE"""),2933466.0)</f>
        <v>2933466</v>
      </c>
    </row>
    <row r="1315">
      <c r="A1315" s="3">
        <f>IFERROR(__xludf.DUMMYFUNCTION("""COMPUTED_VALUE"""),42263.66666666667)</f>
        <v>42263.66667</v>
      </c>
      <c r="B1315" s="2">
        <f>IFERROR(__xludf.DUMMYFUNCTION("""COMPUTED_VALUE"""),16.87)</f>
        <v>16.87</v>
      </c>
      <c r="C1315" s="2">
        <f>IFERROR(__xludf.DUMMYFUNCTION("""COMPUTED_VALUE"""),17.53)</f>
        <v>17.53</v>
      </c>
      <c r="D1315" s="2">
        <f>IFERROR(__xludf.DUMMYFUNCTION("""COMPUTED_VALUE"""),16.86)</f>
        <v>16.86</v>
      </c>
      <c r="E1315" s="2">
        <f>IFERROR(__xludf.DUMMYFUNCTION("""COMPUTED_VALUE"""),17.48)</f>
        <v>17.48</v>
      </c>
      <c r="F1315" s="2">
        <f>IFERROR(__xludf.DUMMYFUNCTION("""COMPUTED_VALUE"""),4417081.0)</f>
        <v>4417081</v>
      </c>
    </row>
    <row r="1316">
      <c r="A1316" s="3">
        <f>IFERROR(__xludf.DUMMYFUNCTION("""COMPUTED_VALUE"""),42264.66666666667)</f>
        <v>42264.66667</v>
      </c>
      <c r="B1316" s="2">
        <f>IFERROR(__xludf.DUMMYFUNCTION("""COMPUTED_VALUE"""),17.6)</f>
        <v>17.6</v>
      </c>
      <c r="C1316" s="2">
        <f>IFERROR(__xludf.DUMMYFUNCTION("""COMPUTED_VALUE"""),17.7)</f>
        <v>17.7</v>
      </c>
      <c r="D1316" s="2">
        <f>IFERROR(__xludf.DUMMYFUNCTION("""COMPUTED_VALUE"""),17.38)</f>
        <v>17.38</v>
      </c>
      <c r="E1316" s="2">
        <f>IFERROR(__xludf.DUMMYFUNCTION("""COMPUTED_VALUE"""),17.47)</f>
        <v>17.47</v>
      </c>
      <c r="F1316" s="2">
        <f>IFERROR(__xludf.DUMMYFUNCTION("""COMPUTED_VALUE"""),3585812.0)</f>
        <v>3585812</v>
      </c>
    </row>
    <row r="1317">
      <c r="A1317" s="3">
        <f>IFERROR(__xludf.DUMMYFUNCTION("""COMPUTED_VALUE"""),42265.66666666667)</f>
        <v>42265.66667</v>
      </c>
      <c r="B1317" s="2">
        <f>IFERROR(__xludf.DUMMYFUNCTION("""COMPUTED_VALUE"""),17.2)</f>
        <v>17.2</v>
      </c>
      <c r="C1317" s="2">
        <f>IFERROR(__xludf.DUMMYFUNCTION("""COMPUTED_VALUE"""),17.59)</f>
        <v>17.59</v>
      </c>
      <c r="D1317" s="2">
        <f>IFERROR(__xludf.DUMMYFUNCTION("""COMPUTED_VALUE"""),17.17)</f>
        <v>17.17</v>
      </c>
      <c r="E1317" s="2">
        <f>IFERROR(__xludf.DUMMYFUNCTION("""COMPUTED_VALUE"""),17.37)</f>
        <v>17.37</v>
      </c>
      <c r="F1317" s="2">
        <f>IFERROR(__xludf.DUMMYFUNCTION("""COMPUTED_VALUE"""),3763064.0)</f>
        <v>3763064</v>
      </c>
    </row>
    <row r="1318">
      <c r="A1318" s="3">
        <f>IFERROR(__xludf.DUMMYFUNCTION("""COMPUTED_VALUE"""),42268.66666666667)</f>
        <v>42268.66667</v>
      </c>
      <c r="B1318" s="2">
        <f>IFERROR(__xludf.DUMMYFUNCTION("""COMPUTED_VALUE"""),17.6)</f>
        <v>17.6</v>
      </c>
      <c r="C1318" s="2">
        <f>IFERROR(__xludf.DUMMYFUNCTION("""COMPUTED_VALUE"""),18.1)</f>
        <v>18.1</v>
      </c>
      <c r="D1318" s="2">
        <f>IFERROR(__xludf.DUMMYFUNCTION("""COMPUTED_VALUE"""),17.05)</f>
        <v>17.05</v>
      </c>
      <c r="E1318" s="2">
        <f>IFERROR(__xludf.DUMMYFUNCTION("""COMPUTED_VALUE"""),17.61)</f>
        <v>17.61</v>
      </c>
      <c r="F1318" s="2">
        <f>IFERROR(__xludf.DUMMYFUNCTION("""COMPUTED_VALUE"""),6120155.0)</f>
        <v>6120155</v>
      </c>
    </row>
    <row r="1319">
      <c r="A1319" s="3">
        <f>IFERROR(__xludf.DUMMYFUNCTION("""COMPUTED_VALUE"""),42269.66666666667)</f>
        <v>42269.66667</v>
      </c>
      <c r="B1319" s="2">
        <f>IFERROR(__xludf.DUMMYFUNCTION("""COMPUTED_VALUE"""),17.27)</f>
        <v>17.27</v>
      </c>
      <c r="C1319" s="2">
        <f>IFERROR(__xludf.DUMMYFUNCTION("""COMPUTED_VALUE"""),17.51)</f>
        <v>17.51</v>
      </c>
      <c r="D1319" s="2">
        <f>IFERROR(__xludf.DUMMYFUNCTION("""COMPUTED_VALUE"""),17.06)</f>
        <v>17.06</v>
      </c>
      <c r="E1319" s="2">
        <f>IFERROR(__xludf.DUMMYFUNCTION("""COMPUTED_VALUE"""),17.4)</f>
        <v>17.4</v>
      </c>
      <c r="F1319" s="2">
        <f>IFERROR(__xludf.DUMMYFUNCTION("""COMPUTED_VALUE"""),3664353.0)</f>
        <v>3664353</v>
      </c>
    </row>
    <row r="1320">
      <c r="A1320" s="3">
        <f>IFERROR(__xludf.DUMMYFUNCTION("""COMPUTED_VALUE"""),42270.66666666667)</f>
        <v>42270.66667</v>
      </c>
      <c r="B1320" s="2">
        <f>IFERROR(__xludf.DUMMYFUNCTION("""COMPUTED_VALUE"""),17.46)</f>
        <v>17.46</v>
      </c>
      <c r="C1320" s="2">
        <f>IFERROR(__xludf.DUMMYFUNCTION("""COMPUTED_VALUE"""),17.47)</f>
        <v>17.47</v>
      </c>
      <c r="D1320" s="2">
        <f>IFERROR(__xludf.DUMMYFUNCTION("""COMPUTED_VALUE"""),17.17)</f>
        <v>17.17</v>
      </c>
      <c r="E1320" s="2">
        <f>IFERROR(__xludf.DUMMYFUNCTION("""COMPUTED_VALUE"""),17.4)</f>
        <v>17.4</v>
      </c>
      <c r="F1320" s="2">
        <f>IFERROR(__xludf.DUMMYFUNCTION("""COMPUTED_VALUE"""),2600778.0)</f>
        <v>2600778</v>
      </c>
    </row>
    <row r="1321">
      <c r="A1321" s="3">
        <f>IFERROR(__xludf.DUMMYFUNCTION("""COMPUTED_VALUE"""),42271.66666666667)</f>
        <v>42271.66667</v>
      </c>
      <c r="B1321" s="2">
        <f>IFERROR(__xludf.DUMMYFUNCTION("""COMPUTED_VALUE"""),17.3)</f>
        <v>17.3</v>
      </c>
      <c r="C1321" s="2">
        <f>IFERROR(__xludf.DUMMYFUNCTION("""COMPUTED_VALUE"""),17.56)</f>
        <v>17.56</v>
      </c>
      <c r="D1321" s="2">
        <f>IFERROR(__xludf.DUMMYFUNCTION("""COMPUTED_VALUE"""),17.08)</f>
        <v>17.08</v>
      </c>
      <c r="E1321" s="2">
        <f>IFERROR(__xludf.DUMMYFUNCTION("""COMPUTED_VALUE"""),17.54)</f>
        <v>17.54</v>
      </c>
      <c r="F1321" s="2">
        <f>IFERROR(__xludf.DUMMYFUNCTION("""COMPUTED_VALUE"""),3448191.0)</f>
        <v>3448191</v>
      </c>
    </row>
    <row r="1322">
      <c r="A1322" s="3">
        <f>IFERROR(__xludf.DUMMYFUNCTION("""COMPUTED_VALUE"""),42272.66666666667)</f>
        <v>42272.66667</v>
      </c>
      <c r="B1322" s="2">
        <f>IFERROR(__xludf.DUMMYFUNCTION("""COMPUTED_VALUE"""),17.77)</f>
        <v>17.77</v>
      </c>
      <c r="C1322" s="2">
        <f>IFERROR(__xludf.DUMMYFUNCTION("""COMPUTED_VALUE"""),17.79)</f>
        <v>17.79</v>
      </c>
      <c r="D1322" s="2">
        <f>IFERROR(__xludf.DUMMYFUNCTION("""COMPUTED_VALUE"""),17.08)</f>
        <v>17.08</v>
      </c>
      <c r="E1322" s="2">
        <f>IFERROR(__xludf.DUMMYFUNCTION("""COMPUTED_VALUE"""),17.13)</f>
        <v>17.13</v>
      </c>
      <c r="F1322" s="2">
        <f>IFERROR(__xludf.DUMMYFUNCTION("""COMPUTED_VALUE"""),3773392.0)</f>
        <v>3773392</v>
      </c>
    </row>
    <row r="1323">
      <c r="A1323" s="3">
        <f>IFERROR(__xludf.DUMMYFUNCTION("""COMPUTED_VALUE"""),42275.66666666667)</f>
        <v>42275.66667</v>
      </c>
      <c r="B1323" s="2">
        <f>IFERROR(__xludf.DUMMYFUNCTION("""COMPUTED_VALUE"""),17.16)</f>
        <v>17.16</v>
      </c>
      <c r="C1323" s="2">
        <f>IFERROR(__xludf.DUMMYFUNCTION("""COMPUTED_VALUE"""),17.32)</f>
        <v>17.32</v>
      </c>
      <c r="D1323" s="2">
        <f>IFERROR(__xludf.DUMMYFUNCTION("""COMPUTED_VALUE"""),16.44)</f>
        <v>16.44</v>
      </c>
      <c r="E1323" s="2">
        <f>IFERROR(__xludf.DUMMYFUNCTION("""COMPUTED_VALUE"""),16.56)</f>
        <v>16.56</v>
      </c>
      <c r="F1323" s="2">
        <f>IFERROR(__xludf.DUMMYFUNCTION("""COMPUTED_VALUE"""),4901057.0)</f>
        <v>4901057</v>
      </c>
    </row>
    <row r="1324">
      <c r="A1324" s="3">
        <f>IFERROR(__xludf.DUMMYFUNCTION("""COMPUTED_VALUE"""),42276.66666666667)</f>
        <v>42276.66667</v>
      </c>
      <c r="B1324" s="2">
        <f>IFERROR(__xludf.DUMMYFUNCTION("""COMPUTED_VALUE"""),16.7)</f>
        <v>16.7</v>
      </c>
      <c r="C1324" s="2">
        <f>IFERROR(__xludf.DUMMYFUNCTION("""COMPUTED_VALUE"""),16.98)</f>
        <v>16.98</v>
      </c>
      <c r="D1324" s="2">
        <f>IFERROR(__xludf.DUMMYFUNCTION("""COMPUTED_VALUE"""),16.36)</f>
        <v>16.36</v>
      </c>
      <c r="E1324" s="2">
        <f>IFERROR(__xludf.DUMMYFUNCTION("""COMPUTED_VALUE"""),16.44)</f>
        <v>16.44</v>
      </c>
      <c r="F1324" s="2">
        <f>IFERROR(__xludf.DUMMYFUNCTION("""COMPUTED_VALUE"""),3703154.0)</f>
        <v>3703154</v>
      </c>
    </row>
    <row r="1325">
      <c r="A1325" s="3">
        <f>IFERROR(__xludf.DUMMYFUNCTION("""COMPUTED_VALUE"""),42277.66666666667)</f>
        <v>42277.66667</v>
      </c>
      <c r="B1325" s="2">
        <f>IFERROR(__xludf.DUMMYFUNCTION("""COMPUTED_VALUE"""),16.8)</f>
        <v>16.8</v>
      </c>
      <c r="C1325" s="2">
        <f>IFERROR(__xludf.DUMMYFUNCTION("""COMPUTED_VALUE"""),16.83)</f>
        <v>16.83</v>
      </c>
      <c r="D1325" s="2">
        <f>IFERROR(__xludf.DUMMYFUNCTION("""COMPUTED_VALUE"""),16.16)</f>
        <v>16.16</v>
      </c>
      <c r="E1325" s="2">
        <f>IFERROR(__xludf.DUMMYFUNCTION("""COMPUTED_VALUE"""),16.56)</f>
        <v>16.56</v>
      </c>
      <c r="F1325" s="2">
        <f>IFERROR(__xludf.DUMMYFUNCTION("""COMPUTED_VALUE"""),4929582.0)</f>
        <v>4929582</v>
      </c>
    </row>
    <row r="1326">
      <c r="A1326" s="3">
        <f>IFERROR(__xludf.DUMMYFUNCTION("""COMPUTED_VALUE"""),42278.66666666667)</f>
        <v>42278.66667</v>
      </c>
      <c r="B1326" s="2">
        <f>IFERROR(__xludf.DUMMYFUNCTION("""COMPUTED_VALUE"""),16.5)</f>
        <v>16.5</v>
      </c>
      <c r="C1326" s="2">
        <f>IFERROR(__xludf.DUMMYFUNCTION("""COMPUTED_VALUE"""),16.57)</f>
        <v>16.57</v>
      </c>
      <c r="D1326" s="2">
        <f>IFERROR(__xludf.DUMMYFUNCTION("""COMPUTED_VALUE"""),15.81)</f>
        <v>15.81</v>
      </c>
      <c r="E1326" s="2">
        <f>IFERROR(__xludf.DUMMYFUNCTION("""COMPUTED_VALUE"""),15.99)</f>
        <v>15.99</v>
      </c>
      <c r="F1326" s="2">
        <f>IFERROR(__xludf.DUMMYFUNCTION("""COMPUTED_VALUE"""),4572964.0)</f>
        <v>4572964</v>
      </c>
    </row>
    <row r="1327">
      <c r="A1327" s="3">
        <f>IFERROR(__xludf.DUMMYFUNCTION("""COMPUTED_VALUE"""),42279.66666666667)</f>
        <v>42279.66667</v>
      </c>
      <c r="B1327" s="2">
        <f>IFERROR(__xludf.DUMMYFUNCTION("""COMPUTED_VALUE"""),15.71)</f>
        <v>15.71</v>
      </c>
      <c r="C1327" s="2">
        <f>IFERROR(__xludf.DUMMYFUNCTION("""COMPUTED_VALUE"""),16.51)</f>
        <v>16.51</v>
      </c>
      <c r="D1327" s="2">
        <f>IFERROR(__xludf.DUMMYFUNCTION("""COMPUTED_VALUE"""),15.66)</f>
        <v>15.66</v>
      </c>
      <c r="E1327" s="2">
        <f>IFERROR(__xludf.DUMMYFUNCTION("""COMPUTED_VALUE"""),16.5)</f>
        <v>16.5</v>
      </c>
      <c r="F1327" s="2">
        <f>IFERROR(__xludf.DUMMYFUNCTION("""COMPUTED_VALUE"""),4423982.0)</f>
        <v>4423982</v>
      </c>
    </row>
    <row r="1328">
      <c r="A1328" s="3">
        <f>IFERROR(__xludf.DUMMYFUNCTION("""COMPUTED_VALUE"""),42282.66666666667)</f>
        <v>42282.66667</v>
      </c>
      <c r="B1328" s="2">
        <f>IFERROR(__xludf.DUMMYFUNCTION("""COMPUTED_VALUE"""),16.59)</f>
        <v>16.59</v>
      </c>
      <c r="C1328" s="2">
        <f>IFERROR(__xludf.DUMMYFUNCTION("""COMPUTED_VALUE"""),16.66)</f>
        <v>16.66</v>
      </c>
      <c r="D1328" s="2">
        <f>IFERROR(__xludf.DUMMYFUNCTION("""COMPUTED_VALUE"""),16.28)</f>
        <v>16.28</v>
      </c>
      <c r="E1328" s="2">
        <f>IFERROR(__xludf.DUMMYFUNCTION("""COMPUTED_VALUE"""),16.41)</f>
        <v>16.41</v>
      </c>
      <c r="F1328" s="2">
        <f>IFERROR(__xludf.DUMMYFUNCTION("""COMPUTED_VALUE"""),3689865.0)</f>
        <v>3689865</v>
      </c>
    </row>
    <row r="1329">
      <c r="A1329" s="3">
        <f>IFERROR(__xludf.DUMMYFUNCTION("""COMPUTED_VALUE"""),42283.66666666667)</f>
        <v>42283.66667</v>
      </c>
      <c r="B1329" s="2">
        <f>IFERROR(__xludf.DUMMYFUNCTION("""COMPUTED_VALUE"""),16.0)</f>
        <v>16</v>
      </c>
      <c r="C1329" s="2">
        <f>IFERROR(__xludf.DUMMYFUNCTION("""COMPUTED_VALUE"""),16.2)</f>
        <v>16.2</v>
      </c>
      <c r="D1329" s="2">
        <f>IFERROR(__xludf.DUMMYFUNCTION("""COMPUTED_VALUE"""),15.71)</f>
        <v>15.71</v>
      </c>
      <c r="E1329" s="2">
        <f>IFERROR(__xludf.DUMMYFUNCTION("""COMPUTED_VALUE"""),16.1)</f>
        <v>16.1</v>
      </c>
      <c r="F1329" s="2">
        <f>IFERROR(__xludf.DUMMYFUNCTION("""COMPUTED_VALUE"""),5235897.0)</f>
        <v>5235897</v>
      </c>
    </row>
    <row r="1330">
      <c r="A1330" s="3">
        <f>IFERROR(__xludf.DUMMYFUNCTION("""COMPUTED_VALUE"""),42284.66666666667)</f>
        <v>42284.66667</v>
      </c>
      <c r="B1330" s="2">
        <f>IFERROR(__xludf.DUMMYFUNCTION("""COMPUTED_VALUE"""),15.78)</f>
        <v>15.78</v>
      </c>
      <c r="C1330" s="2">
        <f>IFERROR(__xludf.DUMMYFUNCTION("""COMPUTED_VALUE"""),15.85)</f>
        <v>15.85</v>
      </c>
      <c r="D1330" s="2">
        <f>IFERROR(__xludf.DUMMYFUNCTION("""COMPUTED_VALUE"""),15.27)</f>
        <v>15.27</v>
      </c>
      <c r="E1330" s="2">
        <f>IFERROR(__xludf.DUMMYFUNCTION("""COMPUTED_VALUE"""),15.46)</f>
        <v>15.46</v>
      </c>
      <c r="F1330" s="2">
        <f>IFERROR(__xludf.DUMMYFUNCTION("""COMPUTED_VALUE"""),6813959.0)</f>
        <v>6813959</v>
      </c>
    </row>
    <row r="1331">
      <c r="A1331" s="3">
        <f>IFERROR(__xludf.DUMMYFUNCTION("""COMPUTED_VALUE"""),42285.66666666667)</f>
        <v>42285.66667</v>
      </c>
      <c r="B1331" s="2">
        <f>IFERROR(__xludf.DUMMYFUNCTION("""COMPUTED_VALUE"""),15.34)</f>
        <v>15.34</v>
      </c>
      <c r="C1331" s="2">
        <f>IFERROR(__xludf.DUMMYFUNCTION("""COMPUTED_VALUE"""),15.38)</f>
        <v>15.38</v>
      </c>
      <c r="D1331" s="2">
        <f>IFERROR(__xludf.DUMMYFUNCTION("""COMPUTED_VALUE"""),14.75)</f>
        <v>14.75</v>
      </c>
      <c r="E1331" s="2">
        <f>IFERROR(__xludf.DUMMYFUNCTION("""COMPUTED_VALUE"""),15.11)</f>
        <v>15.11</v>
      </c>
      <c r="F1331" s="2">
        <f>IFERROR(__xludf.DUMMYFUNCTION("""COMPUTED_VALUE"""),6133216.0)</f>
        <v>6133216</v>
      </c>
    </row>
    <row r="1332">
      <c r="A1332" s="3">
        <f>IFERROR(__xludf.DUMMYFUNCTION("""COMPUTED_VALUE"""),42286.66666666667)</f>
        <v>42286.66667</v>
      </c>
      <c r="B1332" s="2">
        <f>IFERROR(__xludf.DUMMYFUNCTION("""COMPUTED_VALUE"""),14.73)</f>
        <v>14.73</v>
      </c>
      <c r="C1332" s="2">
        <f>IFERROR(__xludf.DUMMYFUNCTION("""COMPUTED_VALUE"""),14.96)</f>
        <v>14.96</v>
      </c>
      <c r="D1332" s="2">
        <f>IFERROR(__xludf.DUMMYFUNCTION("""COMPUTED_VALUE"""),14.56)</f>
        <v>14.56</v>
      </c>
      <c r="E1332" s="2">
        <f>IFERROR(__xludf.DUMMYFUNCTION("""COMPUTED_VALUE"""),14.71)</f>
        <v>14.71</v>
      </c>
      <c r="F1332" s="2">
        <f>IFERROR(__xludf.DUMMYFUNCTION("""COMPUTED_VALUE"""),6158370.0)</f>
        <v>6158370</v>
      </c>
    </row>
    <row r="1333">
      <c r="A1333" s="3">
        <f>IFERROR(__xludf.DUMMYFUNCTION("""COMPUTED_VALUE"""),42289.66666666667)</f>
        <v>42289.66667</v>
      </c>
      <c r="B1333" s="2">
        <f>IFERROR(__xludf.DUMMYFUNCTION("""COMPUTED_VALUE"""),14.87)</f>
        <v>14.87</v>
      </c>
      <c r="C1333" s="2">
        <f>IFERROR(__xludf.DUMMYFUNCTION("""COMPUTED_VALUE"""),14.87)</f>
        <v>14.87</v>
      </c>
      <c r="D1333" s="2">
        <f>IFERROR(__xludf.DUMMYFUNCTION("""COMPUTED_VALUE"""),14.35)</f>
        <v>14.35</v>
      </c>
      <c r="E1333" s="2">
        <f>IFERROR(__xludf.DUMMYFUNCTION("""COMPUTED_VALUE"""),14.37)</f>
        <v>14.37</v>
      </c>
      <c r="F1333" s="2">
        <f>IFERROR(__xludf.DUMMYFUNCTION("""COMPUTED_VALUE"""),3836303.0)</f>
        <v>3836303</v>
      </c>
    </row>
    <row r="1334">
      <c r="A1334" s="3">
        <f>IFERROR(__xludf.DUMMYFUNCTION("""COMPUTED_VALUE"""),42290.66666666667)</f>
        <v>42290.66667</v>
      </c>
      <c r="B1334" s="2">
        <f>IFERROR(__xludf.DUMMYFUNCTION("""COMPUTED_VALUE"""),14.22)</f>
        <v>14.22</v>
      </c>
      <c r="C1334" s="2">
        <f>IFERROR(__xludf.DUMMYFUNCTION("""COMPUTED_VALUE"""),14.83)</f>
        <v>14.83</v>
      </c>
      <c r="D1334" s="2">
        <f>IFERROR(__xludf.DUMMYFUNCTION("""COMPUTED_VALUE"""),14.08)</f>
        <v>14.08</v>
      </c>
      <c r="E1334" s="2">
        <f>IFERROR(__xludf.DUMMYFUNCTION("""COMPUTED_VALUE"""),14.62)</f>
        <v>14.62</v>
      </c>
      <c r="F1334" s="2">
        <f>IFERROR(__xludf.DUMMYFUNCTION("""COMPUTED_VALUE"""),5171535.0)</f>
        <v>5171535</v>
      </c>
    </row>
    <row r="1335">
      <c r="A1335" s="3">
        <f>IFERROR(__xludf.DUMMYFUNCTION("""COMPUTED_VALUE"""),42291.66666666667)</f>
        <v>42291.66667</v>
      </c>
      <c r="B1335" s="2">
        <f>IFERROR(__xludf.DUMMYFUNCTION("""COMPUTED_VALUE"""),14.71)</f>
        <v>14.71</v>
      </c>
      <c r="C1335" s="2">
        <f>IFERROR(__xludf.DUMMYFUNCTION("""COMPUTED_VALUE"""),14.73)</f>
        <v>14.73</v>
      </c>
      <c r="D1335" s="2">
        <f>IFERROR(__xludf.DUMMYFUNCTION("""COMPUTED_VALUE"""),14.36)</f>
        <v>14.36</v>
      </c>
      <c r="E1335" s="2">
        <f>IFERROR(__xludf.DUMMYFUNCTION("""COMPUTED_VALUE"""),14.46)</f>
        <v>14.46</v>
      </c>
      <c r="F1335" s="2">
        <f>IFERROR(__xludf.DUMMYFUNCTION("""COMPUTED_VALUE"""),3104446.0)</f>
        <v>3104446</v>
      </c>
    </row>
    <row r="1336">
      <c r="A1336" s="3">
        <f>IFERROR(__xludf.DUMMYFUNCTION("""COMPUTED_VALUE"""),42292.66666666667)</f>
        <v>42292.66667</v>
      </c>
      <c r="B1336" s="2">
        <f>IFERROR(__xludf.DUMMYFUNCTION("""COMPUTED_VALUE"""),14.43)</f>
        <v>14.43</v>
      </c>
      <c r="C1336" s="2">
        <f>IFERROR(__xludf.DUMMYFUNCTION("""COMPUTED_VALUE"""),14.78)</f>
        <v>14.78</v>
      </c>
      <c r="D1336" s="2">
        <f>IFERROR(__xludf.DUMMYFUNCTION("""COMPUTED_VALUE"""),14.25)</f>
        <v>14.25</v>
      </c>
      <c r="E1336" s="2">
        <f>IFERROR(__xludf.DUMMYFUNCTION("""COMPUTED_VALUE"""),14.75)</f>
        <v>14.75</v>
      </c>
      <c r="F1336" s="2">
        <f>IFERROR(__xludf.DUMMYFUNCTION("""COMPUTED_VALUE"""),2844233.0)</f>
        <v>2844233</v>
      </c>
    </row>
    <row r="1337">
      <c r="A1337" s="3">
        <f>IFERROR(__xludf.DUMMYFUNCTION("""COMPUTED_VALUE"""),42293.66666666667)</f>
        <v>42293.66667</v>
      </c>
      <c r="B1337" s="2">
        <f>IFERROR(__xludf.DUMMYFUNCTION("""COMPUTED_VALUE"""),14.87)</f>
        <v>14.87</v>
      </c>
      <c r="C1337" s="2">
        <f>IFERROR(__xludf.DUMMYFUNCTION("""COMPUTED_VALUE"""),15.37)</f>
        <v>15.37</v>
      </c>
      <c r="D1337" s="2">
        <f>IFERROR(__xludf.DUMMYFUNCTION("""COMPUTED_VALUE"""),14.86)</f>
        <v>14.86</v>
      </c>
      <c r="E1337" s="2">
        <f>IFERROR(__xludf.DUMMYFUNCTION("""COMPUTED_VALUE"""),15.13)</f>
        <v>15.13</v>
      </c>
      <c r="F1337" s="2">
        <f>IFERROR(__xludf.DUMMYFUNCTION("""COMPUTED_VALUE"""),4334493.0)</f>
        <v>4334493</v>
      </c>
    </row>
    <row r="1338">
      <c r="A1338" s="3">
        <f>IFERROR(__xludf.DUMMYFUNCTION("""COMPUTED_VALUE"""),42296.66666666667)</f>
        <v>42296.66667</v>
      </c>
      <c r="B1338" s="2">
        <f>IFERROR(__xludf.DUMMYFUNCTION("""COMPUTED_VALUE"""),15.1)</f>
        <v>15.1</v>
      </c>
      <c r="C1338" s="2">
        <f>IFERROR(__xludf.DUMMYFUNCTION("""COMPUTED_VALUE"""),15.41)</f>
        <v>15.41</v>
      </c>
      <c r="D1338" s="2">
        <f>IFERROR(__xludf.DUMMYFUNCTION("""COMPUTED_VALUE"""),15.0)</f>
        <v>15</v>
      </c>
      <c r="E1338" s="2">
        <f>IFERROR(__xludf.DUMMYFUNCTION("""COMPUTED_VALUE"""),15.21)</f>
        <v>15.21</v>
      </c>
      <c r="F1338" s="2">
        <f>IFERROR(__xludf.DUMMYFUNCTION("""COMPUTED_VALUE"""),2507895.0)</f>
        <v>2507895</v>
      </c>
    </row>
    <row r="1339">
      <c r="A1339" s="3">
        <f>IFERROR(__xludf.DUMMYFUNCTION("""COMPUTED_VALUE"""),42297.66666666667)</f>
        <v>42297.66667</v>
      </c>
      <c r="B1339" s="2">
        <f>IFERROR(__xludf.DUMMYFUNCTION("""COMPUTED_VALUE"""),15.18)</f>
        <v>15.18</v>
      </c>
      <c r="C1339" s="2">
        <f>IFERROR(__xludf.DUMMYFUNCTION("""COMPUTED_VALUE"""),15.24)</f>
        <v>15.24</v>
      </c>
      <c r="D1339" s="2">
        <f>IFERROR(__xludf.DUMMYFUNCTION("""COMPUTED_VALUE"""),13.47)</f>
        <v>13.47</v>
      </c>
      <c r="E1339" s="2">
        <f>IFERROR(__xludf.DUMMYFUNCTION("""COMPUTED_VALUE"""),14.2)</f>
        <v>14.2</v>
      </c>
      <c r="F1339" s="2">
        <f>IFERROR(__xludf.DUMMYFUNCTION("""COMPUTED_VALUE"""),1.4900047E7)</f>
        <v>14900047</v>
      </c>
    </row>
    <row r="1340">
      <c r="A1340" s="3">
        <f>IFERROR(__xludf.DUMMYFUNCTION("""COMPUTED_VALUE"""),42298.66666666667)</f>
        <v>42298.66667</v>
      </c>
      <c r="B1340" s="2">
        <f>IFERROR(__xludf.DUMMYFUNCTION("""COMPUTED_VALUE"""),14.13)</f>
        <v>14.13</v>
      </c>
      <c r="C1340" s="2">
        <f>IFERROR(__xludf.DUMMYFUNCTION("""COMPUTED_VALUE"""),14.32)</f>
        <v>14.32</v>
      </c>
      <c r="D1340" s="2">
        <f>IFERROR(__xludf.DUMMYFUNCTION("""COMPUTED_VALUE"""),13.92)</f>
        <v>13.92</v>
      </c>
      <c r="E1340" s="2">
        <f>IFERROR(__xludf.DUMMYFUNCTION("""COMPUTED_VALUE"""),14.01)</f>
        <v>14.01</v>
      </c>
      <c r="F1340" s="2">
        <f>IFERROR(__xludf.DUMMYFUNCTION("""COMPUTED_VALUE"""),4183471.0)</f>
        <v>4183471</v>
      </c>
    </row>
    <row r="1341">
      <c r="A1341" s="3">
        <f>IFERROR(__xludf.DUMMYFUNCTION("""COMPUTED_VALUE"""),42299.66666666667)</f>
        <v>42299.66667</v>
      </c>
      <c r="B1341" s="2">
        <f>IFERROR(__xludf.DUMMYFUNCTION("""COMPUTED_VALUE"""),14.1)</f>
        <v>14.1</v>
      </c>
      <c r="C1341" s="2">
        <f>IFERROR(__xludf.DUMMYFUNCTION("""COMPUTED_VALUE"""),14.38)</f>
        <v>14.38</v>
      </c>
      <c r="D1341" s="2">
        <f>IFERROR(__xludf.DUMMYFUNCTION("""COMPUTED_VALUE"""),13.96)</f>
        <v>13.96</v>
      </c>
      <c r="E1341" s="2">
        <f>IFERROR(__xludf.DUMMYFUNCTION("""COMPUTED_VALUE"""),14.11)</f>
        <v>14.11</v>
      </c>
      <c r="F1341" s="2">
        <f>IFERROR(__xludf.DUMMYFUNCTION("""COMPUTED_VALUE"""),2825159.0)</f>
        <v>2825159</v>
      </c>
    </row>
    <row r="1342">
      <c r="A1342" s="3">
        <f>IFERROR(__xludf.DUMMYFUNCTION("""COMPUTED_VALUE"""),42300.66666666667)</f>
        <v>42300.66667</v>
      </c>
      <c r="B1342" s="2">
        <f>IFERROR(__xludf.DUMMYFUNCTION("""COMPUTED_VALUE"""),14.33)</f>
        <v>14.33</v>
      </c>
      <c r="C1342" s="2">
        <f>IFERROR(__xludf.DUMMYFUNCTION("""COMPUTED_VALUE"""),14.36)</f>
        <v>14.36</v>
      </c>
      <c r="D1342" s="2">
        <f>IFERROR(__xludf.DUMMYFUNCTION("""COMPUTED_VALUE"""),13.85)</f>
        <v>13.85</v>
      </c>
      <c r="E1342" s="2">
        <f>IFERROR(__xludf.DUMMYFUNCTION("""COMPUTED_VALUE"""),13.94)</f>
        <v>13.94</v>
      </c>
      <c r="F1342" s="2">
        <f>IFERROR(__xludf.DUMMYFUNCTION("""COMPUTED_VALUE"""),4235462.0)</f>
        <v>4235462</v>
      </c>
    </row>
    <row r="1343">
      <c r="A1343" s="3">
        <f>IFERROR(__xludf.DUMMYFUNCTION("""COMPUTED_VALUE"""),42303.66666666667)</f>
        <v>42303.66667</v>
      </c>
      <c r="B1343" s="2">
        <f>IFERROR(__xludf.DUMMYFUNCTION("""COMPUTED_VALUE"""),14.09)</f>
        <v>14.09</v>
      </c>
      <c r="C1343" s="2">
        <f>IFERROR(__xludf.DUMMYFUNCTION("""COMPUTED_VALUE"""),14.39)</f>
        <v>14.39</v>
      </c>
      <c r="D1343" s="2">
        <f>IFERROR(__xludf.DUMMYFUNCTION("""COMPUTED_VALUE"""),14.0)</f>
        <v>14</v>
      </c>
      <c r="E1343" s="2">
        <f>IFERROR(__xludf.DUMMYFUNCTION("""COMPUTED_VALUE"""),14.35)</f>
        <v>14.35</v>
      </c>
      <c r="F1343" s="2">
        <f>IFERROR(__xludf.DUMMYFUNCTION("""COMPUTED_VALUE"""),3391438.0)</f>
        <v>3391438</v>
      </c>
    </row>
    <row r="1344">
      <c r="A1344" s="3">
        <f>IFERROR(__xludf.DUMMYFUNCTION("""COMPUTED_VALUE"""),42304.66666666667)</f>
        <v>42304.66667</v>
      </c>
      <c r="B1344" s="2">
        <f>IFERROR(__xludf.DUMMYFUNCTION("""COMPUTED_VALUE"""),14.32)</f>
        <v>14.32</v>
      </c>
      <c r="C1344" s="2">
        <f>IFERROR(__xludf.DUMMYFUNCTION("""COMPUTED_VALUE"""),14.47)</f>
        <v>14.47</v>
      </c>
      <c r="D1344" s="2">
        <f>IFERROR(__xludf.DUMMYFUNCTION("""COMPUTED_VALUE"""),13.83)</f>
        <v>13.83</v>
      </c>
      <c r="E1344" s="2">
        <f>IFERROR(__xludf.DUMMYFUNCTION("""COMPUTED_VALUE"""),14.02)</f>
        <v>14.02</v>
      </c>
      <c r="F1344" s="2">
        <f>IFERROR(__xludf.DUMMYFUNCTION("""COMPUTED_VALUE"""),3519449.0)</f>
        <v>3519449</v>
      </c>
    </row>
    <row r="1345">
      <c r="A1345" s="3">
        <f>IFERROR(__xludf.DUMMYFUNCTION("""COMPUTED_VALUE"""),42305.66666666667)</f>
        <v>42305.66667</v>
      </c>
      <c r="B1345" s="2">
        <f>IFERROR(__xludf.DUMMYFUNCTION("""COMPUTED_VALUE"""),14.09)</f>
        <v>14.09</v>
      </c>
      <c r="C1345" s="2">
        <f>IFERROR(__xludf.DUMMYFUNCTION("""COMPUTED_VALUE"""),14.23)</f>
        <v>14.23</v>
      </c>
      <c r="D1345" s="2">
        <f>IFERROR(__xludf.DUMMYFUNCTION("""COMPUTED_VALUE"""),13.89)</f>
        <v>13.89</v>
      </c>
      <c r="E1345" s="2">
        <f>IFERROR(__xludf.DUMMYFUNCTION("""COMPUTED_VALUE"""),14.2)</f>
        <v>14.2</v>
      </c>
      <c r="F1345" s="2">
        <f>IFERROR(__xludf.DUMMYFUNCTION("""COMPUTED_VALUE"""),2728593.0)</f>
        <v>2728593</v>
      </c>
    </row>
    <row r="1346">
      <c r="A1346" s="3">
        <f>IFERROR(__xludf.DUMMYFUNCTION("""COMPUTED_VALUE"""),42306.66666666667)</f>
        <v>42306.66667</v>
      </c>
      <c r="B1346" s="2">
        <f>IFERROR(__xludf.DUMMYFUNCTION("""COMPUTED_VALUE"""),14.12)</f>
        <v>14.12</v>
      </c>
      <c r="C1346" s="2">
        <f>IFERROR(__xludf.DUMMYFUNCTION("""COMPUTED_VALUE"""),14.25)</f>
        <v>14.25</v>
      </c>
      <c r="D1346" s="2">
        <f>IFERROR(__xludf.DUMMYFUNCTION("""COMPUTED_VALUE"""),14.04)</f>
        <v>14.04</v>
      </c>
      <c r="E1346" s="2">
        <f>IFERROR(__xludf.DUMMYFUNCTION("""COMPUTED_VALUE"""),14.11)</f>
        <v>14.11</v>
      </c>
      <c r="F1346" s="2">
        <f>IFERROR(__xludf.DUMMYFUNCTION("""COMPUTED_VALUE"""),1805032.0)</f>
        <v>1805032</v>
      </c>
    </row>
    <row r="1347">
      <c r="A1347" s="3">
        <f>IFERROR(__xludf.DUMMYFUNCTION("""COMPUTED_VALUE"""),42307.66666666667)</f>
        <v>42307.66667</v>
      </c>
      <c r="B1347" s="2">
        <f>IFERROR(__xludf.DUMMYFUNCTION("""COMPUTED_VALUE"""),14.03)</f>
        <v>14.03</v>
      </c>
      <c r="C1347" s="2">
        <f>IFERROR(__xludf.DUMMYFUNCTION("""COMPUTED_VALUE"""),14.11)</f>
        <v>14.11</v>
      </c>
      <c r="D1347" s="2">
        <f>IFERROR(__xludf.DUMMYFUNCTION("""COMPUTED_VALUE"""),13.59)</f>
        <v>13.59</v>
      </c>
      <c r="E1347" s="2">
        <f>IFERROR(__xludf.DUMMYFUNCTION("""COMPUTED_VALUE"""),13.8)</f>
        <v>13.8</v>
      </c>
      <c r="F1347" s="2">
        <f>IFERROR(__xludf.DUMMYFUNCTION("""COMPUTED_VALUE"""),4438901.0)</f>
        <v>4438901</v>
      </c>
    </row>
    <row r="1348">
      <c r="A1348" s="3">
        <f>IFERROR(__xludf.DUMMYFUNCTION("""COMPUTED_VALUE"""),42310.66666666667)</f>
        <v>42310.66667</v>
      </c>
      <c r="B1348" s="2">
        <f>IFERROR(__xludf.DUMMYFUNCTION("""COMPUTED_VALUE"""),13.93)</f>
        <v>13.93</v>
      </c>
      <c r="C1348" s="2">
        <f>IFERROR(__xludf.DUMMYFUNCTION("""COMPUTED_VALUE"""),14.39)</f>
        <v>14.39</v>
      </c>
      <c r="D1348" s="2">
        <f>IFERROR(__xludf.DUMMYFUNCTION("""COMPUTED_VALUE"""),13.81)</f>
        <v>13.81</v>
      </c>
      <c r="E1348" s="2">
        <f>IFERROR(__xludf.DUMMYFUNCTION("""COMPUTED_VALUE"""),14.25)</f>
        <v>14.25</v>
      </c>
      <c r="F1348" s="2">
        <f>IFERROR(__xludf.DUMMYFUNCTION("""COMPUTED_VALUE"""),3927944.0)</f>
        <v>3927944</v>
      </c>
    </row>
    <row r="1349">
      <c r="A1349" s="3">
        <f>IFERROR(__xludf.DUMMYFUNCTION("""COMPUTED_VALUE"""),42311.66666666667)</f>
        <v>42311.66667</v>
      </c>
      <c r="B1349" s="2">
        <f>IFERROR(__xludf.DUMMYFUNCTION("""COMPUTED_VALUE"""),14.26)</f>
        <v>14.26</v>
      </c>
      <c r="C1349" s="2">
        <f>IFERROR(__xludf.DUMMYFUNCTION("""COMPUTED_VALUE"""),14.3)</f>
        <v>14.3</v>
      </c>
      <c r="D1349" s="2">
        <f>IFERROR(__xludf.DUMMYFUNCTION("""COMPUTED_VALUE"""),13.85)</f>
        <v>13.85</v>
      </c>
      <c r="E1349" s="2">
        <f>IFERROR(__xludf.DUMMYFUNCTION("""COMPUTED_VALUE"""),13.89)</f>
        <v>13.89</v>
      </c>
      <c r="F1349" s="2">
        <f>IFERROR(__xludf.DUMMYFUNCTION("""COMPUTED_VALUE"""),8332486.0)</f>
        <v>8332486</v>
      </c>
    </row>
    <row r="1350">
      <c r="A1350" s="3">
        <f>IFERROR(__xludf.DUMMYFUNCTION("""COMPUTED_VALUE"""),42312.66666666667)</f>
        <v>42312.66667</v>
      </c>
      <c r="B1350" s="2">
        <f>IFERROR(__xludf.DUMMYFUNCTION("""COMPUTED_VALUE"""),15.13)</f>
        <v>15.13</v>
      </c>
      <c r="C1350" s="2">
        <f>IFERROR(__xludf.DUMMYFUNCTION("""COMPUTED_VALUE"""),15.52)</f>
        <v>15.52</v>
      </c>
      <c r="D1350" s="2">
        <f>IFERROR(__xludf.DUMMYFUNCTION("""COMPUTED_VALUE"""),15.01)</f>
        <v>15.01</v>
      </c>
      <c r="E1350" s="2">
        <f>IFERROR(__xludf.DUMMYFUNCTION("""COMPUTED_VALUE"""),15.44)</f>
        <v>15.44</v>
      </c>
      <c r="F1350" s="2">
        <f>IFERROR(__xludf.DUMMYFUNCTION("""COMPUTED_VALUE"""),1.2726366E7)</f>
        <v>12726366</v>
      </c>
    </row>
    <row r="1351">
      <c r="A1351" s="3">
        <f>IFERROR(__xludf.DUMMYFUNCTION("""COMPUTED_VALUE"""),42313.66666666667)</f>
        <v>42313.66667</v>
      </c>
      <c r="B1351" s="2">
        <f>IFERROR(__xludf.DUMMYFUNCTION("""COMPUTED_VALUE"""),15.37)</f>
        <v>15.37</v>
      </c>
      <c r="C1351" s="2">
        <f>IFERROR(__xludf.DUMMYFUNCTION("""COMPUTED_VALUE"""),15.64)</f>
        <v>15.64</v>
      </c>
      <c r="D1351" s="2">
        <f>IFERROR(__xludf.DUMMYFUNCTION("""COMPUTED_VALUE"""),15.28)</f>
        <v>15.28</v>
      </c>
      <c r="E1351" s="2">
        <f>IFERROR(__xludf.DUMMYFUNCTION("""COMPUTED_VALUE"""),15.45)</f>
        <v>15.45</v>
      </c>
      <c r="F1351" s="2">
        <f>IFERROR(__xludf.DUMMYFUNCTION("""COMPUTED_VALUE"""),4496843.0)</f>
        <v>4496843</v>
      </c>
    </row>
    <row r="1352">
      <c r="A1352" s="3">
        <f>IFERROR(__xludf.DUMMYFUNCTION("""COMPUTED_VALUE"""),42314.66666666667)</f>
        <v>42314.66667</v>
      </c>
      <c r="B1352" s="2">
        <f>IFERROR(__xludf.DUMMYFUNCTION("""COMPUTED_VALUE"""),15.38)</f>
        <v>15.38</v>
      </c>
      <c r="C1352" s="2">
        <f>IFERROR(__xludf.DUMMYFUNCTION("""COMPUTED_VALUE"""),15.56)</f>
        <v>15.56</v>
      </c>
      <c r="D1352" s="2">
        <f>IFERROR(__xludf.DUMMYFUNCTION("""COMPUTED_VALUE"""),15.3)</f>
        <v>15.3</v>
      </c>
      <c r="E1352" s="2">
        <f>IFERROR(__xludf.DUMMYFUNCTION("""COMPUTED_VALUE"""),15.49)</f>
        <v>15.49</v>
      </c>
      <c r="F1352" s="2">
        <f>IFERROR(__xludf.DUMMYFUNCTION("""COMPUTED_VALUE"""),2445293.0)</f>
        <v>2445293</v>
      </c>
    </row>
    <row r="1353">
      <c r="A1353" s="3">
        <f>IFERROR(__xludf.DUMMYFUNCTION("""COMPUTED_VALUE"""),42317.66666666667)</f>
        <v>42317.66667</v>
      </c>
      <c r="B1353" s="2">
        <f>IFERROR(__xludf.DUMMYFUNCTION("""COMPUTED_VALUE"""),15.53)</f>
        <v>15.53</v>
      </c>
      <c r="C1353" s="2">
        <f>IFERROR(__xludf.DUMMYFUNCTION("""COMPUTED_VALUE"""),15.53)</f>
        <v>15.53</v>
      </c>
      <c r="D1353" s="2">
        <f>IFERROR(__xludf.DUMMYFUNCTION("""COMPUTED_VALUE"""),14.95)</f>
        <v>14.95</v>
      </c>
      <c r="E1353" s="2">
        <f>IFERROR(__xludf.DUMMYFUNCTION("""COMPUTED_VALUE"""),15.02)</f>
        <v>15.02</v>
      </c>
      <c r="F1353" s="2">
        <f>IFERROR(__xludf.DUMMYFUNCTION("""COMPUTED_VALUE"""),3850860.0)</f>
        <v>3850860</v>
      </c>
    </row>
    <row r="1354">
      <c r="A1354" s="3">
        <f>IFERROR(__xludf.DUMMYFUNCTION("""COMPUTED_VALUE"""),42318.66666666667)</f>
        <v>42318.66667</v>
      </c>
      <c r="B1354" s="2">
        <f>IFERROR(__xludf.DUMMYFUNCTION("""COMPUTED_VALUE"""),14.9)</f>
        <v>14.9</v>
      </c>
      <c r="C1354" s="2">
        <f>IFERROR(__xludf.DUMMYFUNCTION("""COMPUTED_VALUE"""),14.91)</f>
        <v>14.91</v>
      </c>
      <c r="D1354" s="2">
        <f>IFERROR(__xludf.DUMMYFUNCTION("""COMPUTED_VALUE"""),14.41)</f>
        <v>14.41</v>
      </c>
      <c r="E1354" s="2">
        <f>IFERROR(__xludf.DUMMYFUNCTION("""COMPUTED_VALUE"""),14.43)</f>
        <v>14.43</v>
      </c>
      <c r="F1354" s="2">
        <f>IFERROR(__xludf.DUMMYFUNCTION("""COMPUTED_VALUE"""),4617007.0)</f>
        <v>4617007</v>
      </c>
    </row>
    <row r="1355">
      <c r="A1355" s="3">
        <f>IFERROR(__xludf.DUMMYFUNCTION("""COMPUTED_VALUE"""),42319.66666666667)</f>
        <v>42319.66667</v>
      </c>
      <c r="B1355" s="2">
        <f>IFERROR(__xludf.DUMMYFUNCTION("""COMPUTED_VALUE"""),14.52)</f>
        <v>14.52</v>
      </c>
      <c r="C1355" s="2">
        <f>IFERROR(__xludf.DUMMYFUNCTION("""COMPUTED_VALUE"""),14.63)</f>
        <v>14.63</v>
      </c>
      <c r="D1355" s="2">
        <f>IFERROR(__xludf.DUMMYFUNCTION("""COMPUTED_VALUE"""),14.24)</f>
        <v>14.24</v>
      </c>
      <c r="E1355" s="2">
        <f>IFERROR(__xludf.DUMMYFUNCTION("""COMPUTED_VALUE"""),14.61)</f>
        <v>14.61</v>
      </c>
      <c r="F1355" s="2">
        <f>IFERROR(__xludf.DUMMYFUNCTION("""COMPUTED_VALUE"""),3347806.0)</f>
        <v>3347806</v>
      </c>
    </row>
    <row r="1356">
      <c r="A1356" s="3">
        <f>IFERROR(__xludf.DUMMYFUNCTION("""COMPUTED_VALUE"""),42320.66666666667)</f>
        <v>42320.66667</v>
      </c>
      <c r="B1356" s="2">
        <f>IFERROR(__xludf.DUMMYFUNCTION("""COMPUTED_VALUE"""),14.52)</f>
        <v>14.52</v>
      </c>
      <c r="C1356" s="2">
        <f>IFERROR(__xludf.DUMMYFUNCTION("""COMPUTED_VALUE"""),14.6)</f>
        <v>14.6</v>
      </c>
      <c r="D1356" s="2">
        <f>IFERROR(__xludf.DUMMYFUNCTION("""COMPUTED_VALUE"""),14.18)</f>
        <v>14.18</v>
      </c>
      <c r="E1356" s="2">
        <f>IFERROR(__xludf.DUMMYFUNCTION("""COMPUTED_VALUE"""),14.2)</f>
        <v>14.2</v>
      </c>
      <c r="F1356" s="2">
        <f>IFERROR(__xludf.DUMMYFUNCTION("""COMPUTED_VALUE"""),2915900.0)</f>
        <v>2915900</v>
      </c>
    </row>
    <row r="1357">
      <c r="A1357" s="3">
        <f>IFERROR(__xludf.DUMMYFUNCTION("""COMPUTED_VALUE"""),42321.66666666667)</f>
        <v>42321.66667</v>
      </c>
      <c r="B1357" s="2">
        <f>IFERROR(__xludf.DUMMYFUNCTION("""COMPUTED_VALUE"""),14.2)</f>
        <v>14.2</v>
      </c>
      <c r="C1357" s="2">
        <f>IFERROR(__xludf.DUMMYFUNCTION("""COMPUTED_VALUE"""),14.2)</f>
        <v>14.2</v>
      </c>
      <c r="D1357" s="2">
        <f>IFERROR(__xludf.DUMMYFUNCTION("""COMPUTED_VALUE"""),13.77)</f>
        <v>13.77</v>
      </c>
      <c r="E1357" s="2">
        <f>IFERROR(__xludf.DUMMYFUNCTION("""COMPUTED_VALUE"""),13.81)</f>
        <v>13.81</v>
      </c>
      <c r="F1357" s="2">
        <f>IFERROR(__xludf.DUMMYFUNCTION("""COMPUTED_VALUE"""),3430327.0)</f>
        <v>3430327</v>
      </c>
    </row>
    <row r="1358">
      <c r="A1358" s="3">
        <f>IFERROR(__xludf.DUMMYFUNCTION("""COMPUTED_VALUE"""),42324.66666666667)</f>
        <v>42324.66667</v>
      </c>
      <c r="B1358" s="2">
        <f>IFERROR(__xludf.DUMMYFUNCTION("""COMPUTED_VALUE"""),13.74)</f>
        <v>13.74</v>
      </c>
      <c r="C1358" s="2">
        <f>IFERROR(__xludf.DUMMYFUNCTION("""COMPUTED_VALUE"""),14.33)</f>
        <v>14.33</v>
      </c>
      <c r="D1358" s="2">
        <f>IFERROR(__xludf.DUMMYFUNCTION("""COMPUTED_VALUE"""),13.72)</f>
        <v>13.72</v>
      </c>
      <c r="E1358" s="2">
        <f>IFERROR(__xludf.DUMMYFUNCTION("""COMPUTED_VALUE"""),14.29)</f>
        <v>14.29</v>
      </c>
      <c r="F1358" s="2">
        <f>IFERROR(__xludf.DUMMYFUNCTION("""COMPUTED_VALUE"""),2925395.0)</f>
        <v>2925395</v>
      </c>
    </row>
    <row r="1359">
      <c r="A1359" s="3">
        <f>IFERROR(__xludf.DUMMYFUNCTION("""COMPUTED_VALUE"""),42325.66666666667)</f>
        <v>42325.66667</v>
      </c>
      <c r="B1359" s="2">
        <f>IFERROR(__xludf.DUMMYFUNCTION("""COMPUTED_VALUE"""),14.35)</f>
        <v>14.35</v>
      </c>
      <c r="C1359" s="2">
        <f>IFERROR(__xludf.DUMMYFUNCTION("""COMPUTED_VALUE"""),14.4)</f>
        <v>14.4</v>
      </c>
      <c r="D1359" s="2">
        <f>IFERROR(__xludf.DUMMYFUNCTION("""COMPUTED_VALUE"""),14.09)</f>
        <v>14.09</v>
      </c>
      <c r="E1359" s="2">
        <f>IFERROR(__xludf.DUMMYFUNCTION("""COMPUTED_VALUE"""),14.27)</f>
        <v>14.27</v>
      </c>
      <c r="F1359" s="2">
        <f>IFERROR(__xludf.DUMMYFUNCTION("""COMPUTED_VALUE"""),2148679.0)</f>
        <v>2148679</v>
      </c>
    </row>
    <row r="1360">
      <c r="A1360" s="3">
        <f>IFERROR(__xludf.DUMMYFUNCTION("""COMPUTED_VALUE"""),42326.66666666667)</f>
        <v>42326.66667</v>
      </c>
      <c r="B1360" s="2">
        <f>IFERROR(__xludf.DUMMYFUNCTION("""COMPUTED_VALUE"""),14.3)</f>
        <v>14.3</v>
      </c>
      <c r="C1360" s="2">
        <f>IFERROR(__xludf.DUMMYFUNCTION("""COMPUTED_VALUE"""),14.76)</f>
        <v>14.76</v>
      </c>
      <c r="D1360" s="2">
        <f>IFERROR(__xludf.DUMMYFUNCTION("""COMPUTED_VALUE"""),14.17)</f>
        <v>14.17</v>
      </c>
      <c r="E1360" s="2">
        <f>IFERROR(__xludf.DUMMYFUNCTION("""COMPUTED_VALUE"""),14.74)</f>
        <v>14.74</v>
      </c>
      <c r="F1360" s="2">
        <f>IFERROR(__xludf.DUMMYFUNCTION("""COMPUTED_VALUE"""),2811900.0)</f>
        <v>2811900</v>
      </c>
    </row>
    <row r="1361">
      <c r="A1361" s="3">
        <f>IFERROR(__xludf.DUMMYFUNCTION("""COMPUTED_VALUE"""),42327.66666666667)</f>
        <v>42327.66667</v>
      </c>
      <c r="B1361" s="2">
        <f>IFERROR(__xludf.DUMMYFUNCTION("""COMPUTED_VALUE"""),14.7)</f>
        <v>14.7</v>
      </c>
      <c r="C1361" s="2">
        <f>IFERROR(__xludf.DUMMYFUNCTION("""COMPUTED_VALUE"""),15.08)</f>
        <v>15.08</v>
      </c>
      <c r="D1361" s="2">
        <f>IFERROR(__xludf.DUMMYFUNCTION("""COMPUTED_VALUE"""),14.69)</f>
        <v>14.69</v>
      </c>
      <c r="E1361" s="2">
        <f>IFERROR(__xludf.DUMMYFUNCTION("""COMPUTED_VALUE"""),14.79)</f>
        <v>14.79</v>
      </c>
      <c r="F1361" s="2">
        <f>IFERROR(__xludf.DUMMYFUNCTION("""COMPUTED_VALUE"""),2504375.0)</f>
        <v>2504375</v>
      </c>
    </row>
    <row r="1362">
      <c r="A1362" s="3">
        <f>IFERROR(__xludf.DUMMYFUNCTION("""COMPUTED_VALUE"""),42328.66666666667)</f>
        <v>42328.66667</v>
      </c>
      <c r="B1362" s="2">
        <f>IFERROR(__xludf.DUMMYFUNCTION("""COMPUTED_VALUE"""),14.9)</f>
        <v>14.9</v>
      </c>
      <c r="C1362" s="2">
        <f>IFERROR(__xludf.DUMMYFUNCTION("""COMPUTED_VALUE"""),15.0)</f>
        <v>15</v>
      </c>
      <c r="D1362" s="2">
        <f>IFERROR(__xludf.DUMMYFUNCTION("""COMPUTED_VALUE"""),14.24)</f>
        <v>14.24</v>
      </c>
      <c r="E1362" s="2">
        <f>IFERROR(__xludf.DUMMYFUNCTION("""COMPUTED_VALUE"""),14.67)</f>
        <v>14.67</v>
      </c>
      <c r="F1362" s="2">
        <f>IFERROR(__xludf.DUMMYFUNCTION("""COMPUTED_VALUE"""),4400722.0)</f>
        <v>4400722</v>
      </c>
    </row>
    <row r="1363">
      <c r="A1363" s="3">
        <f>IFERROR(__xludf.DUMMYFUNCTION("""COMPUTED_VALUE"""),42331.66666666667)</f>
        <v>42331.66667</v>
      </c>
      <c r="B1363" s="2">
        <f>IFERROR(__xludf.DUMMYFUNCTION("""COMPUTED_VALUE"""),14.49)</f>
        <v>14.49</v>
      </c>
      <c r="C1363" s="2">
        <f>IFERROR(__xludf.DUMMYFUNCTION("""COMPUTED_VALUE"""),14.61)</f>
        <v>14.61</v>
      </c>
      <c r="D1363" s="2">
        <f>IFERROR(__xludf.DUMMYFUNCTION("""COMPUTED_VALUE"""),14.31)</f>
        <v>14.31</v>
      </c>
      <c r="E1363" s="2">
        <f>IFERROR(__xludf.DUMMYFUNCTION("""COMPUTED_VALUE"""),14.52)</f>
        <v>14.52</v>
      </c>
      <c r="F1363" s="2">
        <f>IFERROR(__xludf.DUMMYFUNCTION("""COMPUTED_VALUE"""),2526199.0)</f>
        <v>2526199</v>
      </c>
    </row>
    <row r="1364">
      <c r="A1364" s="3">
        <f>IFERROR(__xludf.DUMMYFUNCTION("""COMPUTED_VALUE"""),42332.66666666667)</f>
        <v>42332.66667</v>
      </c>
      <c r="B1364" s="2">
        <f>IFERROR(__xludf.DUMMYFUNCTION("""COMPUTED_VALUE"""),14.36)</f>
        <v>14.36</v>
      </c>
      <c r="C1364" s="2">
        <f>IFERROR(__xludf.DUMMYFUNCTION("""COMPUTED_VALUE"""),14.73)</f>
        <v>14.73</v>
      </c>
      <c r="D1364" s="2">
        <f>IFERROR(__xludf.DUMMYFUNCTION("""COMPUTED_VALUE"""),14.33)</f>
        <v>14.33</v>
      </c>
      <c r="E1364" s="2">
        <f>IFERROR(__xludf.DUMMYFUNCTION("""COMPUTED_VALUE"""),14.55)</f>
        <v>14.55</v>
      </c>
      <c r="F1364" s="2">
        <f>IFERROR(__xludf.DUMMYFUNCTION("""COMPUTED_VALUE"""),2480293.0)</f>
        <v>2480293</v>
      </c>
    </row>
    <row r="1365">
      <c r="A1365" s="3">
        <f>IFERROR(__xludf.DUMMYFUNCTION("""COMPUTED_VALUE"""),42333.66666666667)</f>
        <v>42333.66667</v>
      </c>
      <c r="B1365" s="2">
        <f>IFERROR(__xludf.DUMMYFUNCTION("""COMPUTED_VALUE"""),14.76)</f>
        <v>14.76</v>
      </c>
      <c r="C1365" s="2">
        <f>IFERROR(__xludf.DUMMYFUNCTION("""COMPUTED_VALUE"""),15.39)</f>
        <v>15.39</v>
      </c>
      <c r="D1365" s="2">
        <f>IFERROR(__xludf.DUMMYFUNCTION("""COMPUTED_VALUE"""),14.69)</f>
        <v>14.69</v>
      </c>
      <c r="E1365" s="2">
        <f>IFERROR(__xludf.DUMMYFUNCTION("""COMPUTED_VALUE"""),15.31)</f>
        <v>15.31</v>
      </c>
      <c r="F1365" s="2">
        <f>IFERROR(__xludf.DUMMYFUNCTION("""COMPUTED_VALUE"""),3990779.0)</f>
        <v>3990779</v>
      </c>
    </row>
    <row r="1366">
      <c r="A1366" s="3">
        <f>IFERROR(__xludf.DUMMYFUNCTION("""COMPUTED_VALUE"""),42335.66666666667)</f>
        <v>42335.66667</v>
      </c>
      <c r="B1366" s="2">
        <f>IFERROR(__xludf.DUMMYFUNCTION("""COMPUTED_VALUE"""),15.4)</f>
        <v>15.4</v>
      </c>
      <c r="C1366" s="2">
        <f>IFERROR(__xludf.DUMMYFUNCTION("""COMPUTED_VALUE"""),15.48)</f>
        <v>15.48</v>
      </c>
      <c r="D1366" s="2">
        <f>IFERROR(__xludf.DUMMYFUNCTION("""COMPUTED_VALUE"""),15.13)</f>
        <v>15.13</v>
      </c>
      <c r="E1366" s="2">
        <f>IFERROR(__xludf.DUMMYFUNCTION("""COMPUTED_VALUE"""),15.44)</f>
        <v>15.44</v>
      </c>
      <c r="F1366" s="2">
        <f>IFERROR(__xludf.DUMMYFUNCTION("""COMPUTED_VALUE"""),1949353.0)</f>
        <v>1949353</v>
      </c>
    </row>
    <row r="1367">
      <c r="A1367" s="3">
        <f>IFERROR(__xludf.DUMMYFUNCTION("""COMPUTED_VALUE"""),42338.66666666667)</f>
        <v>42338.66667</v>
      </c>
      <c r="B1367" s="2">
        <f>IFERROR(__xludf.DUMMYFUNCTION("""COMPUTED_VALUE"""),15.45)</f>
        <v>15.45</v>
      </c>
      <c r="C1367" s="2">
        <f>IFERROR(__xludf.DUMMYFUNCTION("""COMPUTED_VALUE"""),15.62)</f>
        <v>15.62</v>
      </c>
      <c r="D1367" s="2">
        <f>IFERROR(__xludf.DUMMYFUNCTION("""COMPUTED_VALUE"""),15.27)</f>
        <v>15.27</v>
      </c>
      <c r="E1367" s="2">
        <f>IFERROR(__xludf.DUMMYFUNCTION("""COMPUTED_VALUE"""),15.35)</f>
        <v>15.35</v>
      </c>
      <c r="F1367" s="2">
        <f>IFERROR(__xludf.DUMMYFUNCTION("""COMPUTED_VALUE"""),2659813.0)</f>
        <v>2659813</v>
      </c>
    </row>
    <row r="1368">
      <c r="A1368" s="3">
        <f>IFERROR(__xludf.DUMMYFUNCTION("""COMPUTED_VALUE"""),42339.66666666667)</f>
        <v>42339.66667</v>
      </c>
      <c r="B1368" s="2">
        <f>IFERROR(__xludf.DUMMYFUNCTION("""COMPUTED_VALUE"""),15.4)</f>
        <v>15.4</v>
      </c>
      <c r="C1368" s="2">
        <f>IFERROR(__xludf.DUMMYFUNCTION("""COMPUTED_VALUE"""),15.87)</f>
        <v>15.87</v>
      </c>
      <c r="D1368" s="2">
        <f>IFERROR(__xludf.DUMMYFUNCTION("""COMPUTED_VALUE"""),15.4)</f>
        <v>15.4</v>
      </c>
      <c r="E1368" s="2">
        <f>IFERROR(__xludf.DUMMYFUNCTION("""COMPUTED_VALUE"""),15.81)</f>
        <v>15.81</v>
      </c>
      <c r="F1368" s="2">
        <f>IFERROR(__xludf.DUMMYFUNCTION("""COMPUTED_VALUE"""),3733955.0)</f>
        <v>3733955</v>
      </c>
    </row>
    <row r="1369">
      <c r="A1369" s="3">
        <f>IFERROR(__xludf.DUMMYFUNCTION("""COMPUTED_VALUE"""),42340.66666666667)</f>
        <v>42340.66667</v>
      </c>
      <c r="B1369" s="2">
        <f>IFERROR(__xludf.DUMMYFUNCTION("""COMPUTED_VALUE"""),15.8)</f>
        <v>15.8</v>
      </c>
      <c r="C1369" s="2">
        <f>IFERROR(__xludf.DUMMYFUNCTION("""COMPUTED_VALUE"""),15.91)</f>
        <v>15.91</v>
      </c>
      <c r="D1369" s="2">
        <f>IFERROR(__xludf.DUMMYFUNCTION("""COMPUTED_VALUE"""),15.42)</f>
        <v>15.42</v>
      </c>
      <c r="E1369" s="2">
        <f>IFERROR(__xludf.DUMMYFUNCTION("""COMPUTED_VALUE"""),15.47)</f>
        <v>15.47</v>
      </c>
      <c r="F1369" s="2">
        <f>IFERROR(__xludf.DUMMYFUNCTION("""COMPUTED_VALUE"""),2981468.0)</f>
        <v>2981468</v>
      </c>
    </row>
    <row r="1370">
      <c r="A1370" s="3">
        <f>IFERROR(__xludf.DUMMYFUNCTION("""COMPUTED_VALUE"""),42341.66666666667)</f>
        <v>42341.66667</v>
      </c>
      <c r="B1370" s="2">
        <f>IFERROR(__xludf.DUMMYFUNCTION("""COMPUTED_VALUE"""),15.7)</f>
        <v>15.7</v>
      </c>
      <c r="C1370" s="2">
        <f>IFERROR(__xludf.DUMMYFUNCTION("""COMPUTED_VALUE"""),15.83)</f>
        <v>15.83</v>
      </c>
      <c r="D1370" s="2">
        <f>IFERROR(__xludf.DUMMYFUNCTION("""COMPUTED_VALUE"""),15.33)</f>
        <v>15.33</v>
      </c>
      <c r="E1370" s="2">
        <f>IFERROR(__xludf.DUMMYFUNCTION("""COMPUTED_VALUE"""),15.51)</f>
        <v>15.51</v>
      </c>
      <c r="F1370" s="2">
        <f>IFERROR(__xludf.DUMMYFUNCTION("""COMPUTED_VALUE"""),2939564.0)</f>
        <v>2939564</v>
      </c>
    </row>
    <row r="1371">
      <c r="A1371" s="3">
        <f>IFERROR(__xludf.DUMMYFUNCTION("""COMPUTED_VALUE"""),42342.66666666667)</f>
        <v>42342.66667</v>
      </c>
      <c r="B1371" s="2">
        <f>IFERROR(__xludf.DUMMYFUNCTION("""COMPUTED_VALUE"""),15.5)</f>
        <v>15.5</v>
      </c>
      <c r="C1371" s="2">
        <f>IFERROR(__xludf.DUMMYFUNCTION("""COMPUTED_VALUE"""),15.55)</f>
        <v>15.55</v>
      </c>
      <c r="D1371" s="2">
        <f>IFERROR(__xludf.DUMMYFUNCTION("""COMPUTED_VALUE"""),15.18)</f>
        <v>15.18</v>
      </c>
      <c r="E1371" s="2">
        <f>IFERROR(__xludf.DUMMYFUNCTION("""COMPUTED_VALUE"""),15.36)</f>
        <v>15.36</v>
      </c>
      <c r="F1371" s="2">
        <f>IFERROR(__xludf.DUMMYFUNCTION("""COMPUTED_VALUE"""),2573603.0)</f>
        <v>2573603</v>
      </c>
    </row>
    <row r="1372">
      <c r="A1372" s="3">
        <f>IFERROR(__xludf.DUMMYFUNCTION("""COMPUTED_VALUE"""),42345.66666666667)</f>
        <v>42345.66667</v>
      </c>
      <c r="B1372" s="2">
        <f>IFERROR(__xludf.DUMMYFUNCTION("""COMPUTED_VALUE"""),15.18)</f>
        <v>15.18</v>
      </c>
      <c r="C1372" s="2">
        <f>IFERROR(__xludf.DUMMYFUNCTION("""COMPUTED_VALUE"""),15.71)</f>
        <v>15.71</v>
      </c>
      <c r="D1372" s="2">
        <f>IFERROR(__xludf.DUMMYFUNCTION("""COMPUTED_VALUE"""),15.08)</f>
        <v>15.08</v>
      </c>
      <c r="E1372" s="2">
        <f>IFERROR(__xludf.DUMMYFUNCTION("""COMPUTED_VALUE"""),15.41)</f>
        <v>15.41</v>
      </c>
      <c r="F1372" s="2">
        <f>IFERROR(__xludf.DUMMYFUNCTION("""COMPUTED_VALUE"""),3144223.0)</f>
        <v>3144223</v>
      </c>
    </row>
    <row r="1373">
      <c r="A1373" s="3">
        <f>IFERROR(__xludf.DUMMYFUNCTION("""COMPUTED_VALUE"""),42346.66666666667)</f>
        <v>42346.66667</v>
      </c>
      <c r="B1373" s="2">
        <f>IFERROR(__xludf.DUMMYFUNCTION("""COMPUTED_VALUE"""),15.17)</f>
        <v>15.17</v>
      </c>
      <c r="C1373" s="2">
        <f>IFERROR(__xludf.DUMMYFUNCTION("""COMPUTED_VALUE"""),15.25)</f>
        <v>15.25</v>
      </c>
      <c r="D1373" s="2">
        <f>IFERROR(__xludf.DUMMYFUNCTION("""COMPUTED_VALUE"""),14.95)</f>
        <v>14.95</v>
      </c>
      <c r="E1373" s="2">
        <f>IFERROR(__xludf.DUMMYFUNCTION("""COMPUTED_VALUE"""),15.11)</f>
        <v>15.11</v>
      </c>
      <c r="F1373" s="2">
        <f>IFERROR(__xludf.DUMMYFUNCTION("""COMPUTED_VALUE"""),2687636.0)</f>
        <v>2687636</v>
      </c>
    </row>
    <row r="1374">
      <c r="A1374" s="3">
        <f>IFERROR(__xludf.DUMMYFUNCTION("""COMPUTED_VALUE"""),42347.66666666667)</f>
        <v>42347.66667</v>
      </c>
      <c r="B1374" s="2">
        <f>IFERROR(__xludf.DUMMYFUNCTION("""COMPUTED_VALUE"""),15.11)</f>
        <v>15.11</v>
      </c>
      <c r="C1374" s="2">
        <f>IFERROR(__xludf.DUMMYFUNCTION("""COMPUTED_VALUE"""),15.17)</f>
        <v>15.17</v>
      </c>
      <c r="D1374" s="2">
        <f>IFERROR(__xludf.DUMMYFUNCTION("""COMPUTED_VALUE"""),14.71)</f>
        <v>14.71</v>
      </c>
      <c r="E1374" s="2">
        <f>IFERROR(__xludf.DUMMYFUNCTION("""COMPUTED_VALUE"""),14.97)</f>
        <v>14.97</v>
      </c>
      <c r="F1374" s="2">
        <f>IFERROR(__xludf.DUMMYFUNCTION("""COMPUTED_VALUE"""),3057753.0)</f>
        <v>3057753</v>
      </c>
    </row>
    <row r="1375">
      <c r="A1375" s="3">
        <f>IFERROR(__xludf.DUMMYFUNCTION("""COMPUTED_VALUE"""),42348.66666666667)</f>
        <v>42348.66667</v>
      </c>
      <c r="B1375" s="2">
        <f>IFERROR(__xludf.DUMMYFUNCTION("""COMPUTED_VALUE"""),14.98)</f>
        <v>14.98</v>
      </c>
      <c r="C1375" s="2">
        <f>IFERROR(__xludf.DUMMYFUNCTION("""COMPUTED_VALUE"""),15.23)</f>
        <v>15.23</v>
      </c>
      <c r="D1375" s="2">
        <f>IFERROR(__xludf.DUMMYFUNCTION("""COMPUTED_VALUE"""),14.91)</f>
        <v>14.91</v>
      </c>
      <c r="E1375" s="2">
        <f>IFERROR(__xludf.DUMMYFUNCTION("""COMPUTED_VALUE"""),15.14)</f>
        <v>15.14</v>
      </c>
      <c r="F1375" s="2">
        <f>IFERROR(__xludf.DUMMYFUNCTION("""COMPUTED_VALUE"""),2071692.0)</f>
        <v>2071692</v>
      </c>
    </row>
    <row r="1376">
      <c r="A1376" s="3">
        <f>IFERROR(__xludf.DUMMYFUNCTION("""COMPUTED_VALUE"""),42349.66666666667)</f>
        <v>42349.66667</v>
      </c>
      <c r="B1376" s="2">
        <f>IFERROR(__xludf.DUMMYFUNCTION("""COMPUTED_VALUE"""),15.02)</f>
        <v>15.02</v>
      </c>
      <c r="C1376" s="2">
        <f>IFERROR(__xludf.DUMMYFUNCTION("""COMPUTED_VALUE"""),15.05)</f>
        <v>15.05</v>
      </c>
      <c r="D1376" s="2">
        <f>IFERROR(__xludf.DUMMYFUNCTION("""COMPUTED_VALUE"""),14.44)</f>
        <v>14.44</v>
      </c>
      <c r="E1376" s="2">
        <f>IFERROR(__xludf.DUMMYFUNCTION("""COMPUTED_VALUE"""),14.47)</f>
        <v>14.47</v>
      </c>
      <c r="F1376" s="2">
        <f>IFERROR(__xludf.DUMMYFUNCTION("""COMPUTED_VALUE"""),3268726.0)</f>
        <v>3268726</v>
      </c>
    </row>
    <row r="1377">
      <c r="A1377" s="3">
        <f>IFERROR(__xludf.DUMMYFUNCTION("""COMPUTED_VALUE"""),42352.66666666667)</f>
        <v>42352.66667</v>
      </c>
      <c r="B1377" s="2">
        <f>IFERROR(__xludf.DUMMYFUNCTION("""COMPUTED_VALUE"""),14.5)</f>
        <v>14.5</v>
      </c>
      <c r="C1377" s="2">
        <f>IFERROR(__xludf.DUMMYFUNCTION("""COMPUTED_VALUE"""),14.73)</f>
        <v>14.73</v>
      </c>
      <c r="D1377" s="2">
        <f>IFERROR(__xludf.DUMMYFUNCTION("""COMPUTED_VALUE"""),14.32)</f>
        <v>14.32</v>
      </c>
      <c r="E1377" s="2">
        <f>IFERROR(__xludf.DUMMYFUNCTION("""COMPUTED_VALUE"""),14.57)</f>
        <v>14.57</v>
      </c>
      <c r="F1377" s="2">
        <f>IFERROR(__xludf.DUMMYFUNCTION("""COMPUTED_VALUE"""),2831518.0)</f>
        <v>2831518</v>
      </c>
    </row>
    <row r="1378">
      <c r="A1378" s="3">
        <f>IFERROR(__xludf.DUMMYFUNCTION("""COMPUTED_VALUE"""),42353.66666666667)</f>
        <v>42353.66667</v>
      </c>
      <c r="B1378" s="2">
        <f>IFERROR(__xludf.DUMMYFUNCTION("""COMPUTED_VALUE"""),14.79)</f>
        <v>14.79</v>
      </c>
      <c r="C1378" s="2">
        <f>IFERROR(__xludf.DUMMYFUNCTION("""COMPUTED_VALUE"""),14.81)</f>
        <v>14.81</v>
      </c>
      <c r="D1378" s="2">
        <f>IFERROR(__xludf.DUMMYFUNCTION("""COMPUTED_VALUE"""),14.53)</f>
        <v>14.53</v>
      </c>
      <c r="E1378" s="2">
        <f>IFERROR(__xludf.DUMMYFUNCTION("""COMPUTED_VALUE"""),14.74)</f>
        <v>14.74</v>
      </c>
      <c r="F1378" s="2">
        <f>IFERROR(__xludf.DUMMYFUNCTION("""COMPUTED_VALUE"""),2244424.0)</f>
        <v>2244424</v>
      </c>
    </row>
    <row r="1379">
      <c r="A1379" s="3">
        <f>IFERROR(__xludf.DUMMYFUNCTION("""COMPUTED_VALUE"""),42354.66666666667)</f>
        <v>42354.66667</v>
      </c>
      <c r="B1379" s="2">
        <f>IFERROR(__xludf.DUMMYFUNCTION("""COMPUTED_VALUE"""),14.81)</f>
        <v>14.81</v>
      </c>
      <c r="C1379" s="2">
        <f>IFERROR(__xludf.DUMMYFUNCTION("""COMPUTED_VALUE"""),15.66)</f>
        <v>15.66</v>
      </c>
      <c r="D1379" s="2">
        <f>IFERROR(__xludf.DUMMYFUNCTION("""COMPUTED_VALUE"""),14.72)</f>
        <v>14.72</v>
      </c>
      <c r="E1379" s="2">
        <f>IFERROR(__xludf.DUMMYFUNCTION("""COMPUTED_VALUE"""),15.63)</f>
        <v>15.63</v>
      </c>
      <c r="F1379" s="2">
        <f>IFERROR(__xludf.DUMMYFUNCTION("""COMPUTED_VALUE"""),5104341.0)</f>
        <v>5104341</v>
      </c>
    </row>
    <row r="1380">
      <c r="A1380" s="3">
        <f>IFERROR(__xludf.DUMMYFUNCTION("""COMPUTED_VALUE"""),42355.66666666667)</f>
        <v>42355.66667</v>
      </c>
      <c r="B1380" s="2">
        <f>IFERROR(__xludf.DUMMYFUNCTION("""COMPUTED_VALUE"""),15.6)</f>
        <v>15.6</v>
      </c>
      <c r="C1380" s="2">
        <f>IFERROR(__xludf.DUMMYFUNCTION("""COMPUTED_VALUE"""),15.85)</f>
        <v>15.85</v>
      </c>
      <c r="D1380" s="2">
        <f>IFERROR(__xludf.DUMMYFUNCTION("""COMPUTED_VALUE"""),15.32)</f>
        <v>15.32</v>
      </c>
      <c r="E1380" s="2">
        <f>IFERROR(__xludf.DUMMYFUNCTION("""COMPUTED_VALUE"""),15.56)</f>
        <v>15.56</v>
      </c>
      <c r="F1380" s="2">
        <f>IFERROR(__xludf.DUMMYFUNCTION("""COMPUTED_VALUE"""),3298638.0)</f>
        <v>3298638</v>
      </c>
    </row>
    <row r="1381">
      <c r="A1381" s="3">
        <f>IFERROR(__xludf.DUMMYFUNCTION("""COMPUTED_VALUE"""),42356.66666666667)</f>
        <v>42356.66667</v>
      </c>
      <c r="B1381" s="2">
        <f>IFERROR(__xludf.DUMMYFUNCTION("""COMPUTED_VALUE"""),15.53)</f>
        <v>15.53</v>
      </c>
      <c r="C1381" s="2">
        <f>IFERROR(__xludf.DUMMYFUNCTION("""COMPUTED_VALUE"""),15.73)</f>
        <v>15.73</v>
      </c>
      <c r="D1381" s="2">
        <f>IFERROR(__xludf.DUMMYFUNCTION("""COMPUTED_VALUE"""),15.29)</f>
        <v>15.29</v>
      </c>
      <c r="E1381" s="2">
        <f>IFERROR(__xludf.DUMMYFUNCTION("""COMPUTED_VALUE"""),15.36)</f>
        <v>15.36</v>
      </c>
      <c r="F1381" s="2">
        <f>IFERROR(__xludf.DUMMYFUNCTION("""COMPUTED_VALUE"""),3014170.0)</f>
        <v>3014170</v>
      </c>
    </row>
    <row r="1382">
      <c r="A1382" s="3">
        <f>IFERROR(__xludf.DUMMYFUNCTION("""COMPUTED_VALUE"""),42359.66666666667)</f>
        <v>42359.66667</v>
      </c>
      <c r="B1382" s="2">
        <f>IFERROR(__xludf.DUMMYFUNCTION("""COMPUTED_VALUE"""),15.45)</f>
        <v>15.45</v>
      </c>
      <c r="C1382" s="2">
        <f>IFERROR(__xludf.DUMMYFUNCTION("""COMPUTED_VALUE"""),15.72)</f>
        <v>15.72</v>
      </c>
      <c r="D1382" s="2">
        <f>IFERROR(__xludf.DUMMYFUNCTION("""COMPUTED_VALUE"""),15.41)</f>
        <v>15.41</v>
      </c>
      <c r="E1382" s="2">
        <f>IFERROR(__xludf.DUMMYFUNCTION("""COMPUTED_VALUE"""),15.5)</f>
        <v>15.5</v>
      </c>
      <c r="F1382" s="2">
        <f>IFERROR(__xludf.DUMMYFUNCTION("""COMPUTED_VALUE"""),1953174.0)</f>
        <v>1953174</v>
      </c>
    </row>
    <row r="1383">
      <c r="A1383" s="3">
        <f>IFERROR(__xludf.DUMMYFUNCTION("""COMPUTED_VALUE"""),42360.66666666667)</f>
        <v>42360.66667</v>
      </c>
      <c r="B1383" s="2">
        <f>IFERROR(__xludf.DUMMYFUNCTION("""COMPUTED_VALUE"""),15.67)</f>
        <v>15.67</v>
      </c>
      <c r="C1383" s="2">
        <f>IFERROR(__xludf.DUMMYFUNCTION("""COMPUTED_VALUE"""),15.77)</f>
        <v>15.77</v>
      </c>
      <c r="D1383" s="2">
        <f>IFERROR(__xludf.DUMMYFUNCTION("""COMPUTED_VALUE"""),15.31)</f>
        <v>15.31</v>
      </c>
      <c r="E1383" s="2">
        <f>IFERROR(__xludf.DUMMYFUNCTION("""COMPUTED_VALUE"""),15.33)</f>
        <v>15.33</v>
      </c>
      <c r="F1383" s="2">
        <f>IFERROR(__xludf.DUMMYFUNCTION("""COMPUTED_VALUE"""),1961495.0)</f>
        <v>1961495</v>
      </c>
    </row>
    <row r="1384">
      <c r="A1384" s="3">
        <f>IFERROR(__xludf.DUMMYFUNCTION("""COMPUTED_VALUE"""),42361.66666666667)</f>
        <v>42361.66667</v>
      </c>
      <c r="B1384" s="2">
        <f>IFERROR(__xludf.DUMMYFUNCTION("""COMPUTED_VALUE"""),15.48)</f>
        <v>15.48</v>
      </c>
      <c r="C1384" s="2">
        <f>IFERROR(__xludf.DUMMYFUNCTION("""COMPUTED_VALUE"""),15.56)</f>
        <v>15.56</v>
      </c>
      <c r="D1384" s="2">
        <f>IFERROR(__xludf.DUMMYFUNCTION("""COMPUTED_VALUE"""),15.21)</f>
        <v>15.21</v>
      </c>
      <c r="E1384" s="2">
        <f>IFERROR(__xludf.DUMMYFUNCTION("""COMPUTED_VALUE"""),15.31)</f>
        <v>15.31</v>
      </c>
      <c r="F1384" s="2">
        <f>IFERROR(__xludf.DUMMYFUNCTION("""COMPUTED_VALUE"""),1554979.0)</f>
        <v>1554979</v>
      </c>
    </row>
    <row r="1385">
      <c r="A1385" s="3">
        <f>IFERROR(__xludf.DUMMYFUNCTION("""COMPUTED_VALUE"""),42362.66666666667)</f>
        <v>42362.66667</v>
      </c>
      <c r="B1385" s="2">
        <f>IFERROR(__xludf.DUMMYFUNCTION("""COMPUTED_VALUE"""),15.37)</f>
        <v>15.37</v>
      </c>
      <c r="C1385" s="2">
        <f>IFERROR(__xludf.DUMMYFUNCTION("""COMPUTED_VALUE"""),15.46)</f>
        <v>15.46</v>
      </c>
      <c r="D1385" s="2">
        <f>IFERROR(__xludf.DUMMYFUNCTION("""COMPUTED_VALUE"""),15.22)</f>
        <v>15.22</v>
      </c>
      <c r="E1385" s="2">
        <f>IFERROR(__xludf.DUMMYFUNCTION("""COMPUTED_VALUE"""),15.37)</f>
        <v>15.37</v>
      </c>
      <c r="F1385" s="2">
        <f>IFERROR(__xludf.DUMMYFUNCTION("""COMPUTED_VALUE"""),710277.0)</f>
        <v>710277</v>
      </c>
    </row>
    <row r="1386">
      <c r="A1386" s="3">
        <f>IFERROR(__xludf.DUMMYFUNCTION("""COMPUTED_VALUE"""),42366.66666666667)</f>
        <v>42366.66667</v>
      </c>
      <c r="B1386" s="2">
        <f>IFERROR(__xludf.DUMMYFUNCTION("""COMPUTED_VALUE"""),15.43)</f>
        <v>15.43</v>
      </c>
      <c r="C1386" s="2">
        <f>IFERROR(__xludf.DUMMYFUNCTION("""COMPUTED_VALUE"""),15.47)</f>
        <v>15.47</v>
      </c>
      <c r="D1386" s="2">
        <f>IFERROR(__xludf.DUMMYFUNCTION("""COMPUTED_VALUE"""),15.04)</f>
        <v>15.04</v>
      </c>
      <c r="E1386" s="2">
        <f>IFERROR(__xludf.DUMMYFUNCTION("""COMPUTED_VALUE"""),15.26)</f>
        <v>15.26</v>
      </c>
      <c r="F1386" s="2">
        <f>IFERROR(__xludf.DUMMYFUNCTION("""COMPUTED_VALUE"""),1901304.0)</f>
        <v>1901304</v>
      </c>
    </row>
    <row r="1387">
      <c r="A1387" s="3">
        <f>IFERROR(__xludf.DUMMYFUNCTION("""COMPUTED_VALUE"""),42367.66666666667)</f>
        <v>42367.66667</v>
      </c>
      <c r="B1387" s="2">
        <f>IFERROR(__xludf.DUMMYFUNCTION("""COMPUTED_VALUE"""),15.34)</f>
        <v>15.34</v>
      </c>
      <c r="C1387" s="2">
        <f>IFERROR(__xludf.DUMMYFUNCTION("""COMPUTED_VALUE"""),15.85)</f>
        <v>15.85</v>
      </c>
      <c r="D1387" s="2">
        <f>IFERROR(__xludf.DUMMYFUNCTION("""COMPUTED_VALUE"""),15.3)</f>
        <v>15.3</v>
      </c>
      <c r="E1387" s="2">
        <f>IFERROR(__xludf.DUMMYFUNCTION("""COMPUTED_VALUE"""),15.81)</f>
        <v>15.81</v>
      </c>
      <c r="F1387" s="2">
        <f>IFERROR(__xludf.DUMMYFUNCTION("""COMPUTED_VALUE"""),2406290.0)</f>
        <v>2406290</v>
      </c>
    </row>
    <row r="1388">
      <c r="A1388" s="3">
        <f>IFERROR(__xludf.DUMMYFUNCTION("""COMPUTED_VALUE"""),42368.66666666667)</f>
        <v>42368.66667</v>
      </c>
      <c r="B1388" s="2">
        <f>IFERROR(__xludf.DUMMYFUNCTION("""COMPUTED_VALUE"""),15.77)</f>
        <v>15.77</v>
      </c>
      <c r="C1388" s="2">
        <f>IFERROR(__xludf.DUMMYFUNCTION("""COMPUTED_VALUE"""),16.24)</f>
        <v>16.24</v>
      </c>
      <c r="D1388" s="2">
        <f>IFERROR(__xludf.DUMMYFUNCTION("""COMPUTED_VALUE"""),15.71)</f>
        <v>15.71</v>
      </c>
      <c r="E1388" s="2">
        <f>IFERROR(__xludf.DUMMYFUNCTION("""COMPUTED_VALUE"""),15.87)</f>
        <v>15.87</v>
      </c>
      <c r="F1388" s="2">
        <f>IFERROR(__xludf.DUMMYFUNCTION("""COMPUTED_VALUE"""),3697921.0)</f>
        <v>3697921</v>
      </c>
    </row>
    <row r="1389">
      <c r="A1389" s="3">
        <f>IFERROR(__xludf.DUMMYFUNCTION("""COMPUTED_VALUE"""),42369.66666666667)</f>
        <v>42369.66667</v>
      </c>
      <c r="B1389" s="2">
        <f>IFERROR(__xludf.DUMMYFUNCTION("""COMPUTED_VALUE"""),15.9)</f>
        <v>15.9</v>
      </c>
      <c r="C1389" s="2">
        <f>IFERROR(__xludf.DUMMYFUNCTION("""COMPUTED_VALUE"""),16.23)</f>
        <v>16.23</v>
      </c>
      <c r="D1389" s="2">
        <f>IFERROR(__xludf.DUMMYFUNCTION("""COMPUTED_VALUE"""),15.89)</f>
        <v>15.89</v>
      </c>
      <c r="E1389" s="2">
        <f>IFERROR(__xludf.DUMMYFUNCTION("""COMPUTED_VALUE"""),16.0)</f>
        <v>16</v>
      </c>
      <c r="F1389" s="2">
        <f>IFERROR(__xludf.DUMMYFUNCTION("""COMPUTED_VALUE"""),2715038.0)</f>
        <v>2715038</v>
      </c>
    </row>
    <row r="1390">
      <c r="A1390" s="3">
        <f>IFERROR(__xludf.DUMMYFUNCTION("""COMPUTED_VALUE"""),42373.66666666667)</f>
        <v>42373.66667</v>
      </c>
      <c r="B1390" s="2">
        <f>IFERROR(__xludf.DUMMYFUNCTION("""COMPUTED_VALUE"""),15.38)</f>
        <v>15.38</v>
      </c>
      <c r="C1390" s="2">
        <f>IFERROR(__xludf.DUMMYFUNCTION("""COMPUTED_VALUE"""),15.43)</f>
        <v>15.43</v>
      </c>
      <c r="D1390" s="2">
        <f>IFERROR(__xludf.DUMMYFUNCTION("""COMPUTED_VALUE"""),14.6)</f>
        <v>14.6</v>
      </c>
      <c r="E1390" s="2">
        <f>IFERROR(__xludf.DUMMYFUNCTION("""COMPUTED_VALUE"""),14.89)</f>
        <v>14.89</v>
      </c>
      <c r="F1390" s="2">
        <f>IFERROR(__xludf.DUMMYFUNCTION("""COMPUTED_VALUE"""),6827146.0)</f>
        <v>6827146</v>
      </c>
    </row>
    <row r="1391">
      <c r="A1391" s="3">
        <f>IFERROR(__xludf.DUMMYFUNCTION("""COMPUTED_VALUE"""),42374.66666666667)</f>
        <v>42374.66667</v>
      </c>
      <c r="B1391" s="2">
        <f>IFERROR(__xludf.DUMMYFUNCTION("""COMPUTED_VALUE"""),15.09)</f>
        <v>15.09</v>
      </c>
      <c r="C1391" s="2">
        <f>IFERROR(__xludf.DUMMYFUNCTION("""COMPUTED_VALUE"""),15.13)</f>
        <v>15.13</v>
      </c>
      <c r="D1391" s="2">
        <f>IFERROR(__xludf.DUMMYFUNCTION("""COMPUTED_VALUE"""),14.67)</f>
        <v>14.67</v>
      </c>
      <c r="E1391" s="2">
        <f>IFERROR(__xludf.DUMMYFUNCTION("""COMPUTED_VALUE"""),14.9)</f>
        <v>14.9</v>
      </c>
      <c r="F1391" s="2">
        <f>IFERROR(__xludf.DUMMYFUNCTION("""COMPUTED_VALUE"""),3186752.0)</f>
        <v>3186752</v>
      </c>
    </row>
    <row r="1392">
      <c r="A1392" s="3">
        <f>IFERROR(__xludf.DUMMYFUNCTION("""COMPUTED_VALUE"""),42375.66666666667)</f>
        <v>42375.66667</v>
      </c>
      <c r="B1392" s="2">
        <f>IFERROR(__xludf.DUMMYFUNCTION("""COMPUTED_VALUE"""),14.67)</f>
        <v>14.67</v>
      </c>
      <c r="C1392" s="2">
        <f>IFERROR(__xludf.DUMMYFUNCTION("""COMPUTED_VALUE"""),14.67)</f>
        <v>14.67</v>
      </c>
      <c r="D1392" s="2">
        <f>IFERROR(__xludf.DUMMYFUNCTION("""COMPUTED_VALUE"""),14.4)</f>
        <v>14.4</v>
      </c>
      <c r="E1392" s="2">
        <f>IFERROR(__xludf.DUMMYFUNCTION("""COMPUTED_VALUE"""),14.6)</f>
        <v>14.6</v>
      </c>
      <c r="F1392" s="2">
        <f>IFERROR(__xludf.DUMMYFUNCTION("""COMPUTED_VALUE"""),3779128.0)</f>
        <v>3779128</v>
      </c>
    </row>
    <row r="1393">
      <c r="A1393" s="3">
        <f>IFERROR(__xludf.DUMMYFUNCTION("""COMPUTED_VALUE"""),42376.66666666667)</f>
        <v>42376.66667</v>
      </c>
      <c r="B1393" s="2">
        <f>IFERROR(__xludf.DUMMYFUNCTION("""COMPUTED_VALUE"""),14.28)</f>
        <v>14.28</v>
      </c>
      <c r="C1393" s="2">
        <f>IFERROR(__xludf.DUMMYFUNCTION("""COMPUTED_VALUE"""),14.56)</f>
        <v>14.56</v>
      </c>
      <c r="D1393" s="2">
        <f>IFERROR(__xludf.DUMMYFUNCTION("""COMPUTED_VALUE"""),14.24)</f>
        <v>14.24</v>
      </c>
      <c r="E1393" s="2">
        <f>IFERROR(__xludf.DUMMYFUNCTION("""COMPUTED_VALUE"""),14.38)</f>
        <v>14.38</v>
      </c>
      <c r="F1393" s="2">
        <f>IFERROR(__xludf.DUMMYFUNCTION("""COMPUTED_VALUE"""),3554251.0)</f>
        <v>3554251</v>
      </c>
    </row>
    <row r="1394">
      <c r="A1394" s="3">
        <f>IFERROR(__xludf.DUMMYFUNCTION("""COMPUTED_VALUE"""),42377.66666666667)</f>
        <v>42377.66667</v>
      </c>
      <c r="B1394" s="2">
        <f>IFERROR(__xludf.DUMMYFUNCTION("""COMPUTED_VALUE"""),14.52)</f>
        <v>14.52</v>
      </c>
      <c r="C1394" s="2">
        <f>IFERROR(__xludf.DUMMYFUNCTION("""COMPUTED_VALUE"""),14.7)</f>
        <v>14.7</v>
      </c>
      <c r="D1394" s="2">
        <f>IFERROR(__xludf.DUMMYFUNCTION("""COMPUTED_VALUE"""),14.05)</f>
        <v>14.05</v>
      </c>
      <c r="E1394" s="2">
        <f>IFERROR(__xludf.DUMMYFUNCTION("""COMPUTED_VALUE"""),14.07)</f>
        <v>14.07</v>
      </c>
      <c r="F1394" s="2">
        <f>IFERROR(__xludf.DUMMYFUNCTION("""COMPUTED_VALUE"""),3628058.0)</f>
        <v>3628058</v>
      </c>
    </row>
    <row r="1395">
      <c r="A1395" s="3">
        <f>IFERROR(__xludf.DUMMYFUNCTION("""COMPUTED_VALUE"""),42380.66666666667)</f>
        <v>42380.66667</v>
      </c>
      <c r="B1395" s="2">
        <f>IFERROR(__xludf.DUMMYFUNCTION("""COMPUTED_VALUE"""),14.27)</f>
        <v>14.27</v>
      </c>
      <c r="C1395" s="2">
        <f>IFERROR(__xludf.DUMMYFUNCTION("""COMPUTED_VALUE"""),14.3)</f>
        <v>14.3</v>
      </c>
      <c r="D1395" s="2">
        <f>IFERROR(__xludf.DUMMYFUNCTION("""COMPUTED_VALUE"""),13.53)</f>
        <v>13.53</v>
      </c>
      <c r="E1395" s="2">
        <f>IFERROR(__xludf.DUMMYFUNCTION("""COMPUTED_VALUE"""),13.86)</f>
        <v>13.86</v>
      </c>
      <c r="F1395" s="2">
        <f>IFERROR(__xludf.DUMMYFUNCTION("""COMPUTED_VALUE"""),4091422.0)</f>
        <v>4091422</v>
      </c>
    </row>
    <row r="1396">
      <c r="A1396" s="3">
        <f>IFERROR(__xludf.DUMMYFUNCTION("""COMPUTED_VALUE"""),42381.66666666667)</f>
        <v>42381.66667</v>
      </c>
      <c r="B1396" s="2">
        <f>IFERROR(__xludf.DUMMYFUNCTION("""COMPUTED_VALUE"""),14.11)</f>
        <v>14.11</v>
      </c>
      <c r="C1396" s="2">
        <f>IFERROR(__xludf.DUMMYFUNCTION("""COMPUTED_VALUE"""),14.25)</f>
        <v>14.25</v>
      </c>
      <c r="D1396" s="2">
        <f>IFERROR(__xludf.DUMMYFUNCTION("""COMPUTED_VALUE"""),13.69)</f>
        <v>13.69</v>
      </c>
      <c r="E1396" s="2">
        <f>IFERROR(__xludf.DUMMYFUNCTION("""COMPUTED_VALUE"""),14.0)</f>
        <v>14</v>
      </c>
      <c r="F1396" s="2">
        <f>IFERROR(__xludf.DUMMYFUNCTION("""COMPUTED_VALUE"""),3091917.0)</f>
        <v>3091917</v>
      </c>
    </row>
    <row r="1397">
      <c r="A1397" s="3">
        <f>IFERROR(__xludf.DUMMYFUNCTION("""COMPUTED_VALUE"""),42382.66666666667)</f>
        <v>42382.66667</v>
      </c>
      <c r="B1397" s="2">
        <f>IFERROR(__xludf.DUMMYFUNCTION("""COMPUTED_VALUE"""),14.13)</f>
        <v>14.13</v>
      </c>
      <c r="C1397" s="2">
        <f>IFERROR(__xludf.DUMMYFUNCTION("""COMPUTED_VALUE"""),14.18)</f>
        <v>14.18</v>
      </c>
      <c r="D1397" s="2">
        <f>IFERROR(__xludf.DUMMYFUNCTION("""COMPUTED_VALUE"""),13.33)</f>
        <v>13.33</v>
      </c>
      <c r="E1397" s="2">
        <f>IFERROR(__xludf.DUMMYFUNCTION("""COMPUTED_VALUE"""),13.35)</f>
        <v>13.35</v>
      </c>
      <c r="F1397" s="2">
        <f>IFERROR(__xludf.DUMMYFUNCTION("""COMPUTED_VALUE"""),4126416.0)</f>
        <v>4126416</v>
      </c>
    </row>
    <row r="1398">
      <c r="A1398" s="3">
        <f>IFERROR(__xludf.DUMMYFUNCTION("""COMPUTED_VALUE"""),42383.66666666667)</f>
        <v>42383.66667</v>
      </c>
      <c r="B1398" s="2">
        <f>IFERROR(__xludf.DUMMYFUNCTION("""COMPUTED_VALUE"""),13.48)</f>
        <v>13.48</v>
      </c>
      <c r="C1398" s="2">
        <f>IFERROR(__xludf.DUMMYFUNCTION("""COMPUTED_VALUE"""),14.0)</f>
        <v>14</v>
      </c>
      <c r="D1398" s="2">
        <f>IFERROR(__xludf.DUMMYFUNCTION("""COMPUTED_VALUE"""),12.89)</f>
        <v>12.89</v>
      </c>
      <c r="E1398" s="2">
        <f>IFERROR(__xludf.DUMMYFUNCTION("""COMPUTED_VALUE"""),13.75)</f>
        <v>13.75</v>
      </c>
      <c r="F1398" s="2">
        <f>IFERROR(__xludf.DUMMYFUNCTION("""COMPUTED_VALUE"""),6490741.0)</f>
        <v>6490741</v>
      </c>
    </row>
    <row r="1399">
      <c r="A1399" s="3">
        <f>IFERROR(__xludf.DUMMYFUNCTION("""COMPUTED_VALUE"""),42384.66666666667)</f>
        <v>42384.66667</v>
      </c>
      <c r="B1399" s="2">
        <f>IFERROR(__xludf.DUMMYFUNCTION("""COMPUTED_VALUE"""),13.26)</f>
        <v>13.26</v>
      </c>
      <c r="C1399" s="2">
        <f>IFERROR(__xludf.DUMMYFUNCTION("""COMPUTED_VALUE"""),13.67)</f>
        <v>13.67</v>
      </c>
      <c r="D1399" s="2">
        <f>IFERROR(__xludf.DUMMYFUNCTION("""COMPUTED_VALUE"""),13.15)</f>
        <v>13.15</v>
      </c>
      <c r="E1399" s="2">
        <f>IFERROR(__xludf.DUMMYFUNCTION("""COMPUTED_VALUE"""),13.67)</f>
        <v>13.67</v>
      </c>
      <c r="F1399" s="2">
        <f>IFERROR(__xludf.DUMMYFUNCTION("""COMPUTED_VALUE"""),5578640.0)</f>
        <v>5578640</v>
      </c>
    </row>
    <row r="1400">
      <c r="A1400" s="3">
        <f>IFERROR(__xludf.DUMMYFUNCTION("""COMPUTED_VALUE"""),42388.66666666667)</f>
        <v>42388.66667</v>
      </c>
      <c r="B1400" s="2">
        <f>IFERROR(__xludf.DUMMYFUNCTION("""COMPUTED_VALUE"""),13.91)</f>
        <v>13.91</v>
      </c>
      <c r="C1400" s="2">
        <f>IFERROR(__xludf.DUMMYFUNCTION("""COMPUTED_VALUE"""),14.03)</f>
        <v>14.03</v>
      </c>
      <c r="D1400" s="2">
        <f>IFERROR(__xludf.DUMMYFUNCTION("""COMPUTED_VALUE"""),13.39)</f>
        <v>13.39</v>
      </c>
      <c r="E1400" s="2">
        <f>IFERROR(__xludf.DUMMYFUNCTION("""COMPUTED_VALUE"""),13.65)</f>
        <v>13.65</v>
      </c>
      <c r="F1400" s="2">
        <f>IFERROR(__xludf.DUMMYFUNCTION("""COMPUTED_VALUE"""),4038676.0)</f>
        <v>4038676</v>
      </c>
    </row>
    <row r="1401">
      <c r="A1401" s="3">
        <f>IFERROR(__xludf.DUMMYFUNCTION("""COMPUTED_VALUE"""),42389.66666666667)</f>
        <v>42389.66667</v>
      </c>
      <c r="B1401" s="2">
        <f>IFERROR(__xludf.DUMMYFUNCTION("""COMPUTED_VALUE"""),13.29)</f>
        <v>13.29</v>
      </c>
      <c r="C1401" s="2">
        <f>IFERROR(__xludf.DUMMYFUNCTION("""COMPUTED_VALUE"""),13.42)</f>
        <v>13.42</v>
      </c>
      <c r="D1401" s="2">
        <f>IFERROR(__xludf.DUMMYFUNCTION("""COMPUTED_VALUE"""),12.75)</f>
        <v>12.75</v>
      </c>
      <c r="E1401" s="2">
        <f>IFERROR(__xludf.DUMMYFUNCTION("""COMPUTED_VALUE"""),13.25)</f>
        <v>13.25</v>
      </c>
      <c r="F1401" s="2">
        <f>IFERROR(__xludf.DUMMYFUNCTION("""COMPUTED_VALUE"""),5838608.0)</f>
        <v>5838608</v>
      </c>
    </row>
    <row r="1402">
      <c r="A1402" s="3">
        <f>IFERROR(__xludf.DUMMYFUNCTION("""COMPUTED_VALUE"""),42390.66666666667)</f>
        <v>42390.66667</v>
      </c>
      <c r="B1402" s="2">
        <f>IFERROR(__xludf.DUMMYFUNCTION("""COMPUTED_VALUE"""),13.44)</f>
        <v>13.44</v>
      </c>
      <c r="C1402" s="2">
        <f>IFERROR(__xludf.DUMMYFUNCTION("""COMPUTED_VALUE"""),13.55)</f>
        <v>13.55</v>
      </c>
      <c r="D1402" s="2">
        <f>IFERROR(__xludf.DUMMYFUNCTION("""COMPUTED_VALUE"""),13.0)</f>
        <v>13</v>
      </c>
      <c r="E1402" s="2">
        <f>IFERROR(__xludf.DUMMYFUNCTION("""COMPUTED_VALUE"""),13.33)</f>
        <v>13.33</v>
      </c>
      <c r="F1402" s="2">
        <f>IFERROR(__xludf.DUMMYFUNCTION("""COMPUTED_VALUE"""),3166159.0)</f>
        <v>3166159</v>
      </c>
    </row>
    <row r="1403">
      <c r="A1403" s="3">
        <f>IFERROR(__xludf.DUMMYFUNCTION("""COMPUTED_VALUE"""),42391.66666666667)</f>
        <v>42391.66667</v>
      </c>
      <c r="B1403" s="2">
        <f>IFERROR(__xludf.DUMMYFUNCTION("""COMPUTED_VALUE"""),13.65)</f>
        <v>13.65</v>
      </c>
      <c r="C1403" s="2">
        <f>IFERROR(__xludf.DUMMYFUNCTION("""COMPUTED_VALUE"""),13.7)</f>
        <v>13.7</v>
      </c>
      <c r="D1403" s="2">
        <f>IFERROR(__xludf.DUMMYFUNCTION("""COMPUTED_VALUE"""),13.27)</f>
        <v>13.27</v>
      </c>
      <c r="E1403" s="2">
        <f>IFERROR(__xludf.DUMMYFUNCTION("""COMPUTED_VALUE"""),13.5)</f>
        <v>13.5</v>
      </c>
      <c r="F1403" s="2">
        <f>IFERROR(__xludf.DUMMYFUNCTION("""COMPUTED_VALUE"""),3124055.0)</f>
        <v>3124055</v>
      </c>
    </row>
    <row r="1404">
      <c r="A1404" s="3">
        <f>IFERROR(__xludf.DUMMYFUNCTION("""COMPUTED_VALUE"""),42394.66666666667)</f>
        <v>42394.66667</v>
      </c>
      <c r="B1404" s="2">
        <f>IFERROR(__xludf.DUMMYFUNCTION("""COMPUTED_VALUE"""),13.34)</f>
        <v>13.34</v>
      </c>
      <c r="C1404" s="2">
        <f>IFERROR(__xludf.DUMMYFUNCTION("""COMPUTED_VALUE"""),13.57)</f>
        <v>13.57</v>
      </c>
      <c r="D1404" s="2">
        <f>IFERROR(__xludf.DUMMYFUNCTION("""COMPUTED_VALUE"""),13.06)</f>
        <v>13.06</v>
      </c>
      <c r="E1404" s="2">
        <f>IFERROR(__xludf.DUMMYFUNCTION("""COMPUTED_VALUE"""),13.09)</f>
        <v>13.09</v>
      </c>
      <c r="F1404" s="2">
        <f>IFERROR(__xludf.DUMMYFUNCTION("""COMPUTED_VALUE"""),2698739.0)</f>
        <v>2698739</v>
      </c>
    </row>
    <row r="1405">
      <c r="A1405" s="3">
        <f>IFERROR(__xludf.DUMMYFUNCTION("""COMPUTED_VALUE"""),42395.66666666667)</f>
        <v>42395.66667</v>
      </c>
      <c r="B1405" s="2">
        <f>IFERROR(__xludf.DUMMYFUNCTION("""COMPUTED_VALUE"""),13.11)</f>
        <v>13.11</v>
      </c>
      <c r="C1405" s="2">
        <f>IFERROR(__xludf.DUMMYFUNCTION("""COMPUTED_VALUE"""),13.19)</f>
        <v>13.19</v>
      </c>
      <c r="D1405" s="2">
        <f>IFERROR(__xludf.DUMMYFUNCTION("""COMPUTED_VALUE"""),12.59)</f>
        <v>12.59</v>
      </c>
      <c r="E1405" s="2">
        <f>IFERROR(__xludf.DUMMYFUNCTION("""COMPUTED_VALUE"""),12.9)</f>
        <v>12.9</v>
      </c>
      <c r="F1405" s="2">
        <f>IFERROR(__xludf.DUMMYFUNCTION("""COMPUTED_VALUE"""),4964180.0)</f>
        <v>4964180</v>
      </c>
    </row>
    <row r="1406">
      <c r="A1406" s="3">
        <f>IFERROR(__xludf.DUMMYFUNCTION("""COMPUTED_VALUE"""),42396.66666666667)</f>
        <v>42396.66667</v>
      </c>
      <c r="B1406" s="2">
        <f>IFERROR(__xludf.DUMMYFUNCTION("""COMPUTED_VALUE"""),12.83)</f>
        <v>12.83</v>
      </c>
      <c r="C1406" s="2">
        <f>IFERROR(__xludf.DUMMYFUNCTION("""COMPUTED_VALUE"""),12.88)</f>
        <v>12.88</v>
      </c>
      <c r="D1406" s="2">
        <f>IFERROR(__xludf.DUMMYFUNCTION("""COMPUTED_VALUE"""),12.38)</f>
        <v>12.38</v>
      </c>
      <c r="E1406" s="2">
        <f>IFERROR(__xludf.DUMMYFUNCTION("""COMPUTED_VALUE"""),12.54)</f>
        <v>12.54</v>
      </c>
      <c r="F1406" s="2">
        <f>IFERROR(__xludf.DUMMYFUNCTION("""COMPUTED_VALUE"""),3617221.0)</f>
        <v>3617221</v>
      </c>
    </row>
    <row r="1407">
      <c r="A1407" s="3">
        <f>IFERROR(__xludf.DUMMYFUNCTION("""COMPUTED_VALUE"""),42397.66666666667)</f>
        <v>42397.66667</v>
      </c>
      <c r="B1407" s="2">
        <f>IFERROR(__xludf.DUMMYFUNCTION("""COMPUTED_VALUE"""),12.72)</f>
        <v>12.72</v>
      </c>
      <c r="C1407" s="2">
        <f>IFERROR(__xludf.DUMMYFUNCTION("""COMPUTED_VALUE"""),12.75)</f>
        <v>12.75</v>
      </c>
      <c r="D1407" s="2">
        <f>IFERROR(__xludf.DUMMYFUNCTION("""COMPUTED_VALUE"""),12.16)</f>
        <v>12.16</v>
      </c>
      <c r="E1407" s="2">
        <f>IFERROR(__xludf.DUMMYFUNCTION("""COMPUTED_VALUE"""),12.65)</f>
        <v>12.65</v>
      </c>
      <c r="F1407" s="2">
        <f>IFERROR(__xludf.DUMMYFUNCTION("""COMPUTED_VALUE"""),4592754.0)</f>
        <v>4592754</v>
      </c>
    </row>
    <row r="1408">
      <c r="A1408" s="3">
        <f>IFERROR(__xludf.DUMMYFUNCTION("""COMPUTED_VALUE"""),42398.66666666667)</f>
        <v>42398.66667</v>
      </c>
      <c r="B1408" s="2">
        <f>IFERROR(__xludf.DUMMYFUNCTION("""COMPUTED_VALUE"""),12.66)</f>
        <v>12.66</v>
      </c>
      <c r="C1408" s="2">
        <f>IFERROR(__xludf.DUMMYFUNCTION("""COMPUTED_VALUE"""),12.92)</f>
        <v>12.92</v>
      </c>
      <c r="D1408" s="2">
        <f>IFERROR(__xludf.DUMMYFUNCTION("""COMPUTED_VALUE"""),12.54)</f>
        <v>12.54</v>
      </c>
      <c r="E1408" s="2">
        <f>IFERROR(__xludf.DUMMYFUNCTION("""COMPUTED_VALUE"""),12.75)</f>
        <v>12.75</v>
      </c>
      <c r="F1408" s="2">
        <f>IFERROR(__xludf.DUMMYFUNCTION("""COMPUTED_VALUE"""),2852289.0)</f>
        <v>2852289</v>
      </c>
    </row>
    <row r="1409">
      <c r="A1409" s="3">
        <f>IFERROR(__xludf.DUMMYFUNCTION("""COMPUTED_VALUE"""),42401.66666666667)</f>
        <v>42401.66667</v>
      </c>
      <c r="B1409" s="2">
        <f>IFERROR(__xludf.DUMMYFUNCTION("""COMPUTED_VALUE"""),12.58)</f>
        <v>12.58</v>
      </c>
      <c r="C1409" s="2">
        <f>IFERROR(__xludf.DUMMYFUNCTION("""COMPUTED_VALUE"""),13.3)</f>
        <v>13.3</v>
      </c>
      <c r="D1409" s="2">
        <f>IFERROR(__xludf.DUMMYFUNCTION("""COMPUTED_VALUE"""),12.18)</f>
        <v>12.18</v>
      </c>
      <c r="E1409" s="2">
        <f>IFERROR(__xludf.DUMMYFUNCTION("""COMPUTED_VALUE"""),13.13)</f>
        <v>13.13</v>
      </c>
      <c r="F1409" s="2">
        <f>IFERROR(__xludf.DUMMYFUNCTION("""COMPUTED_VALUE"""),5297639.0)</f>
        <v>5297639</v>
      </c>
    </row>
    <row r="1410">
      <c r="A1410" s="3">
        <f>IFERROR(__xludf.DUMMYFUNCTION("""COMPUTED_VALUE"""),42402.66666666667)</f>
        <v>42402.66667</v>
      </c>
      <c r="B1410" s="2">
        <f>IFERROR(__xludf.DUMMYFUNCTION("""COMPUTED_VALUE"""),12.83)</f>
        <v>12.83</v>
      </c>
      <c r="C1410" s="2">
        <f>IFERROR(__xludf.DUMMYFUNCTION("""COMPUTED_VALUE"""),12.87)</f>
        <v>12.87</v>
      </c>
      <c r="D1410" s="2">
        <f>IFERROR(__xludf.DUMMYFUNCTION("""COMPUTED_VALUE"""),12.02)</f>
        <v>12.02</v>
      </c>
      <c r="E1410" s="2">
        <f>IFERROR(__xludf.DUMMYFUNCTION("""COMPUTED_VALUE"""),12.19)</f>
        <v>12.19</v>
      </c>
      <c r="F1410" s="2">
        <f>IFERROR(__xludf.DUMMYFUNCTION("""COMPUTED_VALUE"""),5773637.0)</f>
        <v>5773637</v>
      </c>
    </row>
    <row r="1411">
      <c r="A1411" s="3">
        <f>IFERROR(__xludf.DUMMYFUNCTION("""COMPUTED_VALUE"""),42403.66666666667)</f>
        <v>42403.66667</v>
      </c>
      <c r="B1411" s="2">
        <f>IFERROR(__xludf.DUMMYFUNCTION("""COMPUTED_VALUE"""),12.24)</f>
        <v>12.24</v>
      </c>
      <c r="C1411" s="2">
        <f>IFERROR(__xludf.DUMMYFUNCTION("""COMPUTED_VALUE"""),12.26)</f>
        <v>12.26</v>
      </c>
      <c r="D1411" s="2">
        <f>IFERROR(__xludf.DUMMYFUNCTION("""COMPUTED_VALUE"""),11.35)</f>
        <v>11.35</v>
      </c>
      <c r="E1411" s="2">
        <f>IFERROR(__xludf.DUMMYFUNCTION("""COMPUTED_VALUE"""),11.57)</f>
        <v>11.57</v>
      </c>
      <c r="F1411" s="2">
        <f>IFERROR(__xludf.DUMMYFUNCTION("""COMPUTED_VALUE"""),7931362.0)</f>
        <v>7931362</v>
      </c>
    </row>
    <row r="1412">
      <c r="A1412" s="3">
        <f>IFERROR(__xludf.DUMMYFUNCTION("""COMPUTED_VALUE"""),42404.66666666667)</f>
        <v>42404.66667</v>
      </c>
      <c r="B1412" s="2">
        <f>IFERROR(__xludf.DUMMYFUNCTION("""COMPUTED_VALUE"""),11.38)</f>
        <v>11.38</v>
      </c>
      <c r="C1412" s="2">
        <f>IFERROR(__xludf.DUMMYFUNCTION("""COMPUTED_VALUE"""),11.73)</f>
        <v>11.73</v>
      </c>
      <c r="D1412" s="2">
        <f>IFERROR(__xludf.DUMMYFUNCTION("""COMPUTED_VALUE"""),11.13)</f>
        <v>11.13</v>
      </c>
      <c r="E1412" s="2">
        <f>IFERROR(__xludf.DUMMYFUNCTION("""COMPUTED_VALUE"""),11.69)</f>
        <v>11.69</v>
      </c>
      <c r="F1412" s="2">
        <f>IFERROR(__xludf.DUMMYFUNCTION("""COMPUTED_VALUE"""),4385366.0)</f>
        <v>4385366</v>
      </c>
    </row>
    <row r="1413">
      <c r="A1413" s="3">
        <f>IFERROR(__xludf.DUMMYFUNCTION("""COMPUTED_VALUE"""),42405.66666666667)</f>
        <v>42405.66667</v>
      </c>
      <c r="B1413" s="2">
        <f>IFERROR(__xludf.DUMMYFUNCTION("""COMPUTED_VALUE"""),11.42)</f>
        <v>11.42</v>
      </c>
      <c r="C1413" s="2">
        <f>IFERROR(__xludf.DUMMYFUNCTION("""COMPUTED_VALUE"""),11.53)</f>
        <v>11.53</v>
      </c>
      <c r="D1413" s="2">
        <f>IFERROR(__xludf.DUMMYFUNCTION("""COMPUTED_VALUE"""),10.52)</f>
        <v>10.52</v>
      </c>
      <c r="E1413" s="2">
        <f>IFERROR(__xludf.DUMMYFUNCTION("""COMPUTED_VALUE"""),10.84)</f>
        <v>10.84</v>
      </c>
      <c r="F1413" s="2">
        <f>IFERROR(__xludf.DUMMYFUNCTION("""COMPUTED_VALUE"""),9437591.0)</f>
        <v>9437591</v>
      </c>
    </row>
    <row r="1414">
      <c r="A1414" s="3">
        <f>IFERROR(__xludf.DUMMYFUNCTION("""COMPUTED_VALUE"""),42408.66666666667)</f>
        <v>42408.66667</v>
      </c>
      <c r="B1414" s="2">
        <f>IFERROR(__xludf.DUMMYFUNCTION("""COMPUTED_VALUE"""),10.47)</f>
        <v>10.47</v>
      </c>
      <c r="C1414" s="2">
        <f>IFERROR(__xludf.DUMMYFUNCTION("""COMPUTED_VALUE"""),10.48)</f>
        <v>10.48</v>
      </c>
      <c r="D1414" s="2">
        <f>IFERROR(__xludf.DUMMYFUNCTION("""COMPUTED_VALUE"""),9.73)</f>
        <v>9.73</v>
      </c>
      <c r="E1414" s="2">
        <f>IFERROR(__xludf.DUMMYFUNCTION("""COMPUTED_VALUE"""),9.87)</f>
        <v>9.87</v>
      </c>
      <c r="F1414" s="2">
        <f>IFERROR(__xludf.DUMMYFUNCTION("""COMPUTED_VALUE"""),9312988.0)</f>
        <v>9312988</v>
      </c>
    </row>
    <row r="1415">
      <c r="A1415" s="3">
        <f>IFERROR(__xludf.DUMMYFUNCTION("""COMPUTED_VALUE"""),42409.66666666667)</f>
        <v>42409.66667</v>
      </c>
      <c r="B1415" s="2">
        <f>IFERROR(__xludf.DUMMYFUNCTION("""COMPUTED_VALUE"""),9.49)</f>
        <v>9.49</v>
      </c>
      <c r="C1415" s="2">
        <f>IFERROR(__xludf.DUMMYFUNCTION("""COMPUTED_VALUE"""),10.65)</f>
        <v>10.65</v>
      </c>
      <c r="D1415" s="2">
        <f>IFERROR(__xludf.DUMMYFUNCTION("""COMPUTED_VALUE"""),9.4)</f>
        <v>9.4</v>
      </c>
      <c r="E1415" s="2">
        <f>IFERROR(__xludf.DUMMYFUNCTION("""COMPUTED_VALUE"""),9.88)</f>
        <v>9.88</v>
      </c>
      <c r="F1415" s="2">
        <f>IFERROR(__xludf.DUMMYFUNCTION("""COMPUTED_VALUE"""),8651648.0)</f>
        <v>8651648</v>
      </c>
    </row>
    <row r="1416">
      <c r="A1416" s="3">
        <f>IFERROR(__xludf.DUMMYFUNCTION("""COMPUTED_VALUE"""),42410.66666666667)</f>
        <v>42410.66667</v>
      </c>
      <c r="B1416" s="2">
        <f>IFERROR(__xludf.DUMMYFUNCTION("""COMPUTED_VALUE"""),10.03)</f>
        <v>10.03</v>
      </c>
      <c r="C1416" s="2">
        <f>IFERROR(__xludf.DUMMYFUNCTION("""COMPUTED_VALUE"""),10.33)</f>
        <v>10.33</v>
      </c>
      <c r="D1416" s="2">
        <f>IFERROR(__xludf.DUMMYFUNCTION("""COMPUTED_VALUE"""),9.45)</f>
        <v>9.45</v>
      </c>
      <c r="E1416" s="2">
        <f>IFERROR(__xludf.DUMMYFUNCTION("""COMPUTED_VALUE"""),9.58)</f>
        <v>9.58</v>
      </c>
      <c r="F1416" s="2">
        <f>IFERROR(__xludf.DUMMYFUNCTION("""COMPUTED_VALUE"""),1.0406513E7)</f>
        <v>10406513</v>
      </c>
    </row>
    <row r="1417">
      <c r="A1417" s="3">
        <f>IFERROR(__xludf.DUMMYFUNCTION("""COMPUTED_VALUE"""),42411.66666666667)</f>
        <v>42411.66667</v>
      </c>
      <c r="B1417" s="2">
        <f>IFERROR(__xludf.DUMMYFUNCTION("""COMPUTED_VALUE"""),10.13)</f>
        <v>10.13</v>
      </c>
      <c r="C1417" s="2">
        <f>IFERROR(__xludf.DUMMYFUNCTION("""COMPUTED_VALUE"""),10.88)</f>
        <v>10.88</v>
      </c>
      <c r="D1417" s="2">
        <f>IFERROR(__xludf.DUMMYFUNCTION("""COMPUTED_VALUE"""),9.8)</f>
        <v>9.8</v>
      </c>
      <c r="E1417" s="2">
        <f>IFERROR(__xludf.DUMMYFUNCTION("""COMPUTED_VALUE"""),10.03)</f>
        <v>10.03</v>
      </c>
      <c r="F1417" s="2">
        <f>IFERROR(__xludf.DUMMYFUNCTION("""COMPUTED_VALUE"""),1.4252364E7)</f>
        <v>14252364</v>
      </c>
    </row>
    <row r="1418">
      <c r="A1418" s="3">
        <f>IFERROR(__xludf.DUMMYFUNCTION("""COMPUTED_VALUE"""),42412.66666666667)</f>
        <v>42412.66667</v>
      </c>
      <c r="B1418" s="2">
        <f>IFERROR(__xludf.DUMMYFUNCTION("""COMPUTED_VALUE"""),10.33)</f>
        <v>10.33</v>
      </c>
      <c r="C1418" s="2">
        <f>IFERROR(__xludf.DUMMYFUNCTION("""COMPUTED_VALUE"""),10.47)</f>
        <v>10.47</v>
      </c>
      <c r="D1418" s="2">
        <f>IFERROR(__xludf.DUMMYFUNCTION("""COMPUTED_VALUE"""),9.58)</f>
        <v>9.58</v>
      </c>
      <c r="E1418" s="2">
        <f>IFERROR(__xludf.DUMMYFUNCTION("""COMPUTED_VALUE"""),10.07)</f>
        <v>10.07</v>
      </c>
      <c r="F1418" s="2">
        <f>IFERROR(__xludf.DUMMYFUNCTION("""COMPUTED_VALUE"""),7235783.0)</f>
        <v>7235783</v>
      </c>
    </row>
    <row r="1419">
      <c r="A1419" s="3">
        <f>IFERROR(__xludf.DUMMYFUNCTION("""COMPUTED_VALUE"""),42416.66666666667)</f>
        <v>42416.66667</v>
      </c>
      <c r="B1419" s="2">
        <f>IFERROR(__xludf.DUMMYFUNCTION("""COMPUTED_VALUE"""),10.58)</f>
        <v>10.58</v>
      </c>
      <c r="C1419" s="2">
        <f>IFERROR(__xludf.DUMMYFUNCTION("""COMPUTED_VALUE"""),10.86)</f>
        <v>10.86</v>
      </c>
      <c r="D1419" s="2">
        <f>IFERROR(__xludf.DUMMYFUNCTION("""COMPUTED_VALUE"""),10.27)</f>
        <v>10.27</v>
      </c>
      <c r="E1419" s="2">
        <f>IFERROR(__xludf.DUMMYFUNCTION("""COMPUTED_VALUE"""),10.34)</f>
        <v>10.34</v>
      </c>
      <c r="F1419" s="2">
        <f>IFERROR(__xludf.DUMMYFUNCTION("""COMPUTED_VALUE"""),5593794.0)</f>
        <v>5593794</v>
      </c>
    </row>
    <row r="1420">
      <c r="A1420" s="3">
        <f>IFERROR(__xludf.DUMMYFUNCTION("""COMPUTED_VALUE"""),42417.66666666667)</f>
        <v>42417.66667</v>
      </c>
      <c r="B1420" s="2">
        <f>IFERROR(__xludf.DUMMYFUNCTION("""COMPUTED_VALUE"""),10.6)</f>
        <v>10.6</v>
      </c>
      <c r="C1420" s="2">
        <f>IFERROR(__xludf.DUMMYFUNCTION("""COMPUTED_VALUE"""),11.29)</f>
        <v>11.29</v>
      </c>
      <c r="D1420" s="2">
        <f>IFERROR(__xludf.DUMMYFUNCTION("""COMPUTED_VALUE"""),10.45)</f>
        <v>10.45</v>
      </c>
      <c r="E1420" s="2">
        <f>IFERROR(__xludf.DUMMYFUNCTION("""COMPUTED_VALUE"""),11.25)</f>
        <v>11.25</v>
      </c>
      <c r="F1420" s="2">
        <f>IFERROR(__xludf.DUMMYFUNCTION("""COMPUTED_VALUE"""),5825159.0)</f>
        <v>5825159</v>
      </c>
    </row>
    <row r="1421">
      <c r="A1421" s="3">
        <f>IFERROR(__xludf.DUMMYFUNCTION("""COMPUTED_VALUE"""),42418.66666666667)</f>
        <v>42418.66667</v>
      </c>
      <c r="B1421" s="2">
        <f>IFERROR(__xludf.DUMMYFUNCTION("""COMPUTED_VALUE"""),11.49)</f>
        <v>11.49</v>
      </c>
      <c r="C1421" s="2">
        <f>IFERROR(__xludf.DUMMYFUNCTION("""COMPUTED_VALUE"""),11.53)</f>
        <v>11.53</v>
      </c>
      <c r="D1421" s="2">
        <f>IFERROR(__xludf.DUMMYFUNCTION("""COMPUTED_VALUE"""),10.98)</f>
        <v>10.98</v>
      </c>
      <c r="E1421" s="2">
        <f>IFERROR(__xludf.DUMMYFUNCTION("""COMPUTED_VALUE"""),11.12)</f>
        <v>11.12</v>
      </c>
      <c r="F1421" s="2">
        <f>IFERROR(__xludf.DUMMYFUNCTION("""COMPUTED_VALUE"""),3887574.0)</f>
        <v>3887574</v>
      </c>
    </row>
    <row r="1422">
      <c r="A1422" s="3">
        <f>IFERROR(__xludf.DUMMYFUNCTION("""COMPUTED_VALUE"""),42419.66666666667)</f>
        <v>42419.66667</v>
      </c>
      <c r="B1422" s="2">
        <f>IFERROR(__xludf.DUMMYFUNCTION("""COMPUTED_VALUE"""),10.91)</f>
        <v>10.91</v>
      </c>
      <c r="C1422" s="2">
        <f>IFERROR(__xludf.DUMMYFUNCTION("""COMPUTED_VALUE"""),11.17)</f>
        <v>11.17</v>
      </c>
      <c r="D1422" s="2">
        <f>IFERROR(__xludf.DUMMYFUNCTION("""COMPUTED_VALUE"""),10.83)</f>
        <v>10.83</v>
      </c>
      <c r="E1422" s="2">
        <f>IFERROR(__xludf.DUMMYFUNCTION("""COMPUTED_VALUE"""),11.11)</f>
        <v>11.11</v>
      </c>
      <c r="F1422" s="2">
        <f>IFERROR(__xludf.DUMMYFUNCTION("""COMPUTED_VALUE"""),2959390.0)</f>
        <v>2959390</v>
      </c>
    </row>
    <row r="1423">
      <c r="A1423" s="3">
        <f>IFERROR(__xludf.DUMMYFUNCTION("""COMPUTED_VALUE"""),42422.66666666667)</f>
        <v>42422.66667</v>
      </c>
      <c r="B1423" s="2">
        <f>IFERROR(__xludf.DUMMYFUNCTION("""COMPUTED_VALUE"""),11.34)</f>
        <v>11.34</v>
      </c>
      <c r="C1423" s="2">
        <f>IFERROR(__xludf.DUMMYFUNCTION("""COMPUTED_VALUE"""),11.93)</f>
        <v>11.93</v>
      </c>
      <c r="D1423" s="2">
        <f>IFERROR(__xludf.DUMMYFUNCTION("""COMPUTED_VALUE"""),11.32)</f>
        <v>11.32</v>
      </c>
      <c r="E1423" s="2">
        <f>IFERROR(__xludf.DUMMYFUNCTION("""COMPUTED_VALUE"""),11.85)</f>
        <v>11.85</v>
      </c>
      <c r="F1423" s="2">
        <f>IFERROR(__xludf.DUMMYFUNCTION("""COMPUTED_VALUE"""),5060051.0)</f>
        <v>5060051</v>
      </c>
    </row>
    <row r="1424">
      <c r="A1424" s="3">
        <f>IFERROR(__xludf.DUMMYFUNCTION("""COMPUTED_VALUE"""),42423.66666666667)</f>
        <v>42423.66667</v>
      </c>
      <c r="B1424" s="2">
        <f>IFERROR(__xludf.DUMMYFUNCTION("""COMPUTED_VALUE"""),11.74)</f>
        <v>11.74</v>
      </c>
      <c r="C1424" s="2">
        <f>IFERROR(__xludf.DUMMYFUNCTION("""COMPUTED_VALUE"""),12.12)</f>
        <v>12.12</v>
      </c>
      <c r="D1424" s="2">
        <f>IFERROR(__xludf.DUMMYFUNCTION("""COMPUTED_VALUE"""),11.58)</f>
        <v>11.58</v>
      </c>
      <c r="E1424" s="2">
        <f>IFERROR(__xludf.DUMMYFUNCTION("""COMPUTED_VALUE"""),11.81)</f>
        <v>11.81</v>
      </c>
      <c r="F1424" s="2">
        <f>IFERROR(__xludf.DUMMYFUNCTION("""COMPUTED_VALUE"""),5984374.0)</f>
        <v>5984374</v>
      </c>
    </row>
    <row r="1425">
      <c r="A1425" s="3">
        <f>IFERROR(__xludf.DUMMYFUNCTION("""COMPUTED_VALUE"""),42424.66666666667)</f>
        <v>42424.66667</v>
      </c>
      <c r="B1425" s="2">
        <f>IFERROR(__xludf.DUMMYFUNCTION("""COMPUTED_VALUE"""),11.52)</f>
        <v>11.52</v>
      </c>
      <c r="C1425" s="2">
        <f>IFERROR(__xludf.DUMMYFUNCTION("""COMPUTED_VALUE"""),11.97)</f>
        <v>11.97</v>
      </c>
      <c r="D1425" s="2">
        <f>IFERROR(__xludf.DUMMYFUNCTION("""COMPUTED_VALUE"""),11.19)</f>
        <v>11.19</v>
      </c>
      <c r="E1425" s="2">
        <f>IFERROR(__xludf.DUMMYFUNCTION("""COMPUTED_VALUE"""),11.93)</f>
        <v>11.93</v>
      </c>
      <c r="F1425" s="2">
        <f>IFERROR(__xludf.DUMMYFUNCTION("""COMPUTED_VALUE"""),5395609.0)</f>
        <v>5395609</v>
      </c>
    </row>
    <row r="1426">
      <c r="A1426" s="3">
        <f>IFERROR(__xludf.DUMMYFUNCTION("""COMPUTED_VALUE"""),42425.66666666667)</f>
        <v>42425.66667</v>
      </c>
      <c r="B1426" s="2">
        <f>IFERROR(__xludf.DUMMYFUNCTION("""COMPUTED_VALUE"""),11.91)</f>
        <v>11.91</v>
      </c>
      <c r="C1426" s="2">
        <f>IFERROR(__xludf.DUMMYFUNCTION("""COMPUTED_VALUE"""),12.57)</f>
        <v>12.57</v>
      </c>
      <c r="D1426" s="2">
        <f>IFERROR(__xludf.DUMMYFUNCTION("""COMPUTED_VALUE"""),11.68)</f>
        <v>11.68</v>
      </c>
      <c r="E1426" s="2">
        <f>IFERROR(__xludf.DUMMYFUNCTION("""COMPUTED_VALUE"""),12.5)</f>
        <v>12.5</v>
      </c>
      <c r="F1426" s="2">
        <f>IFERROR(__xludf.DUMMYFUNCTION("""COMPUTED_VALUE"""),5750741.0)</f>
        <v>5750741</v>
      </c>
    </row>
    <row r="1427">
      <c r="A1427" s="3">
        <f>IFERROR(__xludf.DUMMYFUNCTION("""COMPUTED_VALUE"""),42426.66666666667)</f>
        <v>42426.66667</v>
      </c>
      <c r="B1427" s="2">
        <f>IFERROR(__xludf.DUMMYFUNCTION("""COMPUTED_VALUE"""),12.58)</f>
        <v>12.58</v>
      </c>
      <c r="C1427" s="2">
        <f>IFERROR(__xludf.DUMMYFUNCTION("""COMPUTED_VALUE"""),12.8)</f>
        <v>12.8</v>
      </c>
      <c r="D1427" s="2">
        <f>IFERROR(__xludf.DUMMYFUNCTION("""COMPUTED_VALUE"""),12.33)</f>
        <v>12.33</v>
      </c>
      <c r="E1427" s="2">
        <f>IFERROR(__xludf.DUMMYFUNCTION("""COMPUTED_VALUE"""),12.69)</f>
        <v>12.69</v>
      </c>
      <c r="F1427" s="2">
        <f>IFERROR(__xludf.DUMMYFUNCTION("""COMPUTED_VALUE"""),6065117.0)</f>
        <v>6065117</v>
      </c>
    </row>
    <row r="1428">
      <c r="A1428" s="3">
        <f>IFERROR(__xludf.DUMMYFUNCTION("""COMPUTED_VALUE"""),42429.66666666667)</f>
        <v>42429.66667</v>
      </c>
      <c r="B1428" s="2">
        <f>IFERROR(__xludf.DUMMYFUNCTION("""COMPUTED_VALUE"""),12.83)</f>
        <v>12.83</v>
      </c>
      <c r="C1428" s="2">
        <f>IFERROR(__xludf.DUMMYFUNCTION("""COMPUTED_VALUE"""),13.09)</f>
        <v>13.09</v>
      </c>
      <c r="D1428" s="2">
        <f>IFERROR(__xludf.DUMMYFUNCTION("""COMPUTED_VALUE"""),12.61)</f>
        <v>12.61</v>
      </c>
      <c r="E1428" s="2">
        <f>IFERROR(__xludf.DUMMYFUNCTION("""COMPUTED_VALUE"""),12.8)</f>
        <v>12.8</v>
      </c>
      <c r="F1428" s="2">
        <f>IFERROR(__xludf.DUMMYFUNCTION("""COMPUTED_VALUE"""),4498997.0)</f>
        <v>4498997</v>
      </c>
    </row>
    <row r="1429">
      <c r="A1429" s="3">
        <f>IFERROR(__xludf.DUMMYFUNCTION("""COMPUTED_VALUE"""),42430.66666666667)</f>
        <v>42430.66667</v>
      </c>
      <c r="B1429" s="2">
        <f>IFERROR(__xludf.DUMMYFUNCTION("""COMPUTED_VALUE"""),12.95)</f>
        <v>12.95</v>
      </c>
      <c r="C1429" s="2">
        <f>IFERROR(__xludf.DUMMYFUNCTION("""COMPUTED_VALUE"""),13.06)</f>
        <v>13.06</v>
      </c>
      <c r="D1429" s="2">
        <f>IFERROR(__xludf.DUMMYFUNCTION("""COMPUTED_VALUE"""),12.18)</f>
        <v>12.18</v>
      </c>
      <c r="E1429" s="2">
        <f>IFERROR(__xludf.DUMMYFUNCTION("""COMPUTED_VALUE"""),12.42)</f>
        <v>12.42</v>
      </c>
      <c r="F1429" s="2">
        <f>IFERROR(__xludf.DUMMYFUNCTION("""COMPUTED_VALUE"""),6712159.0)</f>
        <v>6712159</v>
      </c>
    </row>
    <row r="1430">
      <c r="A1430" s="3">
        <f>IFERROR(__xludf.DUMMYFUNCTION("""COMPUTED_VALUE"""),42431.66666666667)</f>
        <v>42431.66667</v>
      </c>
      <c r="B1430" s="2">
        <f>IFERROR(__xludf.DUMMYFUNCTION("""COMPUTED_VALUE"""),12.25)</f>
        <v>12.25</v>
      </c>
      <c r="C1430" s="2">
        <f>IFERROR(__xludf.DUMMYFUNCTION("""COMPUTED_VALUE"""),12.57)</f>
        <v>12.57</v>
      </c>
      <c r="D1430" s="2">
        <f>IFERROR(__xludf.DUMMYFUNCTION("""COMPUTED_VALUE"""),12.1)</f>
        <v>12.1</v>
      </c>
      <c r="E1430" s="2">
        <f>IFERROR(__xludf.DUMMYFUNCTION("""COMPUTED_VALUE"""),12.56)</f>
        <v>12.56</v>
      </c>
      <c r="F1430" s="2">
        <f>IFERROR(__xludf.DUMMYFUNCTION("""COMPUTED_VALUE"""),4862396.0)</f>
        <v>4862396</v>
      </c>
    </row>
    <row r="1431">
      <c r="A1431" s="3">
        <f>IFERROR(__xludf.DUMMYFUNCTION("""COMPUTED_VALUE"""),42432.66666666667)</f>
        <v>42432.66667</v>
      </c>
      <c r="B1431" s="2">
        <f>IFERROR(__xludf.DUMMYFUNCTION("""COMPUTED_VALUE"""),12.55)</f>
        <v>12.55</v>
      </c>
      <c r="C1431" s="2">
        <f>IFERROR(__xludf.DUMMYFUNCTION("""COMPUTED_VALUE"""),13.16)</f>
        <v>13.16</v>
      </c>
      <c r="D1431" s="2">
        <f>IFERROR(__xludf.DUMMYFUNCTION("""COMPUTED_VALUE"""),12.28)</f>
        <v>12.28</v>
      </c>
      <c r="E1431" s="2">
        <f>IFERROR(__xludf.DUMMYFUNCTION("""COMPUTED_VALUE"""),13.05)</f>
        <v>13.05</v>
      </c>
      <c r="F1431" s="2">
        <f>IFERROR(__xludf.DUMMYFUNCTION("""COMPUTED_VALUE"""),4829018.0)</f>
        <v>4829018</v>
      </c>
    </row>
    <row r="1432">
      <c r="A1432" s="3">
        <f>IFERROR(__xludf.DUMMYFUNCTION("""COMPUTED_VALUE"""),42433.66666666667)</f>
        <v>42433.66667</v>
      </c>
      <c r="B1432" s="2">
        <f>IFERROR(__xludf.DUMMYFUNCTION("""COMPUTED_VALUE"""),13.2)</f>
        <v>13.2</v>
      </c>
      <c r="C1432" s="2">
        <f>IFERROR(__xludf.DUMMYFUNCTION("""COMPUTED_VALUE"""),13.6)</f>
        <v>13.6</v>
      </c>
      <c r="D1432" s="2">
        <f>IFERROR(__xludf.DUMMYFUNCTION("""COMPUTED_VALUE"""),13.17)</f>
        <v>13.17</v>
      </c>
      <c r="E1432" s="2">
        <f>IFERROR(__xludf.DUMMYFUNCTION("""COMPUTED_VALUE"""),13.4)</f>
        <v>13.4</v>
      </c>
      <c r="F1432" s="2">
        <f>IFERROR(__xludf.DUMMYFUNCTION("""COMPUTED_VALUE"""),6489058.0)</f>
        <v>6489058</v>
      </c>
    </row>
    <row r="1433">
      <c r="A1433" s="3">
        <f>IFERROR(__xludf.DUMMYFUNCTION("""COMPUTED_VALUE"""),42436.66666666667)</f>
        <v>42436.66667</v>
      </c>
      <c r="B1433" s="2">
        <f>IFERROR(__xludf.DUMMYFUNCTION("""COMPUTED_VALUE"""),13.18)</f>
        <v>13.18</v>
      </c>
      <c r="C1433" s="2">
        <f>IFERROR(__xludf.DUMMYFUNCTION("""COMPUTED_VALUE"""),13.98)</f>
        <v>13.98</v>
      </c>
      <c r="D1433" s="2">
        <f>IFERROR(__xludf.DUMMYFUNCTION("""COMPUTED_VALUE"""),13.16)</f>
        <v>13.16</v>
      </c>
      <c r="E1433" s="2">
        <f>IFERROR(__xludf.DUMMYFUNCTION("""COMPUTED_VALUE"""),13.69)</f>
        <v>13.69</v>
      </c>
      <c r="F1433" s="2">
        <f>IFERROR(__xludf.DUMMYFUNCTION("""COMPUTED_VALUE"""),5337072.0)</f>
        <v>5337072</v>
      </c>
    </row>
    <row r="1434">
      <c r="A1434" s="3">
        <f>IFERROR(__xludf.DUMMYFUNCTION("""COMPUTED_VALUE"""),42437.66666666667)</f>
        <v>42437.66667</v>
      </c>
      <c r="B1434" s="2">
        <f>IFERROR(__xludf.DUMMYFUNCTION("""COMPUTED_VALUE"""),13.57)</f>
        <v>13.57</v>
      </c>
      <c r="C1434" s="2">
        <f>IFERROR(__xludf.DUMMYFUNCTION("""COMPUTED_VALUE"""),13.83)</f>
        <v>13.83</v>
      </c>
      <c r="D1434" s="2">
        <f>IFERROR(__xludf.DUMMYFUNCTION("""COMPUTED_VALUE"""),13.48)</f>
        <v>13.48</v>
      </c>
      <c r="E1434" s="2">
        <f>IFERROR(__xludf.DUMMYFUNCTION("""COMPUTED_VALUE"""),13.51)</f>
        <v>13.51</v>
      </c>
      <c r="F1434" s="2">
        <f>IFERROR(__xludf.DUMMYFUNCTION("""COMPUTED_VALUE"""),4178693.0)</f>
        <v>4178693</v>
      </c>
    </row>
    <row r="1435">
      <c r="A1435" s="3">
        <f>IFERROR(__xludf.DUMMYFUNCTION("""COMPUTED_VALUE"""),42438.66666666667)</f>
        <v>42438.66667</v>
      </c>
      <c r="B1435" s="2">
        <f>IFERROR(__xludf.DUMMYFUNCTION("""COMPUTED_VALUE"""),13.63)</f>
        <v>13.63</v>
      </c>
      <c r="C1435" s="2">
        <f>IFERROR(__xludf.DUMMYFUNCTION("""COMPUTED_VALUE"""),13.96)</f>
        <v>13.96</v>
      </c>
      <c r="D1435" s="2">
        <f>IFERROR(__xludf.DUMMYFUNCTION("""COMPUTED_VALUE"""),13.52)</f>
        <v>13.52</v>
      </c>
      <c r="E1435" s="2">
        <f>IFERROR(__xludf.DUMMYFUNCTION("""COMPUTED_VALUE"""),13.91)</f>
        <v>13.91</v>
      </c>
      <c r="F1435" s="2">
        <f>IFERROR(__xludf.DUMMYFUNCTION("""COMPUTED_VALUE"""),3208554.0)</f>
        <v>3208554</v>
      </c>
    </row>
    <row r="1436">
      <c r="A1436" s="3">
        <f>IFERROR(__xludf.DUMMYFUNCTION("""COMPUTED_VALUE"""),42439.66666666667)</f>
        <v>42439.66667</v>
      </c>
      <c r="B1436" s="2">
        <f>IFERROR(__xludf.DUMMYFUNCTION("""COMPUTED_VALUE"""),14.0)</f>
        <v>14</v>
      </c>
      <c r="C1436" s="2">
        <f>IFERROR(__xludf.DUMMYFUNCTION("""COMPUTED_VALUE"""),14.22)</f>
        <v>14.22</v>
      </c>
      <c r="D1436" s="2">
        <f>IFERROR(__xludf.DUMMYFUNCTION("""COMPUTED_VALUE"""),13.38)</f>
        <v>13.38</v>
      </c>
      <c r="E1436" s="2">
        <f>IFERROR(__xludf.DUMMYFUNCTION("""COMPUTED_VALUE"""),13.68)</f>
        <v>13.68</v>
      </c>
      <c r="F1436" s="2">
        <f>IFERROR(__xludf.DUMMYFUNCTION("""COMPUTED_VALUE"""),5192523.0)</f>
        <v>5192523</v>
      </c>
    </row>
    <row r="1437">
      <c r="A1437" s="3">
        <f>IFERROR(__xludf.DUMMYFUNCTION("""COMPUTED_VALUE"""),42440.66666666667)</f>
        <v>42440.66667</v>
      </c>
      <c r="B1437" s="2">
        <f>IFERROR(__xludf.DUMMYFUNCTION("""COMPUTED_VALUE"""),13.86)</f>
        <v>13.86</v>
      </c>
      <c r="C1437" s="2">
        <f>IFERROR(__xludf.DUMMYFUNCTION("""COMPUTED_VALUE"""),13.96)</f>
        <v>13.96</v>
      </c>
      <c r="D1437" s="2">
        <f>IFERROR(__xludf.DUMMYFUNCTION("""COMPUTED_VALUE"""),13.69)</f>
        <v>13.69</v>
      </c>
      <c r="E1437" s="2">
        <f>IFERROR(__xludf.DUMMYFUNCTION("""COMPUTED_VALUE"""),13.83)</f>
        <v>13.83</v>
      </c>
      <c r="F1437" s="2">
        <f>IFERROR(__xludf.DUMMYFUNCTION("""COMPUTED_VALUE"""),3343077.0)</f>
        <v>3343077</v>
      </c>
    </row>
    <row r="1438">
      <c r="A1438" s="3">
        <f>IFERROR(__xludf.DUMMYFUNCTION("""COMPUTED_VALUE"""),42443.66666666667)</f>
        <v>42443.66667</v>
      </c>
      <c r="B1438" s="2">
        <f>IFERROR(__xludf.DUMMYFUNCTION("""COMPUTED_VALUE"""),14.18)</f>
        <v>14.18</v>
      </c>
      <c r="C1438" s="2">
        <f>IFERROR(__xludf.DUMMYFUNCTION("""COMPUTED_VALUE"""),14.45)</f>
        <v>14.45</v>
      </c>
      <c r="D1438" s="2">
        <f>IFERROR(__xludf.DUMMYFUNCTION("""COMPUTED_VALUE"""),14.04)</f>
        <v>14.04</v>
      </c>
      <c r="E1438" s="2">
        <f>IFERROR(__xludf.DUMMYFUNCTION("""COMPUTED_VALUE"""),14.34)</f>
        <v>14.34</v>
      </c>
      <c r="F1438" s="2">
        <f>IFERROR(__xludf.DUMMYFUNCTION("""COMPUTED_VALUE"""),4065706.0)</f>
        <v>4065706</v>
      </c>
    </row>
    <row r="1439">
      <c r="A1439" s="3">
        <f>IFERROR(__xludf.DUMMYFUNCTION("""COMPUTED_VALUE"""),42444.66666666667)</f>
        <v>42444.66667</v>
      </c>
      <c r="B1439" s="2">
        <f>IFERROR(__xludf.DUMMYFUNCTION("""COMPUTED_VALUE"""),14.28)</f>
        <v>14.28</v>
      </c>
      <c r="C1439" s="2">
        <f>IFERROR(__xludf.DUMMYFUNCTION("""COMPUTED_VALUE"""),14.6)</f>
        <v>14.6</v>
      </c>
      <c r="D1439" s="2">
        <f>IFERROR(__xludf.DUMMYFUNCTION("""COMPUTED_VALUE"""),14.1)</f>
        <v>14.1</v>
      </c>
      <c r="E1439" s="2">
        <f>IFERROR(__xludf.DUMMYFUNCTION("""COMPUTED_VALUE"""),14.56)</f>
        <v>14.56</v>
      </c>
      <c r="F1439" s="2">
        <f>IFERROR(__xludf.DUMMYFUNCTION("""COMPUTED_VALUE"""),3180452.0)</f>
        <v>3180452</v>
      </c>
    </row>
    <row r="1440">
      <c r="A1440" s="3">
        <f>IFERROR(__xludf.DUMMYFUNCTION("""COMPUTED_VALUE"""),42445.66666666667)</f>
        <v>42445.66667</v>
      </c>
      <c r="B1440" s="2">
        <f>IFERROR(__xludf.DUMMYFUNCTION("""COMPUTED_VALUE"""),14.53)</f>
        <v>14.53</v>
      </c>
      <c r="C1440" s="2">
        <f>IFERROR(__xludf.DUMMYFUNCTION("""COMPUTED_VALUE"""),14.84)</f>
        <v>14.84</v>
      </c>
      <c r="D1440" s="2">
        <f>IFERROR(__xludf.DUMMYFUNCTION("""COMPUTED_VALUE"""),14.47)</f>
        <v>14.47</v>
      </c>
      <c r="E1440" s="2">
        <f>IFERROR(__xludf.DUMMYFUNCTION("""COMPUTED_VALUE"""),14.8)</f>
        <v>14.8</v>
      </c>
      <c r="F1440" s="2">
        <f>IFERROR(__xludf.DUMMYFUNCTION("""COMPUTED_VALUE"""),3516703.0)</f>
        <v>3516703</v>
      </c>
    </row>
    <row r="1441">
      <c r="A1441" s="3">
        <f>IFERROR(__xludf.DUMMYFUNCTION("""COMPUTED_VALUE"""),42446.66666666667)</f>
        <v>42446.66667</v>
      </c>
      <c r="B1441" s="2">
        <f>IFERROR(__xludf.DUMMYFUNCTION("""COMPUTED_VALUE"""),14.76)</f>
        <v>14.76</v>
      </c>
      <c r="C1441" s="2">
        <f>IFERROR(__xludf.DUMMYFUNCTION("""COMPUTED_VALUE"""),15.23)</f>
        <v>15.23</v>
      </c>
      <c r="D1441" s="2">
        <f>IFERROR(__xludf.DUMMYFUNCTION("""COMPUTED_VALUE"""),14.67)</f>
        <v>14.67</v>
      </c>
      <c r="E1441" s="2">
        <f>IFERROR(__xludf.DUMMYFUNCTION("""COMPUTED_VALUE"""),15.09)</f>
        <v>15.09</v>
      </c>
      <c r="F1441" s="2">
        <f>IFERROR(__xludf.DUMMYFUNCTION("""COMPUTED_VALUE"""),1094018.0)</f>
        <v>1094018</v>
      </c>
    </row>
    <row r="1442">
      <c r="A1442" s="3">
        <f>IFERROR(__xludf.DUMMYFUNCTION("""COMPUTED_VALUE"""),42447.66666666667)</f>
        <v>42447.66667</v>
      </c>
      <c r="B1442" s="2">
        <f>IFERROR(__xludf.DUMMYFUNCTION("""COMPUTED_VALUE"""),15.27)</f>
        <v>15.27</v>
      </c>
      <c r="C1442" s="2">
        <f>IFERROR(__xludf.DUMMYFUNCTION("""COMPUTED_VALUE"""),15.63)</f>
        <v>15.63</v>
      </c>
      <c r="D1442" s="2">
        <f>IFERROR(__xludf.DUMMYFUNCTION("""COMPUTED_VALUE"""),15.2)</f>
        <v>15.2</v>
      </c>
      <c r="E1442" s="2">
        <f>IFERROR(__xludf.DUMMYFUNCTION("""COMPUTED_VALUE"""),15.52)</f>
        <v>15.52</v>
      </c>
      <c r="F1442" s="2">
        <f>IFERROR(__xludf.DUMMYFUNCTION("""COMPUTED_VALUE"""),4711793.0)</f>
        <v>4711793</v>
      </c>
    </row>
    <row r="1443">
      <c r="A1443" s="3">
        <f>IFERROR(__xludf.DUMMYFUNCTION("""COMPUTED_VALUE"""),42450.66666666667)</f>
        <v>42450.66667</v>
      </c>
      <c r="B1443" s="2">
        <f>IFERROR(__xludf.DUMMYFUNCTION("""COMPUTED_VALUE"""),15.69)</f>
        <v>15.69</v>
      </c>
      <c r="C1443" s="2">
        <f>IFERROR(__xludf.DUMMYFUNCTION("""COMPUTED_VALUE"""),15.99)</f>
        <v>15.99</v>
      </c>
      <c r="D1443" s="2">
        <f>IFERROR(__xludf.DUMMYFUNCTION("""COMPUTED_VALUE"""),15.67)</f>
        <v>15.67</v>
      </c>
      <c r="E1443" s="2">
        <f>IFERROR(__xludf.DUMMYFUNCTION("""COMPUTED_VALUE"""),15.89)</f>
        <v>15.89</v>
      </c>
      <c r="F1443" s="2">
        <f>IFERROR(__xludf.DUMMYFUNCTION("""COMPUTED_VALUE"""),5307822.0)</f>
        <v>5307822</v>
      </c>
    </row>
    <row r="1444">
      <c r="A1444" s="3">
        <f>IFERROR(__xludf.DUMMYFUNCTION("""COMPUTED_VALUE"""),42451.66666666667)</f>
        <v>42451.66667</v>
      </c>
      <c r="B1444" s="2">
        <f>IFERROR(__xludf.DUMMYFUNCTION("""COMPUTED_VALUE"""),15.81)</f>
        <v>15.81</v>
      </c>
      <c r="C1444" s="2">
        <f>IFERROR(__xludf.DUMMYFUNCTION("""COMPUTED_VALUE"""),15.93)</f>
        <v>15.93</v>
      </c>
      <c r="D1444" s="2">
        <f>IFERROR(__xludf.DUMMYFUNCTION("""COMPUTED_VALUE"""),15.5)</f>
        <v>15.5</v>
      </c>
      <c r="E1444" s="2">
        <f>IFERROR(__xludf.DUMMYFUNCTION("""COMPUTED_VALUE"""),15.62)</f>
        <v>15.62</v>
      </c>
      <c r="F1444" s="2">
        <f>IFERROR(__xludf.DUMMYFUNCTION("""COMPUTED_VALUE"""),4315988.0)</f>
        <v>4315988</v>
      </c>
    </row>
    <row r="1445">
      <c r="A1445" s="3">
        <f>IFERROR(__xludf.DUMMYFUNCTION("""COMPUTED_VALUE"""),42452.66666666667)</f>
        <v>42452.66667</v>
      </c>
      <c r="B1445" s="2">
        <f>IFERROR(__xludf.DUMMYFUNCTION("""COMPUTED_VALUE"""),15.49)</f>
        <v>15.49</v>
      </c>
      <c r="C1445" s="2">
        <f>IFERROR(__xludf.DUMMYFUNCTION("""COMPUTED_VALUE"""),15.65)</f>
        <v>15.65</v>
      </c>
      <c r="D1445" s="2">
        <f>IFERROR(__xludf.DUMMYFUNCTION("""COMPUTED_VALUE"""),14.8)</f>
        <v>14.8</v>
      </c>
      <c r="E1445" s="2">
        <f>IFERROR(__xludf.DUMMYFUNCTION("""COMPUTED_VALUE"""),14.84)</f>
        <v>14.84</v>
      </c>
      <c r="F1445" s="2">
        <f>IFERROR(__xludf.DUMMYFUNCTION("""COMPUTED_VALUE"""),4948841.0)</f>
        <v>4948841</v>
      </c>
    </row>
    <row r="1446">
      <c r="A1446" s="3">
        <f>IFERROR(__xludf.DUMMYFUNCTION("""COMPUTED_VALUE"""),42453.66666666667)</f>
        <v>42453.66667</v>
      </c>
      <c r="B1446" s="2">
        <f>IFERROR(__xludf.DUMMYFUNCTION("""COMPUTED_VALUE"""),14.39)</f>
        <v>14.39</v>
      </c>
      <c r="C1446" s="2">
        <f>IFERROR(__xludf.DUMMYFUNCTION("""COMPUTED_VALUE"""),15.26)</f>
        <v>15.26</v>
      </c>
      <c r="D1446" s="2">
        <f>IFERROR(__xludf.DUMMYFUNCTION("""COMPUTED_VALUE"""),14.33)</f>
        <v>14.33</v>
      </c>
      <c r="E1446" s="2">
        <f>IFERROR(__xludf.DUMMYFUNCTION("""COMPUTED_VALUE"""),15.18)</f>
        <v>15.18</v>
      </c>
      <c r="F1446" s="2">
        <f>IFERROR(__xludf.DUMMYFUNCTION("""COMPUTED_VALUE"""),4960900.0)</f>
        <v>4960900</v>
      </c>
    </row>
    <row r="1447">
      <c r="A1447" s="3">
        <f>IFERROR(__xludf.DUMMYFUNCTION("""COMPUTED_VALUE"""),42457.66666666667)</f>
        <v>42457.66667</v>
      </c>
      <c r="B1447" s="2">
        <f>IFERROR(__xludf.DUMMYFUNCTION("""COMPUTED_VALUE"""),15.44)</f>
        <v>15.44</v>
      </c>
      <c r="C1447" s="2">
        <f>IFERROR(__xludf.DUMMYFUNCTION("""COMPUTED_VALUE"""),15.65)</f>
        <v>15.65</v>
      </c>
      <c r="D1447" s="2">
        <f>IFERROR(__xludf.DUMMYFUNCTION("""COMPUTED_VALUE"""),15.0)</f>
        <v>15</v>
      </c>
      <c r="E1447" s="2">
        <f>IFERROR(__xludf.DUMMYFUNCTION("""COMPUTED_VALUE"""),15.35)</f>
        <v>15.35</v>
      </c>
      <c r="F1447" s="2">
        <f>IFERROR(__xludf.DUMMYFUNCTION("""COMPUTED_VALUE"""),3925685.0)</f>
        <v>3925685</v>
      </c>
    </row>
    <row r="1448">
      <c r="A1448" s="3">
        <f>IFERROR(__xludf.DUMMYFUNCTION("""COMPUTED_VALUE"""),42458.66666666667)</f>
        <v>42458.66667</v>
      </c>
      <c r="B1448" s="2">
        <f>IFERROR(__xludf.DUMMYFUNCTION("""COMPUTED_VALUE"""),15.33)</f>
        <v>15.33</v>
      </c>
      <c r="C1448" s="2">
        <f>IFERROR(__xludf.DUMMYFUNCTION("""COMPUTED_VALUE"""),15.49)</f>
        <v>15.49</v>
      </c>
      <c r="D1448" s="2">
        <f>IFERROR(__xludf.DUMMYFUNCTION("""COMPUTED_VALUE"""),15.02)</f>
        <v>15.02</v>
      </c>
      <c r="E1448" s="2">
        <f>IFERROR(__xludf.DUMMYFUNCTION("""COMPUTED_VALUE"""),15.34)</f>
        <v>15.34</v>
      </c>
      <c r="F1448" s="2">
        <f>IFERROR(__xludf.DUMMYFUNCTION("""COMPUTED_VALUE"""),4014330.0)</f>
        <v>4014330</v>
      </c>
    </row>
    <row r="1449">
      <c r="A1449" s="3">
        <f>IFERROR(__xludf.DUMMYFUNCTION("""COMPUTED_VALUE"""),42459.66666666667)</f>
        <v>42459.66667</v>
      </c>
      <c r="B1449" s="2">
        <f>IFERROR(__xludf.DUMMYFUNCTION("""COMPUTED_VALUE"""),15.67)</f>
        <v>15.67</v>
      </c>
      <c r="C1449" s="2">
        <f>IFERROR(__xludf.DUMMYFUNCTION("""COMPUTED_VALUE"""),15.7)</f>
        <v>15.7</v>
      </c>
      <c r="D1449" s="2">
        <f>IFERROR(__xludf.DUMMYFUNCTION("""COMPUTED_VALUE"""),15.1)</f>
        <v>15.1</v>
      </c>
      <c r="E1449" s="2">
        <f>IFERROR(__xludf.DUMMYFUNCTION("""COMPUTED_VALUE"""),15.13)</f>
        <v>15.13</v>
      </c>
      <c r="F1449" s="2">
        <f>IFERROR(__xludf.DUMMYFUNCTION("""COMPUTED_VALUE"""),4032982.0)</f>
        <v>4032982</v>
      </c>
    </row>
    <row r="1450">
      <c r="A1450" s="3">
        <f>IFERROR(__xludf.DUMMYFUNCTION("""COMPUTED_VALUE"""),42460.66666666667)</f>
        <v>42460.66667</v>
      </c>
      <c r="B1450" s="2">
        <f>IFERROR(__xludf.DUMMYFUNCTION("""COMPUTED_VALUE"""),15.29)</f>
        <v>15.29</v>
      </c>
      <c r="C1450" s="2">
        <f>IFERROR(__xludf.DUMMYFUNCTION("""COMPUTED_VALUE"""),15.83)</f>
        <v>15.83</v>
      </c>
      <c r="D1450" s="2">
        <f>IFERROR(__xludf.DUMMYFUNCTION("""COMPUTED_VALUE"""),15.0)</f>
        <v>15</v>
      </c>
      <c r="E1450" s="2">
        <f>IFERROR(__xludf.DUMMYFUNCTION("""COMPUTED_VALUE"""),15.32)</f>
        <v>15.32</v>
      </c>
      <c r="F1450" s="2">
        <f>IFERROR(__xludf.DUMMYFUNCTION("""COMPUTED_VALUE"""),8012872.0)</f>
        <v>8012872</v>
      </c>
    </row>
    <row r="1451">
      <c r="A1451" s="3">
        <f>IFERROR(__xludf.DUMMYFUNCTION("""COMPUTED_VALUE"""),42461.66666666667)</f>
        <v>42461.66667</v>
      </c>
      <c r="B1451" s="2">
        <f>IFERROR(__xludf.DUMMYFUNCTION("""COMPUTED_VALUE"""),16.32)</f>
        <v>16.32</v>
      </c>
      <c r="C1451" s="2">
        <f>IFERROR(__xludf.DUMMYFUNCTION("""COMPUTED_VALUE"""),16.53)</f>
        <v>16.53</v>
      </c>
      <c r="D1451" s="2">
        <f>IFERROR(__xludf.DUMMYFUNCTION("""COMPUTED_VALUE"""),15.55)</f>
        <v>15.55</v>
      </c>
      <c r="E1451" s="2">
        <f>IFERROR(__xludf.DUMMYFUNCTION("""COMPUTED_VALUE"""),15.84)</f>
        <v>15.84</v>
      </c>
      <c r="F1451" s="2">
        <f>IFERROR(__xludf.DUMMYFUNCTION("""COMPUTED_VALUE"""),1.5997509E7)</f>
        <v>15997509</v>
      </c>
    </row>
    <row r="1452">
      <c r="A1452" s="3">
        <f>IFERROR(__xludf.DUMMYFUNCTION("""COMPUTED_VALUE"""),42464.66666666667)</f>
        <v>42464.66667</v>
      </c>
      <c r="B1452" s="2">
        <f>IFERROR(__xludf.DUMMYFUNCTION("""COMPUTED_VALUE"""),16.61)</f>
        <v>16.61</v>
      </c>
      <c r="C1452" s="2">
        <f>IFERROR(__xludf.DUMMYFUNCTION("""COMPUTED_VALUE"""),16.81)</f>
        <v>16.81</v>
      </c>
      <c r="D1452" s="2">
        <f>IFERROR(__xludf.DUMMYFUNCTION("""COMPUTED_VALUE"""),16.24)</f>
        <v>16.24</v>
      </c>
      <c r="E1452" s="2">
        <f>IFERROR(__xludf.DUMMYFUNCTION("""COMPUTED_VALUE"""),16.47)</f>
        <v>16.47</v>
      </c>
      <c r="F1452" s="2">
        <f>IFERROR(__xludf.DUMMYFUNCTION("""COMPUTED_VALUE"""),1.3475327E7)</f>
        <v>13475327</v>
      </c>
    </row>
    <row r="1453">
      <c r="A1453" s="3">
        <f>IFERROR(__xludf.DUMMYFUNCTION("""COMPUTED_VALUE"""),42465.66666666667)</f>
        <v>42465.66667</v>
      </c>
      <c r="B1453" s="2">
        <f>IFERROR(__xludf.DUMMYFUNCTION("""COMPUTED_VALUE"""),16.03)</f>
        <v>16.03</v>
      </c>
      <c r="C1453" s="2">
        <f>IFERROR(__xludf.DUMMYFUNCTION("""COMPUTED_VALUE"""),17.1)</f>
        <v>17.1</v>
      </c>
      <c r="D1453" s="2">
        <f>IFERROR(__xludf.DUMMYFUNCTION("""COMPUTED_VALUE"""),16.0)</f>
        <v>16</v>
      </c>
      <c r="E1453" s="2">
        <f>IFERROR(__xludf.DUMMYFUNCTION("""COMPUTED_VALUE"""),17.03)</f>
        <v>17.03</v>
      </c>
      <c r="F1453" s="2">
        <f>IFERROR(__xludf.DUMMYFUNCTION("""COMPUTED_VALUE"""),9948699.0)</f>
        <v>9948699</v>
      </c>
    </row>
    <row r="1454">
      <c r="A1454" s="3">
        <f>IFERROR(__xludf.DUMMYFUNCTION("""COMPUTED_VALUE"""),42466.66666666667)</f>
        <v>42466.66667</v>
      </c>
      <c r="B1454" s="2">
        <f>IFERROR(__xludf.DUMMYFUNCTION("""COMPUTED_VALUE"""),16.93)</f>
        <v>16.93</v>
      </c>
      <c r="C1454" s="2">
        <f>IFERROR(__xludf.DUMMYFUNCTION("""COMPUTED_VALUE"""),17.85)</f>
        <v>17.85</v>
      </c>
      <c r="D1454" s="2">
        <f>IFERROR(__xludf.DUMMYFUNCTION("""COMPUTED_VALUE"""),16.9)</f>
        <v>16.9</v>
      </c>
      <c r="E1454" s="2">
        <f>IFERROR(__xludf.DUMMYFUNCTION("""COMPUTED_VALUE"""),17.69)</f>
        <v>17.69</v>
      </c>
      <c r="F1454" s="2">
        <f>IFERROR(__xludf.DUMMYFUNCTION("""COMPUTED_VALUE"""),1.1705479E7)</f>
        <v>11705479</v>
      </c>
    </row>
    <row r="1455">
      <c r="A1455" s="3">
        <f>IFERROR(__xludf.DUMMYFUNCTION("""COMPUTED_VALUE"""),42467.66666666667)</f>
        <v>42467.66667</v>
      </c>
      <c r="B1455" s="2">
        <f>IFERROR(__xludf.DUMMYFUNCTION("""COMPUTED_VALUE"""),17.76)</f>
        <v>17.76</v>
      </c>
      <c r="C1455" s="2">
        <f>IFERROR(__xludf.DUMMYFUNCTION("""COMPUTED_VALUE"""),17.96)</f>
        <v>17.96</v>
      </c>
      <c r="D1455" s="2">
        <f>IFERROR(__xludf.DUMMYFUNCTION("""COMPUTED_VALUE"""),16.97)</f>
        <v>16.97</v>
      </c>
      <c r="E1455" s="2">
        <f>IFERROR(__xludf.DUMMYFUNCTION("""COMPUTED_VALUE"""),17.15)</f>
        <v>17.15</v>
      </c>
      <c r="F1455" s="2">
        <f>IFERROR(__xludf.DUMMYFUNCTION("""COMPUTED_VALUE"""),8856171.0)</f>
        <v>8856171</v>
      </c>
    </row>
    <row r="1456">
      <c r="A1456" s="3">
        <f>IFERROR(__xludf.DUMMYFUNCTION("""COMPUTED_VALUE"""),42468.66666666667)</f>
        <v>42468.66667</v>
      </c>
      <c r="B1456" s="2">
        <f>IFERROR(__xludf.DUMMYFUNCTION("""COMPUTED_VALUE"""),17.37)</f>
        <v>17.37</v>
      </c>
      <c r="C1456" s="2">
        <f>IFERROR(__xludf.DUMMYFUNCTION("""COMPUTED_VALUE"""),17.39)</f>
        <v>17.39</v>
      </c>
      <c r="D1456" s="2">
        <f>IFERROR(__xludf.DUMMYFUNCTION("""COMPUTED_VALUE"""),16.53)</f>
        <v>16.53</v>
      </c>
      <c r="E1456" s="2">
        <f>IFERROR(__xludf.DUMMYFUNCTION("""COMPUTED_VALUE"""),16.67)</f>
        <v>16.67</v>
      </c>
      <c r="F1456" s="2">
        <f>IFERROR(__xludf.DUMMYFUNCTION("""COMPUTED_VALUE"""),7363935.0)</f>
        <v>7363935</v>
      </c>
    </row>
    <row r="1457">
      <c r="A1457" s="3">
        <f>IFERROR(__xludf.DUMMYFUNCTION("""COMPUTED_VALUE"""),42471.66666666667)</f>
        <v>42471.66667</v>
      </c>
      <c r="B1457" s="2">
        <f>IFERROR(__xludf.DUMMYFUNCTION("""COMPUTED_VALUE"""),16.73)</f>
        <v>16.73</v>
      </c>
      <c r="C1457" s="2">
        <f>IFERROR(__xludf.DUMMYFUNCTION("""COMPUTED_VALUE"""),17.27)</f>
        <v>17.27</v>
      </c>
      <c r="D1457" s="2">
        <f>IFERROR(__xludf.DUMMYFUNCTION("""COMPUTED_VALUE"""),16.35)</f>
        <v>16.35</v>
      </c>
      <c r="E1457" s="2">
        <f>IFERROR(__xludf.DUMMYFUNCTION("""COMPUTED_VALUE"""),16.66)</f>
        <v>16.66</v>
      </c>
      <c r="F1457" s="2">
        <f>IFERROR(__xludf.DUMMYFUNCTION("""COMPUTED_VALUE"""),9161693.0)</f>
        <v>9161693</v>
      </c>
    </row>
    <row r="1458">
      <c r="A1458" s="3">
        <f>IFERROR(__xludf.DUMMYFUNCTION("""COMPUTED_VALUE"""),42472.66666666667)</f>
        <v>42472.66667</v>
      </c>
      <c r="B1458" s="2">
        <f>IFERROR(__xludf.DUMMYFUNCTION("""COMPUTED_VALUE"""),16.63)</f>
        <v>16.63</v>
      </c>
      <c r="C1458" s="2">
        <f>IFERROR(__xludf.DUMMYFUNCTION("""COMPUTED_VALUE"""),16.79)</f>
        <v>16.79</v>
      </c>
      <c r="D1458" s="2">
        <f>IFERROR(__xludf.DUMMYFUNCTION("""COMPUTED_VALUE"""),16.24)</f>
        <v>16.24</v>
      </c>
      <c r="E1458" s="2">
        <f>IFERROR(__xludf.DUMMYFUNCTION("""COMPUTED_VALUE"""),16.52)</f>
        <v>16.52</v>
      </c>
      <c r="F1458" s="2">
        <f>IFERROR(__xludf.DUMMYFUNCTION("""COMPUTED_VALUE"""),5763208.0)</f>
        <v>5763208</v>
      </c>
    </row>
    <row r="1459">
      <c r="A1459" s="3">
        <f>IFERROR(__xludf.DUMMYFUNCTION("""COMPUTED_VALUE"""),42473.66666666667)</f>
        <v>42473.66667</v>
      </c>
      <c r="B1459" s="2">
        <f>IFERROR(__xludf.DUMMYFUNCTION("""COMPUTED_VALUE"""),16.57)</f>
        <v>16.57</v>
      </c>
      <c r="C1459" s="2">
        <f>IFERROR(__xludf.DUMMYFUNCTION("""COMPUTED_VALUE"""),17.03)</f>
        <v>17.03</v>
      </c>
      <c r="D1459" s="2">
        <f>IFERROR(__xludf.DUMMYFUNCTION("""COMPUTED_VALUE"""),16.49)</f>
        <v>16.49</v>
      </c>
      <c r="E1459" s="2">
        <f>IFERROR(__xludf.DUMMYFUNCTION("""COMPUTED_VALUE"""),16.97)</f>
        <v>16.97</v>
      </c>
      <c r="F1459" s="2">
        <f>IFERROR(__xludf.DUMMYFUNCTION("""COMPUTED_VALUE"""),4925595.0)</f>
        <v>4925595</v>
      </c>
    </row>
    <row r="1460">
      <c r="A1460" s="3">
        <f>IFERROR(__xludf.DUMMYFUNCTION("""COMPUTED_VALUE"""),42474.66666666667)</f>
        <v>42474.66667</v>
      </c>
      <c r="B1460" s="2">
        <f>IFERROR(__xludf.DUMMYFUNCTION("""COMPUTED_VALUE"""),16.87)</f>
        <v>16.87</v>
      </c>
      <c r="C1460" s="2">
        <f>IFERROR(__xludf.DUMMYFUNCTION("""COMPUTED_VALUE"""),17.12)</f>
        <v>17.12</v>
      </c>
      <c r="D1460" s="2">
        <f>IFERROR(__xludf.DUMMYFUNCTION("""COMPUTED_VALUE"""),16.74)</f>
        <v>16.74</v>
      </c>
      <c r="E1460" s="2">
        <f>IFERROR(__xludf.DUMMYFUNCTION("""COMPUTED_VALUE"""),16.79)</f>
        <v>16.79</v>
      </c>
      <c r="F1460" s="2">
        <f>IFERROR(__xludf.DUMMYFUNCTION("""COMPUTED_VALUE"""),4132185.0)</f>
        <v>4132185</v>
      </c>
    </row>
    <row r="1461">
      <c r="A1461" s="3">
        <f>IFERROR(__xludf.DUMMYFUNCTION("""COMPUTED_VALUE"""),42475.66666666667)</f>
        <v>42475.66667</v>
      </c>
      <c r="B1461" s="2">
        <f>IFERROR(__xludf.DUMMYFUNCTION("""COMPUTED_VALUE"""),16.75)</f>
        <v>16.75</v>
      </c>
      <c r="C1461" s="2">
        <f>IFERROR(__xludf.DUMMYFUNCTION("""COMPUTED_VALUE"""),16.97)</f>
        <v>16.97</v>
      </c>
      <c r="D1461" s="2">
        <f>IFERROR(__xludf.DUMMYFUNCTION("""COMPUTED_VALUE"""),16.61)</f>
        <v>16.61</v>
      </c>
      <c r="E1461" s="2">
        <f>IFERROR(__xludf.DUMMYFUNCTION("""COMPUTED_VALUE"""),16.97)</f>
        <v>16.97</v>
      </c>
      <c r="F1461" s="2">
        <f>IFERROR(__xludf.DUMMYFUNCTION("""COMPUTED_VALUE"""),3752366.0)</f>
        <v>3752366</v>
      </c>
    </row>
    <row r="1462">
      <c r="A1462" s="3">
        <f>IFERROR(__xludf.DUMMYFUNCTION("""COMPUTED_VALUE"""),42478.66666666667)</f>
        <v>42478.66667</v>
      </c>
      <c r="B1462" s="2">
        <f>IFERROR(__xludf.DUMMYFUNCTION("""COMPUTED_VALUE"""),16.82)</f>
        <v>16.82</v>
      </c>
      <c r="C1462" s="2">
        <f>IFERROR(__xludf.DUMMYFUNCTION("""COMPUTED_VALUE"""),17.22)</f>
        <v>17.22</v>
      </c>
      <c r="D1462" s="2">
        <f>IFERROR(__xludf.DUMMYFUNCTION("""COMPUTED_VALUE"""),16.78)</f>
        <v>16.78</v>
      </c>
      <c r="E1462" s="2">
        <f>IFERROR(__xludf.DUMMYFUNCTION("""COMPUTED_VALUE"""),16.93)</f>
        <v>16.93</v>
      </c>
      <c r="F1462" s="2">
        <f>IFERROR(__xludf.DUMMYFUNCTION("""COMPUTED_VALUE"""),4271362.0)</f>
        <v>4271362</v>
      </c>
    </row>
    <row r="1463">
      <c r="A1463" s="3">
        <f>IFERROR(__xludf.DUMMYFUNCTION("""COMPUTED_VALUE"""),42479.66666666667)</f>
        <v>42479.66667</v>
      </c>
      <c r="B1463" s="2">
        <f>IFERROR(__xludf.DUMMYFUNCTION("""COMPUTED_VALUE"""),16.87)</f>
        <v>16.87</v>
      </c>
      <c r="C1463" s="2">
        <f>IFERROR(__xludf.DUMMYFUNCTION("""COMPUTED_VALUE"""),16.96)</f>
        <v>16.96</v>
      </c>
      <c r="D1463" s="2">
        <f>IFERROR(__xludf.DUMMYFUNCTION("""COMPUTED_VALUE"""),16.08)</f>
        <v>16.08</v>
      </c>
      <c r="E1463" s="2">
        <f>IFERROR(__xludf.DUMMYFUNCTION("""COMPUTED_VALUE"""),16.49)</f>
        <v>16.49</v>
      </c>
      <c r="F1463" s="2">
        <f>IFERROR(__xludf.DUMMYFUNCTION("""COMPUTED_VALUE"""),6357526.0)</f>
        <v>6357526</v>
      </c>
    </row>
    <row r="1464">
      <c r="A1464" s="3">
        <f>IFERROR(__xludf.DUMMYFUNCTION("""COMPUTED_VALUE"""),42480.66666666667)</f>
        <v>42480.66667</v>
      </c>
      <c r="B1464" s="2">
        <f>IFERROR(__xludf.DUMMYFUNCTION("""COMPUTED_VALUE"""),16.42)</f>
        <v>16.42</v>
      </c>
      <c r="C1464" s="2">
        <f>IFERROR(__xludf.DUMMYFUNCTION("""COMPUTED_VALUE"""),16.91)</f>
        <v>16.91</v>
      </c>
      <c r="D1464" s="2">
        <f>IFERROR(__xludf.DUMMYFUNCTION("""COMPUTED_VALUE"""),16.1)</f>
        <v>16.1</v>
      </c>
      <c r="E1464" s="2">
        <f>IFERROR(__xludf.DUMMYFUNCTION("""COMPUTED_VALUE"""),16.66)</f>
        <v>16.66</v>
      </c>
      <c r="F1464" s="2">
        <f>IFERROR(__xludf.DUMMYFUNCTION("""COMPUTED_VALUE"""),5194051.0)</f>
        <v>5194051</v>
      </c>
    </row>
    <row r="1465">
      <c r="A1465" s="3">
        <f>IFERROR(__xludf.DUMMYFUNCTION("""COMPUTED_VALUE"""),42481.66666666667)</f>
        <v>42481.66667</v>
      </c>
      <c r="B1465" s="2">
        <f>IFERROR(__xludf.DUMMYFUNCTION("""COMPUTED_VALUE"""),16.6)</f>
        <v>16.6</v>
      </c>
      <c r="C1465" s="2">
        <f>IFERROR(__xludf.DUMMYFUNCTION("""COMPUTED_VALUE"""),16.73)</f>
        <v>16.73</v>
      </c>
      <c r="D1465" s="2">
        <f>IFERROR(__xludf.DUMMYFUNCTION("""COMPUTED_VALUE"""),16.46)</f>
        <v>16.46</v>
      </c>
      <c r="E1465" s="2">
        <f>IFERROR(__xludf.DUMMYFUNCTION("""COMPUTED_VALUE"""),16.55)</f>
        <v>16.55</v>
      </c>
      <c r="F1465" s="2">
        <f>IFERROR(__xludf.DUMMYFUNCTION("""COMPUTED_VALUE"""),2783059.0)</f>
        <v>2783059</v>
      </c>
    </row>
    <row r="1466">
      <c r="A1466" s="3">
        <f>IFERROR(__xludf.DUMMYFUNCTION("""COMPUTED_VALUE"""),42482.66666666667)</f>
        <v>42482.66667</v>
      </c>
      <c r="B1466" s="2">
        <f>IFERROR(__xludf.DUMMYFUNCTION("""COMPUTED_VALUE"""),16.59)</f>
        <v>16.59</v>
      </c>
      <c r="C1466" s="2">
        <f>IFERROR(__xludf.DUMMYFUNCTION("""COMPUTED_VALUE"""),16.93)</f>
        <v>16.93</v>
      </c>
      <c r="D1466" s="2">
        <f>IFERROR(__xludf.DUMMYFUNCTION("""COMPUTED_VALUE"""),16.38)</f>
        <v>16.38</v>
      </c>
      <c r="E1466" s="2">
        <f>IFERROR(__xludf.DUMMYFUNCTION("""COMPUTED_VALUE"""),16.92)</f>
        <v>16.92</v>
      </c>
      <c r="F1466" s="2">
        <f>IFERROR(__xludf.DUMMYFUNCTION("""COMPUTED_VALUE"""),3786327.0)</f>
        <v>3786327</v>
      </c>
    </row>
    <row r="1467">
      <c r="A1467" s="3">
        <f>IFERROR(__xludf.DUMMYFUNCTION("""COMPUTED_VALUE"""),42485.66666666667)</f>
        <v>42485.66667</v>
      </c>
      <c r="B1467" s="2">
        <f>IFERROR(__xludf.DUMMYFUNCTION("""COMPUTED_VALUE"""),16.87)</f>
        <v>16.87</v>
      </c>
      <c r="C1467" s="2">
        <f>IFERROR(__xludf.DUMMYFUNCTION("""COMPUTED_VALUE"""),17.16)</f>
        <v>17.16</v>
      </c>
      <c r="D1467" s="2">
        <f>IFERROR(__xludf.DUMMYFUNCTION("""COMPUTED_VALUE"""),16.72)</f>
        <v>16.72</v>
      </c>
      <c r="E1467" s="2">
        <f>IFERROR(__xludf.DUMMYFUNCTION("""COMPUTED_VALUE"""),16.79)</f>
        <v>16.79</v>
      </c>
      <c r="F1467" s="2">
        <f>IFERROR(__xludf.DUMMYFUNCTION("""COMPUTED_VALUE"""),3670348.0)</f>
        <v>3670348</v>
      </c>
    </row>
    <row r="1468">
      <c r="A1468" s="3">
        <f>IFERROR(__xludf.DUMMYFUNCTION("""COMPUTED_VALUE"""),42486.66666666667)</f>
        <v>42486.66667</v>
      </c>
      <c r="B1468" s="2">
        <f>IFERROR(__xludf.DUMMYFUNCTION("""COMPUTED_VALUE"""),16.8)</f>
        <v>16.8</v>
      </c>
      <c r="C1468" s="2">
        <f>IFERROR(__xludf.DUMMYFUNCTION("""COMPUTED_VALUE"""),17.05)</f>
        <v>17.05</v>
      </c>
      <c r="D1468" s="2">
        <f>IFERROR(__xludf.DUMMYFUNCTION("""COMPUTED_VALUE"""),16.63)</f>
        <v>16.63</v>
      </c>
      <c r="E1468" s="2">
        <f>IFERROR(__xludf.DUMMYFUNCTION("""COMPUTED_VALUE"""),16.92)</f>
        <v>16.92</v>
      </c>
      <c r="F1468" s="2">
        <f>IFERROR(__xludf.DUMMYFUNCTION("""COMPUTED_VALUE"""),3223839.0)</f>
        <v>3223839</v>
      </c>
    </row>
    <row r="1469">
      <c r="A1469" s="3">
        <f>IFERROR(__xludf.DUMMYFUNCTION("""COMPUTED_VALUE"""),42487.66666666667)</f>
        <v>42487.66667</v>
      </c>
      <c r="B1469" s="2">
        <f>IFERROR(__xludf.DUMMYFUNCTION("""COMPUTED_VALUE"""),16.85)</f>
        <v>16.85</v>
      </c>
      <c r="C1469" s="2">
        <f>IFERROR(__xludf.DUMMYFUNCTION("""COMPUTED_VALUE"""),17.0)</f>
        <v>17</v>
      </c>
      <c r="D1469" s="2">
        <f>IFERROR(__xludf.DUMMYFUNCTION("""COMPUTED_VALUE"""),16.63)</f>
        <v>16.63</v>
      </c>
      <c r="E1469" s="2">
        <f>IFERROR(__xludf.DUMMYFUNCTION("""COMPUTED_VALUE"""),16.76)</f>
        <v>16.76</v>
      </c>
      <c r="F1469" s="2">
        <f>IFERROR(__xludf.DUMMYFUNCTION("""COMPUTED_VALUE"""),3205808.0)</f>
        <v>3205808</v>
      </c>
    </row>
    <row r="1470">
      <c r="A1470" s="3">
        <f>IFERROR(__xludf.DUMMYFUNCTION("""COMPUTED_VALUE"""),42488.66666666667)</f>
        <v>42488.66667</v>
      </c>
      <c r="B1470" s="2">
        <f>IFERROR(__xludf.DUMMYFUNCTION("""COMPUTED_VALUE"""),16.66)</f>
        <v>16.66</v>
      </c>
      <c r="C1470" s="2">
        <f>IFERROR(__xludf.DUMMYFUNCTION("""COMPUTED_VALUE"""),16.9)</f>
        <v>16.9</v>
      </c>
      <c r="D1470" s="2">
        <f>IFERROR(__xludf.DUMMYFUNCTION("""COMPUTED_VALUE"""),16.5)</f>
        <v>16.5</v>
      </c>
      <c r="E1470" s="2">
        <f>IFERROR(__xludf.DUMMYFUNCTION("""COMPUTED_VALUE"""),16.51)</f>
        <v>16.51</v>
      </c>
      <c r="F1470" s="2">
        <f>IFERROR(__xludf.DUMMYFUNCTION("""COMPUTED_VALUE"""),2518990.0)</f>
        <v>2518990</v>
      </c>
    </row>
    <row r="1471">
      <c r="A1471" s="3">
        <f>IFERROR(__xludf.DUMMYFUNCTION("""COMPUTED_VALUE"""),42489.66666666667)</f>
        <v>42489.66667</v>
      </c>
      <c r="B1471" s="2">
        <f>IFERROR(__xludf.DUMMYFUNCTION("""COMPUTED_VALUE"""),16.54)</f>
        <v>16.54</v>
      </c>
      <c r="C1471" s="2">
        <f>IFERROR(__xludf.DUMMYFUNCTION("""COMPUTED_VALUE"""),16.56)</f>
        <v>16.56</v>
      </c>
      <c r="D1471" s="2">
        <f>IFERROR(__xludf.DUMMYFUNCTION("""COMPUTED_VALUE"""),15.85)</f>
        <v>15.85</v>
      </c>
      <c r="E1471" s="2">
        <f>IFERROR(__xludf.DUMMYFUNCTION("""COMPUTED_VALUE"""),16.05)</f>
        <v>16.05</v>
      </c>
      <c r="F1471" s="2">
        <f>IFERROR(__xludf.DUMMYFUNCTION("""COMPUTED_VALUE"""),5413787.0)</f>
        <v>5413787</v>
      </c>
    </row>
    <row r="1472">
      <c r="A1472" s="3">
        <f>IFERROR(__xludf.DUMMYFUNCTION("""COMPUTED_VALUE"""),42492.66666666667)</f>
        <v>42492.66667</v>
      </c>
      <c r="B1472" s="2">
        <f>IFERROR(__xludf.DUMMYFUNCTION("""COMPUTED_VALUE"""),16.1)</f>
        <v>16.1</v>
      </c>
      <c r="C1472" s="2">
        <f>IFERROR(__xludf.DUMMYFUNCTION("""COMPUTED_VALUE"""),16.21)</f>
        <v>16.21</v>
      </c>
      <c r="D1472" s="2">
        <f>IFERROR(__xludf.DUMMYFUNCTION("""COMPUTED_VALUE"""),15.65)</f>
        <v>15.65</v>
      </c>
      <c r="E1472" s="2">
        <f>IFERROR(__xludf.DUMMYFUNCTION("""COMPUTED_VALUE"""),16.12)</f>
        <v>16.12</v>
      </c>
      <c r="F1472" s="2">
        <f>IFERROR(__xludf.DUMMYFUNCTION("""COMPUTED_VALUE"""),3843935.0)</f>
        <v>3843935</v>
      </c>
    </row>
    <row r="1473">
      <c r="A1473" s="3">
        <f>IFERROR(__xludf.DUMMYFUNCTION("""COMPUTED_VALUE"""),42493.66666666667)</f>
        <v>42493.66667</v>
      </c>
      <c r="B1473" s="2">
        <f>IFERROR(__xludf.DUMMYFUNCTION("""COMPUTED_VALUE"""),15.82)</f>
        <v>15.82</v>
      </c>
      <c r="C1473" s="2">
        <f>IFERROR(__xludf.DUMMYFUNCTION("""COMPUTED_VALUE"""),15.93)</f>
        <v>15.93</v>
      </c>
      <c r="D1473" s="2">
        <f>IFERROR(__xludf.DUMMYFUNCTION("""COMPUTED_VALUE"""),15.44)</f>
        <v>15.44</v>
      </c>
      <c r="E1473" s="2">
        <f>IFERROR(__xludf.DUMMYFUNCTION("""COMPUTED_VALUE"""),15.49)</f>
        <v>15.49</v>
      </c>
      <c r="F1473" s="2">
        <f>IFERROR(__xludf.DUMMYFUNCTION("""COMPUTED_VALUE"""),4302222.0)</f>
        <v>4302222</v>
      </c>
    </row>
    <row r="1474">
      <c r="A1474" s="3">
        <f>IFERROR(__xludf.DUMMYFUNCTION("""COMPUTED_VALUE"""),42494.66666666667)</f>
        <v>42494.66667</v>
      </c>
      <c r="B1474" s="2">
        <f>IFERROR(__xludf.DUMMYFUNCTION("""COMPUTED_VALUE"""),15.35)</f>
        <v>15.35</v>
      </c>
      <c r="C1474" s="2">
        <f>IFERROR(__xludf.DUMMYFUNCTION("""COMPUTED_VALUE"""),15.63)</f>
        <v>15.63</v>
      </c>
      <c r="D1474" s="2">
        <f>IFERROR(__xludf.DUMMYFUNCTION("""COMPUTED_VALUE"""),14.69)</f>
        <v>14.69</v>
      </c>
      <c r="E1474" s="2">
        <f>IFERROR(__xludf.DUMMYFUNCTION("""COMPUTED_VALUE"""),14.84)</f>
        <v>14.84</v>
      </c>
      <c r="F1474" s="2">
        <f>IFERROR(__xludf.DUMMYFUNCTION("""COMPUTED_VALUE"""),8700459.0)</f>
        <v>8700459</v>
      </c>
    </row>
    <row r="1475">
      <c r="A1475" s="3">
        <f>IFERROR(__xludf.DUMMYFUNCTION("""COMPUTED_VALUE"""),42495.66666666667)</f>
        <v>42495.66667</v>
      </c>
      <c r="B1475" s="2">
        <f>IFERROR(__xludf.DUMMYFUNCTION("""COMPUTED_VALUE"""),15.23)</f>
        <v>15.23</v>
      </c>
      <c r="C1475" s="2">
        <f>IFERROR(__xludf.DUMMYFUNCTION("""COMPUTED_VALUE"""),15.24)</f>
        <v>15.24</v>
      </c>
      <c r="D1475" s="2">
        <f>IFERROR(__xludf.DUMMYFUNCTION("""COMPUTED_VALUE"""),13.99)</f>
        <v>13.99</v>
      </c>
      <c r="E1475" s="2">
        <f>IFERROR(__xludf.DUMMYFUNCTION("""COMPUTED_VALUE"""),14.1)</f>
        <v>14.1</v>
      </c>
      <c r="F1475" s="2">
        <f>IFERROR(__xludf.DUMMYFUNCTION("""COMPUTED_VALUE"""),1.1254827E7)</f>
        <v>11254827</v>
      </c>
    </row>
    <row r="1476">
      <c r="A1476" s="3">
        <f>IFERROR(__xludf.DUMMYFUNCTION("""COMPUTED_VALUE"""),42496.66666666667)</f>
        <v>42496.66667</v>
      </c>
      <c r="B1476" s="2">
        <f>IFERROR(__xludf.DUMMYFUNCTION("""COMPUTED_VALUE"""),14.06)</f>
        <v>14.06</v>
      </c>
      <c r="C1476" s="2">
        <f>IFERROR(__xludf.DUMMYFUNCTION("""COMPUTED_VALUE"""),14.42)</f>
        <v>14.42</v>
      </c>
      <c r="D1476" s="2">
        <f>IFERROR(__xludf.DUMMYFUNCTION("""COMPUTED_VALUE"""),13.87)</f>
        <v>13.87</v>
      </c>
      <c r="E1476" s="2">
        <f>IFERROR(__xludf.DUMMYFUNCTION("""COMPUTED_VALUE"""),14.33)</f>
        <v>14.33</v>
      </c>
      <c r="F1476" s="2">
        <f>IFERROR(__xludf.DUMMYFUNCTION("""COMPUTED_VALUE"""),5685237.0)</f>
        <v>5685237</v>
      </c>
    </row>
    <row r="1477">
      <c r="A1477" s="3">
        <f>IFERROR(__xludf.DUMMYFUNCTION("""COMPUTED_VALUE"""),42499.66666666667)</f>
        <v>42499.66667</v>
      </c>
      <c r="B1477" s="2">
        <f>IFERROR(__xludf.DUMMYFUNCTION("""COMPUTED_VALUE"""),14.38)</f>
        <v>14.38</v>
      </c>
      <c r="C1477" s="2">
        <f>IFERROR(__xludf.DUMMYFUNCTION("""COMPUTED_VALUE"""),14.41)</f>
        <v>14.41</v>
      </c>
      <c r="D1477" s="2">
        <f>IFERROR(__xludf.DUMMYFUNCTION("""COMPUTED_VALUE"""),13.79)</f>
        <v>13.79</v>
      </c>
      <c r="E1477" s="2">
        <f>IFERROR(__xludf.DUMMYFUNCTION("""COMPUTED_VALUE"""),13.93)</f>
        <v>13.93</v>
      </c>
      <c r="F1477" s="2">
        <f>IFERROR(__xludf.DUMMYFUNCTION("""COMPUTED_VALUE"""),4776383.0)</f>
        <v>4776383</v>
      </c>
    </row>
    <row r="1478">
      <c r="A1478" s="3">
        <f>IFERROR(__xludf.DUMMYFUNCTION("""COMPUTED_VALUE"""),42500.66666666667)</f>
        <v>42500.66667</v>
      </c>
      <c r="B1478" s="2">
        <f>IFERROR(__xludf.DUMMYFUNCTION("""COMPUTED_VALUE"""),13.84)</f>
        <v>13.84</v>
      </c>
      <c r="C1478" s="2">
        <f>IFERROR(__xludf.DUMMYFUNCTION("""COMPUTED_VALUE"""),13.96)</f>
        <v>13.96</v>
      </c>
      <c r="D1478" s="2">
        <f>IFERROR(__xludf.DUMMYFUNCTION("""COMPUTED_VALUE"""),13.67)</f>
        <v>13.67</v>
      </c>
      <c r="E1478" s="2">
        <f>IFERROR(__xludf.DUMMYFUNCTION("""COMPUTED_VALUE"""),13.91)</f>
        <v>13.91</v>
      </c>
      <c r="F1478" s="2">
        <f>IFERROR(__xludf.DUMMYFUNCTION("""COMPUTED_VALUE"""),4070617.0)</f>
        <v>4070617</v>
      </c>
    </row>
    <row r="1479">
      <c r="A1479" s="3">
        <f>IFERROR(__xludf.DUMMYFUNCTION("""COMPUTED_VALUE"""),42501.66666666667)</f>
        <v>42501.66667</v>
      </c>
      <c r="B1479" s="2">
        <f>IFERROR(__xludf.DUMMYFUNCTION("""COMPUTED_VALUE"""),13.84)</f>
        <v>13.84</v>
      </c>
      <c r="C1479" s="2">
        <f>IFERROR(__xludf.DUMMYFUNCTION("""COMPUTED_VALUE"""),14.37)</f>
        <v>14.37</v>
      </c>
      <c r="D1479" s="2">
        <f>IFERROR(__xludf.DUMMYFUNCTION("""COMPUTED_VALUE"""),13.74)</f>
        <v>13.74</v>
      </c>
      <c r="E1479" s="2">
        <f>IFERROR(__xludf.DUMMYFUNCTION("""COMPUTED_VALUE"""),13.93)</f>
        <v>13.93</v>
      </c>
      <c r="F1479" s="2">
        <f>IFERROR(__xludf.DUMMYFUNCTION("""COMPUTED_VALUE"""),5161864.0)</f>
        <v>5161864</v>
      </c>
    </row>
    <row r="1480">
      <c r="A1480" s="3">
        <f>IFERROR(__xludf.DUMMYFUNCTION("""COMPUTED_VALUE"""),42502.66666666667)</f>
        <v>42502.66667</v>
      </c>
      <c r="B1480" s="2">
        <f>IFERROR(__xludf.DUMMYFUNCTION("""COMPUTED_VALUE"""),14.1)</f>
        <v>14.1</v>
      </c>
      <c r="C1480" s="2">
        <f>IFERROR(__xludf.DUMMYFUNCTION("""COMPUTED_VALUE"""),14.11)</f>
        <v>14.11</v>
      </c>
      <c r="D1480" s="2">
        <f>IFERROR(__xludf.DUMMYFUNCTION("""COMPUTED_VALUE"""),13.58)</f>
        <v>13.58</v>
      </c>
      <c r="E1480" s="2">
        <f>IFERROR(__xludf.DUMMYFUNCTION("""COMPUTED_VALUE"""),13.82)</f>
        <v>13.82</v>
      </c>
      <c r="F1480" s="2">
        <f>IFERROR(__xludf.DUMMYFUNCTION("""COMPUTED_VALUE"""),3650475.0)</f>
        <v>3650475</v>
      </c>
    </row>
    <row r="1481">
      <c r="A1481" s="3">
        <f>IFERROR(__xludf.DUMMYFUNCTION("""COMPUTED_VALUE"""),42503.66666666667)</f>
        <v>42503.66667</v>
      </c>
      <c r="B1481" s="2">
        <f>IFERROR(__xludf.DUMMYFUNCTION("""COMPUTED_VALUE"""),13.85)</f>
        <v>13.85</v>
      </c>
      <c r="C1481" s="2">
        <f>IFERROR(__xludf.DUMMYFUNCTION("""COMPUTED_VALUE"""),14.08)</f>
        <v>14.08</v>
      </c>
      <c r="D1481" s="2">
        <f>IFERROR(__xludf.DUMMYFUNCTION("""COMPUTED_VALUE"""),13.78)</f>
        <v>13.78</v>
      </c>
      <c r="E1481" s="2">
        <f>IFERROR(__xludf.DUMMYFUNCTION("""COMPUTED_VALUE"""),13.84)</f>
        <v>13.84</v>
      </c>
      <c r="F1481" s="2">
        <f>IFERROR(__xludf.DUMMYFUNCTION("""COMPUTED_VALUE"""),2822781.0)</f>
        <v>2822781</v>
      </c>
    </row>
    <row r="1482">
      <c r="A1482" s="3">
        <f>IFERROR(__xludf.DUMMYFUNCTION("""COMPUTED_VALUE"""),42506.66666666667)</f>
        <v>42506.66667</v>
      </c>
      <c r="B1482" s="2">
        <f>IFERROR(__xludf.DUMMYFUNCTION("""COMPUTED_VALUE"""),13.88)</f>
        <v>13.88</v>
      </c>
      <c r="C1482" s="2">
        <f>IFERROR(__xludf.DUMMYFUNCTION("""COMPUTED_VALUE"""),14.21)</f>
        <v>14.21</v>
      </c>
      <c r="D1482" s="2">
        <f>IFERROR(__xludf.DUMMYFUNCTION("""COMPUTED_VALUE"""),13.86)</f>
        <v>13.86</v>
      </c>
      <c r="E1482" s="2">
        <f>IFERROR(__xludf.DUMMYFUNCTION("""COMPUTED_VALUE"""),13.89)</f>
        <v>13.89</v>
      </c>
      <c r="F1482" s="2">
        <f>IFERROR(__xludf.DUMMYFUNCTION("""COMPUTED_VALUE"""),2949396.0)</f>
        <v>2949396</v>
      </c>
    </row>
    <row r="1483">
      <c r="A1483" s="3">
        <f>IFERROR(__xludf.DUMMYFUNCTION("""COMPUTED_VALUE"""),42507.66666666667)</f>
        <v>42507.66667</v>
      </c>
      <c r="B1483" s="2">
        <f>IFERROR(__xludf.DUMMYFUNCTION("""COMPUTED_VALUE"""),13.94)</f>
        <v>13.94</v>
      </c>
      <c r="C1483" s="2">
        <f>IFERROR(__xludf.DUMMYFUNCTION("""COMPUTED_VALUE"""),13.99)</f>
        <v>13.99</v>
      </c>
      <c r="D1483" s="2">
        <f>IFERROR(__xludf.DUMMYFUNCTION("""COMPUTED_VALUE"""),13.6)</f>
        <v>13.6</v>
      </c>
      <c r="E1483" s="2">
        <f>IFERROR(__xludf.DUMMYFUNCTION("""COMPUTED_VALUE"""),13.64)</f>
        <v>13.64</v>
      </c>
      <c r="F1483" s="2">
        <f>IFERROR(__xludf.DUMMYFUNCTION("""COMPUTED_VALUE"""),2843597.0)</f>
        <v>2843597</v>
      </c>
    </row>
    <row r="1484">
      <c r="A1484" s="3">
        <f>IFERROR(__xludf.DUMMYFUNCTION("""COMPUTED_VALUE"""),42508.66666666667)</f>
        <v>42508.66667</v>
      </c>
      <c r="B1484" s="2">
        <f>IFERROR(__xludf.DUMMYFUNCTION("""COMPUTED_VALUE"""),13.94)</f>
        <v>13.94</v>
      </c>
      <c r="C1484" s="2">
        <f>IFERROR(__xludf.DUMMYFUNCTION("""COMPUTED_VALUE"""),14.35)</f>
        <v>14.35</v>
      </c>
      <c r="D1484" s="2">
        <f>IFERROR(__xludf.DUMMYFUNCTION("""COMPUTED_VALUE"""),13.85)</f>
        <v>13.85</v>
      </c>
      <c r="E1484" s="2">
        <f>IFERROR(__xludf.DUMMYFUNCTION("""COMPUTED_VALUE"""),14.08)</f>
        <v>14.08</v>
      </c>
      <c r="F1484" s="2">
        <f>IFERROR(__xludf.DUMMYFUNCTION("""COMPUTED_VALUE"""),5617519.0)</f>
        <v>5617519</v>
      </c>
    </row>
    <row r="1485">
      <c r="A1485" s="3">
        <f>IFERROR(__xludf.DUMMYFUNCTION("""COMPUTED_VALUE"""),42509.66666666667)</f>
        <v>42509.66667</v>
      </c>
      <c r="B1485" s="2">
        <f>IFERROR(__xludf.DUMMYFUNCTION("""COMPUTED_VALUE"""),14.24)</f>
        <v>14.24</v>
      </c>
      <c r="C1485" s="2">
        <f>IFERROR(__xludf.DUMMYFUNCTION("""COMPUTED_VALUE"""),14.45)</f>
        <v>14.45</v>
      </c>
      <c r="D1485" s="2">
        <f>IFERROR(__xludf.DUMMYFUNCTION("""COMPUTED_VALUE"""),13.82)</f>
        <v>13.82</v>
      </c>
      <c r="E1485" s="2">
        <f>IFERROR(__xludf.DUMMYFUNCTION("""COMPUTED_VALUE"""),14.35)</f>
        <v>14.35</v>
      </c>
      <c r="F1485" s="2">
        <f>IFERROR(__xludf.DUMMYFUNCTION("""COMPUTED_VALUE"""),6866321.0)</f>
        <v>6866321</v>
      </c>
    </row>
    <row r="1486">
      <c r="A1486" s="3">
        <f>IFERROR(__xludf.DUMMYFUNCTION("""COMPUTED_VALUE"""),42510.66666666667)</f>
        <v>42510.66667</v>
      </c>
      <c r="B1486" s="2">
        <f>IFERROR(__xludf.DUMMYFUNCTION("""COMPUTED_VALUE"""),14.47)</f>
        <v>14.47</v>
      </c>
      <c r="C1486" s="2">
        <f>IFERROR(__xludf.DUMMYFUNCTION("""COMPUTED_VALUE"""),14.7)</f>
        <v>14.7</v>
      </c>
      <c r="D1486" s="2">
        <f>IFERROR(__xludf.DUMMYFUNCTION("""COMPUTED_VALUE"""),14.42)</f>
        <v>14.42</v>
      </c>
      <c r="E1486" s="2">
        <f>IFERROR(__xludf.DUMMYFUNCTION("""COMPUTED_VALUE"""),14.69)</f>
        <v>14.69</v>
      </c>
      <c r="F1486" s="2">
        <f>IFERROR(__xludf.DUMMYFUNCTION("""COMPUTED_VALUE"""),9007076.0)</f>
        <v>9007076</v>
      </c>
    </row>
    <row r="1487">
      <c r="A1487" s="3">
        <f>IFERROR(__xludf.DUMMYFUNCTION("""COMPUTED_VALUE"""),42513.66666666667)</f>
        <v>42513.66667</v>
      </c>
      <c r="B1487" s="2">
        <f>IFERROR(__xludf.DUMMYFUNCTION("""COMPUTED_VALUE"""),14.66)</f>
        <v>14.66</v>
      </c>
      <c r="C1487" s="2">
        <f>IFERROR(__xludf.DUMMYFUNCTION("""COMPUTED_VALUE"""),14.84)</f>
        <v>14.84</v>
      </c>
      <c r="D1487" s="2">
        <f>IFERROR(__xludf.DUMMYFUNCTION("""COMPUTED_VALUE"""),14.39)</f>
        <v>14.39</v>
      </c>
      <c r="E1487" s="2">
        <f>IFERROR(__xludf.DUMMYFUNCTION("""COMPUTED_VALUE"""),14.41)</f>
        <v>14.41</v>
      </c>
      <c r="F1487" s="2">
        <f>IFERROR(__xludf.DUMMYFUNCTION("""COMPUTED_VALUE"""),5102479.0)</f>
        <v>5102479</v>
      </c>
    </row>
    <row r="1488">
      <c r="A1488" s="3">
        <f>IFERROR(__xludf.DUMMYFUNCTION("""COMPUTED_VALUE"""),42514.66666666667)</f>
        <v>42514.66667</v>
      </c>
      <c r="B1488" s="2">
        <f>IFERROR(__xludf.DUMMYFUNCTION("""COMPUTED_VALUE"""),14.44)</f>
        <v>14.44</v>
      </c>
      <c r="C1488" s="2">
        <f>IFERROR(__xludf.DUMMYFUNCTION("""COMPUTED_VALUE"""),14.58)</f>
        <v>14.58</v>
      </c>
      <c r="D1488" s="2">
        <f>IFERROR(__xludf.DUMMYFUNCTION("""COMPUTED_VALUE"""),14.35)</f>
        <v>14.35</v>
      </c>
      <c r="E1488" s="2">
        <f>IFERROR(__xludf.DUMMYFUNCTION("""COMPUTED_VALUE"""),14.53)</f>
        <v>14.53</v>
      </c>
      <c r="F1488" s="2">
        <f>IFERROR(__xludf.DUMMYFUNCTION("""COMPUTED_VALUE"""),3013843.0)</f>
        <v>3013843</v>
      </c>
    </row>
    <row r="1489">
      <c r="A1489" s="3">
        <f>IFERROR(__xludf.DUMMYFUNCTION("""COMPUTED_VALUE"""),42515.66666666667)</f>
        <v>42515.66667</v>
      </c>
      <c r="B1489" s="2">
        <f>IFERROR(__xludf.DUMMYFUNCTION("""COMPUTED_VALUE"""),14.53)</f>
        <v>14.53</v>
      </c>
      <c r="C1489" s="2">
        <f>IFERROR(__xludf.DUMMYFUNCTION("""COMPUTED_VALUE"""),14.76)</f>
        <v>14.76</v>
      </c>
      <c r="D1489" s="2">
        <f>IFERROR(__xludf.DUMMYFUNCTION("""COMPUTED_VALUE"""),14.43)</f>
        <v>14.43</v>
      </c>
      <c r="E1489" s="2">
        <f>IFERROR(__xludf.DUMMYFUNCTION("""COMPUTED_VALUE"""),14.64)</f>
        <v>14.64</v>
      </c>
      <c r="F1489" s="2">
        <f>IFERROR(__xludf.DUMMYFUNCTION("""COMPUTED_VALUE"""),3132615.0)</f>
        <v>3132615</v>
      </c>
    </row>
    <row r="1490">
      <c r="A1490" s="3">
        <f>IFERROR(__xludf.DUMMYFUNCTION("""COMPUTED_VALUE"""),42516.66666666667)</f>
        <v>42516.66667</v>
      </c>
      <c r="B1490" s="2">
        <f>IFERROR(__xludf.DUMMYFUNCTION("""COMPUTED_VALUE"""),14.7)</f>
        <v>14.7</v>
      </c>
      <c r="C1490" s="2">
        <f>IFERROR(__xludf.DUMMYFUNCTION("""COMPUTED_VALUE"""),15.02)</f>
        <v>15.02</v>
      </c>
      <c r="D1490" s="2">
        <f>IFERROR(__xludf.DUMMYFUNCTION("""COMPUTED_VALUE"""),14.6)</f>
        <v>14.6</v>
      </c>
      <c r="E1490" s="2">
        <f>IFERROR(__xludf.DUMMYFUNCTION("""COMPUTED_VALUE"""),15.01)</f>
        <v>15.01</v>
      </c>
      <c r="F1490" s="2">
        <f>IFERROR(__xludf.DUMMYFUNCTION("""COMPUTED_VALUE"""),4072424.0)</f>
        <v>4072424</v>
      </c>
    </row>
    <row r="1491">
      <c r="A1491" s="3">
        <f>IFERROR(__xludf.DUMMYFUNCTION("""COMPUTED_VALUE"""),42517.66666666667)</f>
        <v>42517.66667</v>
      </c>
      <c r="B1491" s="2">
        <f>IFERROR(__xludf.DUMMYFUNCTION("""COMPUTED_VALUE"""),15.0)</f>
        <v>15</v>
      </c>
      <c r="C1491" s="2">
        <f>IFERROR(__xludf.DUMMYFUNCTION("""COMPUTED_VALUE"""),15.06)</f>
        <v>15.06</v>
      </c>
      <c r="D1491" s="2">
        <f>IFERROR(__xludf.DUMMYFUNCTION("""COMPUTED_VALUE"""),14.72)</f>
        <v>14.72</v>
      </c>
      <c r="E1491" s="2">
        <f>IFERROR(__xludf.DUMMYFUNCTION("""COMPUTED_VALUE"""),14.87)</f>
        <v>14.87</v>
      </c>
      <c r="F1491" s="2">
        <f>IFERROR(__xludf.DUMMYFUNCTION("""COMPUTED_VALUE"""),3650272.0)</f>
        <v>3650272</v>
      </c>
    </row>
    <row r="1492">
      <c r="A1492" s="3">
        <f>IFERROR(__xludf.DUMMYFUNCTION("""COMPUTED_VALUE"""),42521.66666666667)</f>
        <v>42521.66667</v>
      </c>
      <c r="B1492" s="2">
        <f>IFERROR(__xludf.DUMMYFUNCTION("""COMPUTED_VALUE"""),14.87)</f>
        <v>14.87</v>
      </c>
      <c r="C1492" s="2">
        <f>IFERROR(__xludf.DUMMYFUNCTION("""COMPUTED_VALUE"""),14.98)</f>
        <v>14.98</v>
      </c>
      <c r="D1492" s="2">
        <f>IFERROR(__xludf.DUMMYFUNCTION("""COMPUTED_VALUE"""),14.77)</f>
        <v>14.77</v>
      </c>
      <c r="E1492" s="2">
        <f>IFERROR(__xludf.DUMMYFUNCTION("""COMPUTED_VALUE"""),14.88)</f>
        <v>14.88</v>
      </c>
      <c r="F1492" s="2">
        <f>IFERROR(__xludf.DUMMYFUNCTION("""COMPUTED_VALUE"""),2789002.0)</f>
        <v>2789002</v>
      </c>
    </row>
    <row r="1493">
      <c r="A1493" s="3">
        <f>IFERROR(__xludf.DUMMYFUNCTION("""COMPUTED_VALUE"""),42522.66666666667)</f>
        <v>42522.66667</v>
      </c>
      <c r="B1493" s="2">
        <f>IFERROR(__xludf.DUMMYFUNCTION("""COMPUTED_VALUE"""),14.77)</f>
        <v>14.77</v>
      </c>
      <c r="C1493" s="2">
        <f>IFERROR(__xludf.DUMMYFUNCTION("""COMPUTED_VALUE"""),14.83)</f>
        <v>14.83</v>
      </c>
      <c r="D1493" s="2">
        <f>IFERROR(__xludf.DUMMYFUNCTION("""COMPUTED_VALUE"""),14.46)</f>
        <v>14.46</v>
      </c>
      <c r="E1493" s="2">
        <f>IFERROR(__xludf.DUMMYFUNCTION("""COMPUTED_VALUE"""),14.64)</f>
        <v>14.64</v>
      </c>
      <c r="F1493" s="2">
        <f>IFERROR(__xludf.DUMMYFUNCTION("""COMPUTED_VALUE"""),2982695.0)</f>
        <v>2982695</v>
      </c>
    </row>
    <row r="1494">
      <c r="A1494" s="3">
        <f>IFERROR(__xludf.DUMMYFUNCTION("""COMPUTED_VALUE"""),42523.66666666667)</f>
        <v>42523.66667</v>
      </c>
      <c r="B1494" s="2">
        <f>IFERROR(__xludf.DUMMYFUNCTION("""COMPUTED_VALUE"""),14.64)</f>
        <v>14.64</v>
      </c>
      <c r="C1494" s="2">
        <f>IFERROR(__xludf.DUMMYFUNCTION("""COMPUTED_VALUE"""),14.66)</f>
        <v>14.66</v>
      </c>
      <c r="D1494" s="2">
        <f>IFERROR(__xludf.DUMMYFUNCTION("""COMPUTED_VALUE"""),14.47)</f>
        <v>14.47</v>
      </c>
      <c r="E1494" s="2">
        <f>IFERROR(__xludf.DUMMYFUNCTION("""COMPUTED_VALUE"""),14.6)</f>
        <v>14.6</v>
      </c>
      <c r="F1494" s="2">
        <f>IFERROR(__xludf.DUMMYFUNCTION("""COMPUTED_VALUE"""),2032832.0)</f>
        <v>2032832</v>
      </c>
    </row>
    <row r="1495">
      <c r="A1495" s="3">
        <f>IFERROR(__xludf.DUMMYFUNCTION("""COMPUTED_VALUE"""),42524.66666666667)</f>
        <v>42524.66667</v>
      </c>
      <c r="B1495" s="2">
        <f>IFERROR(__xludf.DUMMYFUNCTION("""COMPUTED_VALUE"""),14.67)</f>
        <v>14.67</v>
      </c>
      <c r="C1495" s="2">
        <f>IFERROR(__xludf.DUMMYFUNCTION("""COMPUTED_VALUE"""),14.8)</f>
        <v>14.8</v>
      </c>
      <c r="D1495" s="2">
        <f>IFERROR(__xludf.DUMMYFUNCTION("""COMPUTED_VALUE"""),14.53)</f>
        <v>14.53</v>
      </c>
      <c r="E1495" s="2">
        <f>IFERROR(__xludf.DUMMYFUNCTION("""COMPUTED_VALUE"""),14.6)</f>
        <v>14.6</v>
      </c>
      <c r="F1495" s="2">
        <f>IFERROR(__xludf.DUMMYFUNCTION("""COMPUTED_VALUE"""),2228970.0)</f>
        <v>2228970</v>
      </c>
    </row>
    <row r="1496">
      <c r="A1496" s="3">
        <f>IFERROR(__xludf.DUMMYFUNCTION("""COMPUTED_VALUE"""),42527.66666666667)</f>
        <v>42527.66667</v>
      </c>
      <c r="B1496" s="2">
        <f>IFERROR(__xludf.DUMMYFUNCTION("""COMPUTED_VALUE"""),14.53)</f>
        <v>14.53</v>
      </c>
      <c r="C1496" s="2">
        <f>IFERROR(__xludf.DUMMYFUNCTION("""COMPUTED_VALUE"""),14.73)</f>
        <v>14.73</v>
      </c>
      <c r="D1496" s="2">
        <f>IFERROR(__xludf.DUMMYFUNCTION("""COMPUTED_VALUE"""),14.36)</f>
        <v>14.36</v>
      </c>
      <c r="E1496" s="2">
        <f>IFERROR(__xludf.DUMMYFUNCTION("""COMPUTED_VALUE"""),14.71)</f>
        <v>14.71</v>
      </c>
      <c r="F1496" s="2">
        <f>IFERROR(__xludf.DUMMYFUNCTION("""COMPUTED_VALUE"""),2249508.0)</f>
        <v>2249508</v>
      </c>
    </row>
    <row r="1497">
      <c r="A1497" s="3">
        <f>IFERROR(__xludf.DUMMYFUNCTION("""COMPUTED_VALUE"""),42528.66666666667)</f>
        <v>42528.66667</v>
      </c>
      <c r="B1497" s="2">
        <f>IFERROR(__xludf.DUMMYFUNCTION("""COMPUTED_VALUE"""),14.82)</f>
        <v>14.82</v>
      </c>
      <c r="C1497" s="2">
        <f>IFERROR(__xludf.DUMMYFUNCTION("""COMPUTED_VALUE"""),15.63)</f>
        <v>15.63</v>
      </c>
      <c r="D1497" s="2">
        <f>IFERROR(__xludf.DUMMYFUNCTION("""COMPUTED_VALUE"""),14.77)</f>
        <v>14.77</v>
      </c>
      <c r="E1497" s="2">
        <f>IFERROR(__xludf.DUMMYFUNCTION("""COMPUTED_VALUE"""),15.49)</f>
        <v>15.49</v>
      </c>
      <c r="F1497" s="2">
        <f>IFERROR(__xludf.DUMMYFUNCTION("""COMPUTED_VALUE"""),6213573.0)</f>
        <v>6213573</v>
      </c>
    </row>
    <row r="1498">
      <c r="A1498" s="3">
        <f>IFERROR(__xludf.DUMMYFUNCTION("""COMPUTED_VALUE"""),42529.66666666667)</f>
        <v>42529.66667</v>
      </c>
      <c r="B1498" s="2">
        <f>IFERROR(__xludf.DUMMYFUNCTION("""COMPUTED_VALUE"""),15.59)</f>
        <v>15.59</v>
      </c>
      <c r="C1498" s="2">
        <f>IFERROR(__xludf.DUMMYFUNCTION("""COMPUTED_VALUE"""),16.06)</f>
        <v>16.06</v>
      </c>
      <c r="D1498" s="2">
        <f>IFERROR(__xludf.DUMMYFUNCTION("""COMPUTED_VALUE"""),15.51)</f>
        <v>15.51</v>
      </c>
      <c r="E1498" s="2">
        <f>IFERROR(__xludf.DUMMYFUNCTION("""COMPUTED_VALUE"""),15.7)</f>
        <v>15.7</v>
      </c>
      <c r="F1498" s="2">
        <f>IFERROR(__xludf.DUMMYFUNCTION("""COMPUTED_VALUE"""),5971995.0)</f>
        <v>5971995</v>
      </c>
    </row>
    <row r="1499">
      <c r="A1499" s="3">
        <f>IFERROR(__xludf.DUMMYFUNCTION("""COMPUTED_VALUE"""),42530.66666666667)</f>
        <v>42530.66667</v>
      </c>
      <c r="B1499" s="2">
        <f>IFERROR(__xludf.DUMMYFUNCTION("""COMPUTED_VALUE"""),15.67)</f>
        <v>15.67</v>
      </c>
      <c r="C1499" s="2">
        <f>IFERROR(__xludf.DUMMYFUNCTION("""COMPUTED_VALUE"""),15.69)</f>
        <v>15.69</v>
      </c>
      <c r="D1499" s="2">
        <f>IFERROR(__xludf.DUMMYFUNCTION("""COMPUTED_VALUE"""),15.14)</f>
        <v>15.14</v>
      </c>
      <c r="E1499" s="2">
        <f>IFERROR(__xludf.DUMMYFUNCTION("""COMPUTED_VALUE"""),15.29)</f>
        <v>15.29</v>
      </c>
      <c r="F1499" s="2">
        <f>IFERROR(__xludf.DUMMYFUNCTION("""COMPUTED_VALUE"""),4492075.0)</f>
        <v>4492075</v>
      </c>
    </row>
    <row r="1500">
      <c r="A1500" s="3">
        <f>IFERROR(__xludf.DUMMYFUNCTION("""COMPUTED_VALUE"""),42531.66666666667)</f>
        <v>42531.66667</v>
      </c>
      <c r="B1500" s="2">
        <f>IFERROR(__xludf.DUMMYFUNCTION("""COMPUTED_VALUE"""),15.16)</f>
        <v>15.16</v>
      </c>
      <c r="C1500" s="2">
        <f>IFERROR(__xludf.DUMMYFUNCTION("""COMPUTED_VALUE"""),15.2)</f>
        <v>15.2</v>
      </c>
      <c r="D1500" s="2">
        <f>IFERROR(__xludf.DUMMYFUNCTION("""COMPUTED_VALUE"""),14.56)</f>
        <v>14.56</v>
      </c>
      <c r="E1500" s="2">
        <f>IFERROR(__xludf.DUMMYFUNCTION("""COMPUTED_VALUE"""),14.59)</f>
        <v>14.59</v>
      </c>
      <c r="F1500" s="2">
        <f>IFERROR(__xludf.DUMMYFUNCTION("""COMPUTED_VALUE"""),6026603.0)</f>
        <v>6026603</v>
      </c>
    </row>
    <row r="1501">
      <c r="A1501" s="3">
        <f>IFERROR(__xludf.DUMMYFUNCTION("""COMPUTED_VALUE"""),42534.66666666667)</f>
        <v>42534.66667</v>
      </c>
      <c r="B1501" s="2">
        <f>IFERROR(__xludf.DUMMYFUNCTION("""COMPUTED_VALUE"""),14.63)</f>
        <v>14.63</v>
      </c>
      <c r="C1501" s="2">
        <f>IFERROR(__xludf.DUMMYFUNCTION("""COMPUTED_VALUE"""),15.05)</f>
        <v>15.05</v>
      </c>
      <c r="D1501" s="2">
        <f>IFERROR(__xludf.DUMMYFUNCTION("""COMPUTED_VALUE"""),14.51)</f>
        <v>14.51</v>
      </c>
      <c r="E1501" s="2">
        <f>IFERROR(__xludf.DUMMYFUNCTION("""COMPUTED_VALUE"""),14.52)</f>
        <v>14.52</v>
      </c>
      <c r="F1501" s="2">
        <f>IFERROR(__xludf.DUMMYFUNCTION("""COMPUTED_VALUE"""),4193022.0)</f>
        <v>4193022</v>
      </c>
    </row>
    <row r="1502">
      <c r="A1502" s="3">
        <f>IFERROR(__xludf.DUMMYFUNCTION("""COMPUTED_VALUE"""),42535.66666666667)</f>
        <v>42535.66667</v>
      </c>
      <c r="B1502" s="2">
        <f>IFERROR(__xludf.DUMMYFUNCTION("""COMPUTED_VALUE"""),14.59)</f>
        <v>14.59</v>
      </c>
      <c r="C1502" s="2">
        <f>IFERROR(__xludf.DUMMYFUNCTION("""COMPUTED_VALUE"""),14.81)</f>
        <v>14.81</v>
      </c>
      <c r="D1502" s="2">
        <f>IFERROR(__xludf.DUMMYFUNCTION("""COMPUTED_VALUE"""),14.17)</f>
        <v>14.17</v>
      </c>
      <c r="E1502" s="2">
        <f>IFERROR(__xludf.DUMMYFUNCTION("""COMPUTED_VALUE"""),14.33)</f>
        <v>14.33</v>
      </c>
      <c r="F1502" s="2">
        <f>IFERROR(__xludf.DUMMYFUNCTION("""COMPUTED_VALUE"""),3580167.0)</f>
        <v>3580167</v>
      </c>
    </row>
    <row r="1503">
      <c r="A1503" s="3">
        <f>IFERROR(__xludf.DUMMYFUNCTION("""COMPUTED_VALUE"""),42536.66666666667)</f>
        <v>42536.66667</v>
      </c>
      <c r="B1503" s="2">
        <f>IFERROR(__xludf.DUMMYFUNCTION("""COMPUTED_VALUE"""),14.46)</f>
        <v>14.46</v>
      </c>
      <c r="C1503" s="2">
        <f>IFERROR(__xludf.DUMMYFUNCTION("""COMPUTED_VALUE"""),14.79)</f>
        <v>14.79</v>
      </c>
      <c r="D1503" s="2">
        <f>IFERROR(__xludf.DUMMYFUNCTION("""COMPUTED_VALUE"""),14.34)</f>
        <v>14.34</v>
      </c>
      <c r="E1503" s="2">
        <f>IFERROR(__xludf.DUMMYFUNCTION("""COMPUTED_VALUE"""),14.51)</f>
        <v>14.51</v>
      </c>
      <c r="F1503" s="2">
        <f>IFERROR(__xludf.DUMMYFUNCTION("""COMPUTED_VALUE"""),2908522.0)</f>
        <v>2908522</v>
      </c>
    </row>
    <row r="1504">
      <c r="A1504" s="3">
        <f>IFERROR(__xludf.DUMMYFUNCTION("""COMPUTED_VALUE"""),42537.66666666667)</f>
        <v>42537.66667</v>
      </c>
      <c r="B1504" s="2">
        <f>IFERROR(__xludf.DUMMYFUNCTION("""COMPUTED_VALUE"""),14.49)</f>
        <v>14.49</v>
      </c>
      <c r="C1504" s="2">
        <f>IFERROR(__xludf.DUMMYFUNCTION("""COMPUTED_VALUE"""),14.54)</f>
        <v>14.54</v>
      </c>
      <c r="D1504" s="2">
        <f>IFERROR(__xludf.DUMMYFUNCTION("""COMPUTED_VALUE"""),14.23)</f>
        <v>14.23</v>
      </c>
      <c r="E1504" s="2">
        <f>IFERROR(__xludf.DUMMYFUNCTION("""COMPUTED_VALUE"""),14.53)</f>
        <v>14.53</v>
      </c>
      <c r="F1504" s="2">
        <f>IFERROR(__xludf.DUMMYFUNCTION("""COMPUTED_VALUE"""),2440259.0)</f>
        <v>2440259</v>
      </c>
    </row>
    <row r="1505">
      <c r="A1505" s="3">
        <f>IFERROR(__xludf.DUMMYFUNCTION("""COMPUTED_VALUE"""),42538.66666666667)</f>
        <v>42538.66667</v>
      </c>
      <c r="B1505" s="2">
        <f>IFERROR(__xludf.DUMMYFUNCTION("""COMPUTED_VALUE"""),14.52)</f>
        <v>14.52</v>
      </c>
      <c r="C1505" s="2">
        <f>IFERROR(__xludf.DUMMYFUNCTION("""COMPUTED_VALUE"""),14.67)</f>
        <v>14.67</v>
      </c>
      <c r="D1505" s="2">
        <f>IFERROR(__xludf.DUMMYFUNCTION("""COMPUTED_VALUE"""),14.3)</f>
        <v>14.3</v>
      </c>
      <c r="E1505" s="2">
        <f>IFERROR(__xludf.DUMMYFUNCTION("""COMPUTED_VALUE"""),14.36)</f>
        <v>14.36</v>
      </c>
      <c r="F1505" s="2">
        <f>IFERROR(__xludf.DUMMYFUNCTION("""COMPUTED_VALUE"""),3112620.0)</f>
        <v>3112620</v>
      </c>
    </row>
    <row r="1506">
      <c r="A1506" s="3">
        <f>IFERROR(__xludf.DUMMYFUNCTION("""COMPUTED_VALUE"""),42541.66666666667)</f>
        <v>42541.66667</v>
      </c>
      <c r="B1506" s="2">
        <f>IFERROR(__xludf.DUMMYFUNCTION("""COMPUTED_VALUE"""),14.63)</f>
        <v>14.63</v>
      </c>
      <c r="C1506" s="2">
        <f>IFERROR(__xludf.DUMMYFUNCTION("""COMPUTED_VALUE"""),14.92)</f>
        <v>14.92</v>
      </c>
      <c r="D1506" s="2">
        <f>IFERROR(__xludf.DUMMYFUNCTION("""COMPUTED_VALUE"""),14.55)</f>
        <v>14.55</v>
      </c>
      <c r="E1506" s="2">
        <f>IFERROR(__xludf.DUMMYFUNCTION("""COMPUTED_VALUE"""),14.65)</f>
        <v>14.65</v>
      </c>
      <c r="F1506" s="2">
        <f>IFERROR(__xludf.DUMMYFUNCTION("""COMPUTED_VALUE"""),3555471.0)</f>
        <v>3555471</v>
      </c>
    </row>
    <row r="1507">
      <c r="A1507" s="3">
        <f>IFERROR(__xludf.DUMMYFUNCTION("""COMPUTED_VALUE"""),42542.66666666667)</f>
        <v>42542.66667</v>
      </c>
      <c r="B1507" s="2">
        <f>IFERROR(__xludf.DUMMYFUNCTION("""COMPUTED_VALUE"""),14.71)</f>
        <v>14.71</v>
      </c>
      <c r="C1507" s="2">
        <f>IFERROR(__xludf.DUMMYFUNCTION("""COMPUTED_VALUE"""),14.84)</f>
        <v>14.84</v>
      </c>
      <c r="D1507" s="2">
        <f>IFERROR(__xludf.DUMMYFUNCTION("""COMPUTED_VALUE"""),14.59)</f>
        <v>14.59</v>
      </c>
      <c r="E1507" s="2">
        <f>IFERROR(__xludf.DUMMYFUNCTION("""COMPUTED_VALUE"""),14.64)</f>
        <v>14.64</v>
      </c>
      <c r="F1507" s="2">
        <f>IFERROR(__xludf.DUMMYFUNCTION("""COMPUTED_VALUE"""),4529005.0)</f>
        <v>4529005</v>
      </c>
    </row>
    <row r="1508">
      <c r="A1508" s="3">
        <f>IFERROR(__xludf.DUMMYFUNCTION("""COMPUTED_VALUE"""),42543.66666666667)</f>
        <v>42543.66667</v>
      </c>
      <c r="B1508" s="2">
        <f>IFERROR(__xludf.DUMMYFUNCTION("""COMPUTED_VALUE"""),13.3)</f>
        <v>13.3</v>
      </c>
      <c r="C1508" s="2">
        <f>IFERROR(__xludf.DUMMYFUNCTION("""COMPUTED_VALUE"""),13.73)</f>
        <v>13.73</v>
      </c>
      <c r="D1508" s="2">
        <f>IFERROR(__xludf.DUMMYFUNCTION("""COMPUTED_VALUE"""),13.05)</f>
        <v>13.05</v>
      </c>
      <c r="E1508" s="2">
        <f>IFERROR(__xludf.DUMMYFUNCTION("""COMPUTED_VALUE"""),13.11)</f>
        <v>13.11</v>
      </c>
      <c r="F1508" s="2">
        <f>IFERROR(__xludf.DUMMYFUNCTION("""COMPUTED_VALUE"""),2.3742414E7)</f>
        <v>23742414</v>
      </c>
    </row>
    <row r="1509">
      <c r="A1509" s="3">
        <f>IFERROR(__xludf.DUMMYFUNCTION("""COMPUTED_VALUE"""),42544.66666666667)</f>
        <v>42544.66667</v>
      </c>
      <c r="B1509" s="2">
        <f>IFERROR(__xludf.DUMMYFUNCTION("""COMPUTED_VALUE"""),13.05)</f>
        <v>13.05</v>
      </c>
      <c r="C1509" s="2">
        <f>IFERROR(__xludf.DUMMYFUNCTION("""COMPUTED_VALUE"""),13.17)</f>
        <v>13.17</v>
      </c>
      <c r="D1509" s="2">
        <f>IFERROR(__xludf.DUMMYFUNCTION("""COMPUTED_VALUE"""),12.81)</f>
        <v>12.81</v>
      </c>
      <c r="E1509" s="2">
        <f>IFERROR(__xludf.DUMMYFUNCTION("""COMPUTED_VALUE"""),13.09)</f>
        <v>13.09</v>
      </c>
      <c r="F1509" s="2">
        <f>IFERROR(__xludf.DUMMYFUNCTION("""COMPUTED_VALUE"""),1.0130748E7)</f>
        <v>10130748</v>
      </c>
    </row>
    <row r="1510">
      <c r="A1510" s="3">
        <f>IFERROR(__xludf.DUMMYFUNCTION("""COMPUTED_VALUE"""),42545.66666666667)</f>
        <v>42545.66667</v>
      </c>
      <c r="B1510" s="2">
        <f>IFERROR(__xludf.DUMMYFUNCTION("""COMPUTED_VALUE"""),12.67)</f>
        <v>12.67</v>
      </c>
      <c r="C1510" s="2">
        <f>IFERROR(__xludf.DUMMYFUNCTION("""COMPUTED_VALUE"""),13.01)</f>
        <v>13.01</v>
      </c>
      <c r="D1510" s="2">
        <f>IFERROR(__xludf.DUMMYFUNCTION("""COMPUTED_VALUE"""),12.65)</f>
        <v>12.65</v>
      </c>
      <c r="E1510" s="2">
        <f>IFERROR(__xludf.DUMMYFUNCTION("""COMPUTED_VALUE"""),12.88)</f>
        <v>12.88</v>
      </c>
      <c r="F1510" s="2">
        <f>IFERROR(__xludf.DUMMYFUNCTION("""COMPUTED_VALUE"""),7026516.0)</f>
        <v>7026516</v>
      </c>
    </row>
    <row r="1511">
      <c r="A1511" s="3">
        <f>IFERROR(__xludf.DUMMYFUNCTION("""COMPUTED_VALUE"""),42548.66666666667)</f>
        <v>42548.66667</v>
      </c>
      <c r="B1511" s="2">
        <f>IFERROR(__xludf.DUMMYFUNCTION("""COMPUTED_VALUE"""),12.72)</f>
        <v>12.72</v>
      </c>
      <c r="C1511" s="2">
        <f>IFERROR(__xludf.DUMMYFUNCTION("""COMPUTED_VALUE"""),13.25)</f>
        <v>13.25</v>
      </c>
      <c r="D1511" s="2">
        <f>IFERROR(__xludf.DUMMYFUNCTION("""COMPUTED_VALUE"""),12.52)</f>
        <v>12.52</v>
      </c>
      <c r="E1511" s="2">
        <f>IFERROR(__xludf.DUMMYFUNCTION("""COMPUTED_VALUE"""),13.24)</f>
        <v>13.24</v>
      </c>
      <c r="F1511" s="2">
        <f>IFERROR(__xludf.DUMMYFUNCTION("""COMPUTED_VALUE"""),7220323.0)</f>
        <v>7220323</v>
      </c>
    </row>
    <row r="1512">
      <c r="A1512" s="3">
        <f>IFERROR(__xludf.DUMMYFUNCTION("""COMPUTED_VALUE"""),42549.66666666667)</f>
        <v>42549.66667</v>
      </c>
      <c r="B1512" s="2">
        <f>IFERROR(__xludf.DUMMYFUNCTION("""COMPUTED_VALUE"""),13.46)</f>
        <v>13.46</v>
      </c>
      <c r="C1512" s="2">
        <f>IFERROR(__xludf.DUMMYFUNCTION("""COMPUTED_VALUE"""),13.6)</f>
        <v>13.6</v>
      </c>
      <c r="D1512" s="2">
        <f>IFERROR(__xludf.DUMMYFUNCTION("""COMPUTED_VALUE"""),13.29)</f>
        <v>13.29</v>
      </c>
      <c r="E1512" s="2">
        <f>IFERROR(__xludf.DUMMYFUNCTION("""COMPUTED_VALUE"""),13.45)</f>
        <v>13.45</v>
      </c>
      <c r="F1512" s="2">
        <f>IFERROR(__xludf.DUMMYFUNCTION("""COMPUTED_VALUE"""),6212422.0)</f>
        <v>6212422</v>
      </c>
    </row>
    <row r="1513">
      <c r="A1513" s="3">
        <f>IFERROR(__xludf.DUMMYFUNCTION("""COMPUTED_VALUE"""),42550.66666666667)</f>
        <v>42550.66667</v>
      </c>
      <c r="B1513" s="2">
        <f>IFERROR(__xludf.DUMMYFUNCTION("""COMPUTED_VALUE"""),13.68)</f>
        <v>13.68</v>
      </c>
      <c r="C1513" s="2">
        <f>IFERROR(__xludf.DUMMYFUNCTION("""COMPUTED_VALUE"""),14.12)</f>
        <v>14.12</v>
      </c>
      <c r="D1513" s="2">
        <f>IFERROR(__xludf.DUMMYFUNCTION("""COMPUTED_VALUE"""),13.53)</f>
        <v>13.53</v>
      </c>
      <c r="E1513" s="2">
        <f>IFERROR(__xludf.DUMMYFUNCTION("""COMPUTED_VALUE"""),14.01)</f>
        <v>14.01</v>
      </c>
      <c r="F1513" s="2">
        <f>IFERROR(__xludf.DUMMYFUNCTION("""COMPUTED_VALUE"""),5994908.0)</f>
        <v>5994908</v>
      </c>
    </row>
    <row r="1514">
      <c r="A1514" s="3">
        <f>IFERROR(__xludf.DUMMYFUNCTION("""COMPUTED_VALUE"""),42551.66666666667)</f>
        <v>42551.66667</v>
      </c>
      <c r="B1514" s="2">
        <f>IFERROR(__xludf.DUMMYFUNCTION("""COMPUTED_VALUE"""),14.2)</f>
        <v>14.2</v>
      </c>
      <c r="C1514" s="2">
        <f>IFERROR(__xludf.DUMMYFUNCTION("""COMPUTED_VALUE"""),14.23)</f>
        <v>14.23</v>
      </c>
      <c r="D1514" s="2">
        <f>IFERROR(__xludf.DUMMYFUNCTION("""COMPUTED_VALUE"""),13.93)</f>
        <v>13.93</v>
      </c>
      <c r="E1514" s="2">
        <f>IFERROR(__xludf.DUMMYFUNCTION("""COMPUTED_VALUE"""),14.15)</f>
        <v>14.15</v>
      </c>
      <c r="F1514" s="2">
        <f>IFERROR(__xludf.DUMMYFUNCTION("""COMPUTED_VALUE"""),4843111.0)</f>
        <v>4843111</v>
      </c>
    </row>
    <row r="1515">
      <c r="A1515" s="3">
        <f>IFERROR(__xludf.DUMMYFUNCTION("""COMPUTED_VALUE"""),42552.66666666667)</f>
        <v>42552.66667</v>
      </c>
      <c r="B1515" s="2">
        <f>IFERROR(__xludf.DUMMYFUNCTION("""COMPUTED_VALUE"""),13.74)</f>
        <v>13.74</v>
      </c>
      <c r="C1515" s="2">
        <f>IFERROR(__xludf.DUMMYFUNCTION("""COMPUTED_VALUE"""),14.55)</f>
        <v>14.55</v>
      </c>
      <c r="D1515" s="2">
        <f>IFERROR(__xludf.DUMMYFUNCTION("""COMPUTED_VALUE"""),13.73)</f>
        <v>13.73</v>
      </c>
      <c r="E1515" s="2">
        <f>IFERROR(__xludf.DUMMYFUNCTION("""COMPUTED_VALUE"""),14.43)</f>
        <v>14.43</v>
      </c>
      <c r="F1515" s="2">
        <f>IFERROR(__xludf.DUMMYFUNCTION("""COMPUTED_VALUE"""),5399951.0)</f>
        <v>5399951</v>
      </c>
    </row>
    <row r="1516">
      <c r="A1516" s="3">
        <f>IFERROR(__xludf.DUMMYFUNCTION("""COMPUTED_VALUE"""),42556.66666666667)</f>
        <v>42556.66667</v>
      </c>
      <c r="B1516" s="2">
        <f>IFERROR(__xludf.DUMMYFUNCTION("""COMPUTED_VALUE"""),13.98)</f>
        <v>13.98</v>
      </c>
      <c r="C1516" s="2">
        <f>IFERROR(__xludf.DUMMYFUNCTION("""COMPUTED_VALUE"""),14.3)</f>
        <v>14.3</v>
      </c>
      <c r="D1516" s="2">
        <f>IFERROR(__xludf.DUMMYFUNCTION("""COMPUTED_VALUE"""),13.87)</f>
        <v>13.87</v>
      </c>
      <c r="E1516" s="2">
        <f>IFERROR(__xludf.DUMMYFUNCTION("""COMPUTED_VALUE"""),14.27)</f>
        <v>14.27</v>
      </c>
      <c r="F1516" s="2">
        <f>IFERROR(__xludf.DUMMYFUNCTION("""COMPUTED_VALUE"""),5175345.0)</f>
        <v>5175345</v>
      </c>
    </row>
    <row r="1517">
      <c r="A1517" s="3">
        <f>IFERROR(__xludf.DUMMYFUNCTION("""COMPUTED_VALUE"""),42557.66666666667)</f>
        <v>42557.66667</v>
      </c>
      <c r="B1517" s="2">
        <f>IFERROR(__xludf.DUMMYFUNCTION("""COMPUTED_VALUE"""),14.0)</f>
        <v>14</v>
      </c>
      <c r="C1517" s="2">
        <f>IFERROR(__xludf.DUMMYFUNCTION("""COMPUTED_VALUE"""),14.35)</f>
        <v>14.35</v>
      </c>
      <c r="D1517" s="2">
        <f>IFERROR(__xludf.DUMMYFUNCTION("""COMPUTED_VALUE"""),13.93)</f>
        <v>13.93</v>
      </c>
      <c r="E1517" s="2">
        <f>IFERROR(__xludf.DUMMYFUNCTION("""COMPUTED_VALUE"""),14.3)</f>
        <v>14.3</v>
      </c>
      <c r="F1517" s="2">
        <f>IFERROR(__xludf.DUMMYFUNCTION("""COMPUTED_VALUE"""),4919855.0)</f>
        <v>4919855</v>
      </c>
    </row>
    <row r="1518">
      <c r="A1518" s="3">
        <f>IFERROR(__xludf.DUMMYFUNCTION("""COMPUTED_VALUE"""),42558.66666666667)</f>
        <v>42558.66667</v>
      </c>
      <c r="B1518" s="2">
        <f>IFERROR(__xludf.DUMMYFUNCTION("""COMPUTED_VALUE"""),14.21)</f>
        <v>14.21</v>
      </c>
      <c r="C1518" s="2">
        <f>IFERROR(__xludf.DUMMYFUNCTION("""COMPUTED_VALUE"""),14.54)</f>
        <v>14.54</v>
      </c>
      <c r="D1518" s="2">
        <f>IFERROR(__xludf.DUMMYFUNCTION("""COMPUTED_VALUE"""),14.2)</f>
        <v>14.2</v>
      </c>
      <c r="E1518" s="2">
        <f>IFERROR(__xludf.DUMMYFUNCTION("""COMPUTED_VALUE"""),14.4)</f>
        <v>14.4</v>
      </c>
      <c r="F1518" s="2">
        <f>IFERROR(__xludf.DUMMYFUNCTION("""COMPUTED_VALUE"""),3612022.0)</f>
        <v>3612022</v>
      </c>
    </row>
    <row r="1519">
      <c r="A1519" s="3">
        <f>IFERROR(__xludf.DUMMYFUNCTION("""COMPUTED_VALUE"""),42559.66666666667)</f>
        <v>42559.66667</v>
      </c>
      <c r="B1519" s="2">
        <f>IFERROR(__xludf.DUMMYFUNCTION("""COMPUTED_VALUE"""),14.52)</f>
        <v>14.52</v>
      </c>
      <c r="C1519" s="2">
        <f>IFERROR(__xludf.DUMMYFUNCTION("""COMPUTED_VALUE"""),14.65)</f>
        <v>14.65</v>
      </c>
      <c r="D1519" s="2">
        <f>IFERROR(__xludf.DUMMYFUNCTION("""COMPUTED_VALUE"""),14.3)</f>
        <v>14.3</v>
      </c>
      <c r="E1519" s="2">
        <f>IFERROR(__xludf.DUMMYFUNCTION("""COMPUTED_VALUE"""),14.45)</f>
        <v>14.45</v>
      </c>
      <c r="F1519" s="2">
        <f>IFERROR(__xludf.DUMMYFUNCTION("""COMPUTED_VALUE"""),4074785.0)</f>
        <v>4074785</v>
      </c>
    </row>
    <row r="1520">
      <c r="A1520" s="3">
        <f>IFERROR(__xludf.DUMMYFUNCTION("""COMPUTED_VALUE"""),42562.66666666667)</f>
        <v>42562.66667</v>
      </c>
      <c r="B1520" s="2">
        <f>IFERROR(__xludf.DUMMYFUNCTION("""COMPUTED_VALUE"""),14.66)</f>
        <v>14.66</v>
      </c>
      <c r="C1520" s="2">
        <f>IFERROR(__xludf.DUMMYFUNCTION("""COMPUTED_VALUE"""),15.12)</f>
        <v>15.12</v>
      </c>
      <c r="D1520" s="2">
        <f>IFERROR(__xludf.DUMMYFUNCTION("""COMPUTED_VALUE"""),14.63)</f>
        <v>14.63</v>
      </c>
      <c r="E1520" s="2">
        <f>IFERROR(__xludf.DUMMYFUNCTION("""COMPUTED_VALUE"""),14.99)</f>
        <v>14.99</v>
      </c>
      <c r="F1520" s="2">
        <f>IFERROR(__xludf.DUMMYFUNCTION("""COMPUTED_VALUE"""),5429823.0)</f>
        <v>5429823</v>
      </c>
    </row>
    <row r="1521">
      <c r="A1521" s="3">
        <f>IFERROR(__xludf.DUMMYFUNCTION("""COMPUTED_VALUE"""),42563.66666666667)</f>
        <v>42563.66667</v>
      </c>
      <c r="B1521" s="2">
        <f>IFERROR(__xludf.DUMMYFUNCTION("""COMPUTED_VALUE"""),14.94)</f>
        <v>14.94</v>
      </c>
      <c r="C1521" s="2">
        <f>IFERROR(__xludf.DUMMYFUNCTION("""COMPUTED_VALUE"""),15.17)</f>
        <v>15.17</v>
      </c>
      <c r="D1521" s="2">
        <f>IFERROR(__xludf.DUMMYFUNCTION("""COMPUTED_VALUE"""),14.88)</f>
        <v>14.88</v>
      </c>
      <c r="E1521" s="2">
        <f>IFERROR(__xludf.DUMMYFUNCTION("""COMPUTED_VALUE"""),14.98)</f>
        <v>14.98</v>
      </c>
      <c r="F1521" s="2">
        <f>IFERROR(__xludf.DUMMYFUNCTION("""COMPUTED_VALUE"""),4576165.0)</f>
        <v>4576165</v>
      </c>
    </row>
    <row r="1522">
      <c r="A1522" s="3">
        <f>IFERROR(__xludf.DUMMYFUNCTION("""COMPUTED_VALUE"""),42564.66666666667)</f>
        <v>42564.66667</v>
      </c>
      <c r="B1522" s="2">
        <f>IFERROR(__xludf.DUMMYFUNCTION("""COMPUTED_VALUE"""),15.03)</f>
        <v>15.03</v>
      </c>
      <c r="C1522" s="2">
        <f>IFERROR(__xludf.DUMMYFUNCTION("""COMPUTED_VALUE"""),15.04)</f>
        <v>15.04</v>
      </c>
      <c r="D1522" s="2">
        <f>IFERROR(__xludf.DUMMYFUNCTION("""COMPUTED_VALUE"""),14.69)</f>
        <v>14.69</v>
      </c>
      <c r="E1522" s="2">
        <f>IFERROR(__xludf.DUMMYFUNCTION("""COMPUTED_VALUE"""),14.84)</f>
        <v>14.84</v>
      </c>
      <c r="F1522" s="2">
        <f>IFERROR(__xludf.DUMMYFUNCTION("""COMPUTED_VALUE"""),3567062.0)</f>
        <v>3567062</v>
      </c>
    </row>
    <row r="1523">
      <c r="A1523" s="3">
        <f>IFERROR(__xludf.DUMMYFUNCTION("""COMPUTED_VALUE"""),42565.66666666667)</f>
        <v>42565.66667</v>
      </c>
      <c r="B1523" s="2">
        <f>IFERROR(__xludf.DUMMYFUNCTION("""COMPUTED_VALUE"""),14.87)</f>
        <v>14.87</v>
      </c>
      <c r="C1523" s="2">
        <f>IFERROR(__xludf.DUMMYFUNCTION("""COMPUTED_VALUE"""),15.0)</f>
        <v>15</v>
      </c>
      <c r="D1523" s="2">
        <f>IFERROR(__xludf.DUMMYFUNCTION("""COMPUTED_VALUE"""),14.74)</f>
        <v>14.74</v>
      </c>
      <c r="E1523" s="2">
        <f>IFERROR(__xludf.DUMMYFUNCTION("""COMPUTED_VALUE"""),14.77)</f>
        <v>14.77</v>
      </c>
      <c r="F1523" s="2">
        <f>IFERROR(__xludf.DUMMYFUNCTION("""COMPUTED_VALUE"""),2675834.0)</f>
        <v>2675834</v>
      </c>
    </row>
    <row r="1524">
      <c r="A1524" s="3">
        <f>IFERROR(__xludf.DUMMYFUNCTION("""COMPUTED_VALUE"""),42566.66666666667)</f>
        <v>42566.66667</v>
      </c>
      <c r="B1524" s="2">
        <f>IFERROR(__xludf.DUMMYFUNCTION("""COMPUTED_VALUE"""),14.83)</f>
        <v>14.83</v>
      </c>
      <c r="C1524" s="2">
        <f>IFERROR(__xludf.DUMMYFUNCTION("""COMPUTED_VALUE"""),14.85)</f>
        <v>14.85</v>
      </c>
      <c r="D1524" s="2">
        <f>IFERROR(__xludf.DUMMYFUNCTION("""COMPUTED_VALUE"""),14.64)</f>
        <v>14.64</v>
      </c>
      <c r="E1524" s="2">
        <f>IFERROR(__xludf.DUMMYFUNCTION("""COMPUTED_VALUE"""),14.69)</f>
        <v>14.69</v>
      </c>
      <c r="F1524" s="2">
        <f>IFERROR(__xludf.DUMMYFUNCTION("""COMPUTED_VALUE"""),2234247.0)</f>
        <v>2234247</v>
      </c>
    </row>
    <row r="1525">
      <c r="A1525" s="3">
        <f>IFERROR(__xludf.DUMMYFUNCTION("""COMPUTED_VALUE"""),42569.66666666667)</f>
        <v>42569.66667</v>
      </c>
      <c r="B1525" s="2">
        <f>IFERROR(__xludf.DUMMYFUNCTION("""COMPUTED_VALUE"""),14.64)</f>
        <v>14.64</v>
      </c>
      <c r="C1525" s="2">
        <f>IFERROR(__xludf.DUMMYFUNCTION("""COMPUTED_VALUE"""),15.14)</f>
        <v>15.14</v>
      </c>
      <c r="D1525" s="2">
        <f>IFERROR(__xludf.DUMMYFUNCTION("""COMPUTED_VALUE"""),14.55)</f>
        <v>14.55</v>
      </c>
      <c r="E1525" s="2">
        <f>IFERROR(__xludf.DUMMYFUNCTION("""COMPUTED_VALUE"""),15.08)</f>
        <v>15.08</v>
      </c>
      <c r="F1525" s="2">
        <f>IFERROR(__xludf.DUMMYFUNCTION("""COMPUTED_VALUE"""),3412055.0)</f>
        <v>3412055</v>
      </c>
    </row>
    <row r="1526">
      <c r="A1526" s="3">
        <f>IFERROR(__xludf.DUMMYFUNCTION("""COMPUTED_VALUE"""),42570.66666666667)</f>
        <v>42570.66667</v>
      </c>
      <c r="B1526" s="2">
        <f>IFERROR(__xludf.DUMMYFUNCTION("""COMPUTED_VALUE"""),15.0)</f>
        <v>15</v>
      </c>
      <c r="C1526" s="2">
        <f>IFERROR(__xludf.DUMMYFUNCTION("""COMPUTED_VALUE"""),15.27)</f>
        <v>15.27</v>
      </c>
      <c r="D1526" s="2">
        <f>IFERROR(__xludf.DUMMYFUNCTION("""COMPUTED_VALUE"""),14.98)</f>
        <v>14.98</v>
      </c>
      <c r="E1526" s="2">
        <f>IFERROR(__xludf.DUMMYFUNCTION("""COMPUTED_VALUE"""),15.02)</f>
        <v>15.02</v>
      </c>
      <c r="F1526" s="2">
        <f>IFERROR(__xludf.DUMMYFUNCTION("""COMPUTED_VALUE"""),3115065.0)</f>
        <v>3115065</v>
      </c>
    </row>
    <row r="1527">
      <c r="A1527" s="3">
        <f>IFERROR(__xludf.DUMMYFUNCTION("""COMPUTED_VALUE"""),42571.66666666667)</f>
        <v>42571.66667</v>
      </c>
      <c r="B1527" s="2">
        <f>IFERROR(__xludf.DUMMYFUNCTION("""COMPUTED_VALUE"""),15.1)</f>
        <v>15.1</v>
      </c>
      <c r="C1527" s="2">
        <f>IFERROR(__xludf.DUMMYFUNCTION("""COMPUTED_VALUE"""),15.32)</f>
        <v>15.32</v>
      </c>
      <c r="D1527" s="2">
        <f>IFERROR(__xludf.DUMMYFUNCTION("""COMPUTED_VALUE"""),15.0)</f>
        <v>15</v>
      </c>
      <c r="E1527" s="2">
        <f>IFERROR(__xludf.DUMMYFUNCTION("""COMPUTED_VALUE"""),15.22)</f>
        <v>15.22</v>
      </c>
      <c r="F1527" s="2">
        <f>IFERROR(__xludf.DUMMYFUNCTION("""COMPUTED_VALUE"""),2568498.0)</f>
        <v>2568498</v>
      </c>
    </row>
    <row r="1528">
      <c r="A1528" s="3">
        <f>IFERROR(__xludf.DUMMYFUNCTION("""COMPUTED_VALUE"""),42572.66666666667)</f>
        <v>42572.66667</v>
      </c>
      <c r="B1528" s="2">
        <f>IFERROR(__xludf.DUMMYFUNCTION("""COMPUTED_VALUE"""),15.07)</f>
        <v>15.07</v>
      </c>
      <c r="C1528" s="2">
        <f>IFERROR(__xludf.DUMMYFUNCTION("""COMPUTED_VALUE"""),15.19)</f>
        <v>15.19</v>
      </c>
      <c r="D1528" s="2">
        <f>IFERROR(__xludf.DUMMYFUNCTION("""COMPUTED_VALUE"""),14.61)</f>
        <v>14.61</v>
      </c>
      <c r="E1528" s="2">
        <f>IFERROR(__xludf.DUMMYFUNCTION("""COMPUTED_VALUE"""),14.7)</f>
        <v>14.7</v>
      </c>
      <c r="F1528" s="2">
        <f>IFERROR(__xludf.DUMMYFUNCTION("""COMPUTED_VALUE"""),4428651.0)</f>
        <v>4428651</v>
      </c>
    </row>
    <row r="1529">
      <c r="A1529" s="3">
        <f>IFERROR(__xludf.DUMMYFUNCTION("""COMPUTED_VALUE"""),42573.66666666667)</f>
        <v>42573.66667</v>
      </c>
      <c r="B1529" s="2">
        <f>IFERROR(__xludf.DUMMYFUNCTION("""COMPUTED_VALUE"""),14.8)</f>
        <v>14.8</v>
      </c>
      <c r="C1529" s="2">
        <f>IFERROR(__xludf.DUMMYFUNCTION("""COMPUTED_VALUE"""),14.97)</f>
        <v>14.97</v>
      </c>
      <c r="D1529" s="2">
        <f>IFERROR(__xludf.DUMMYFUNCTION("""COMPUTED_VALUE"""),14.59)</f>
        <v>14.59</v>
      </c>
      <c r="E1529" s="2">
        <f>IFERROR(__xludf.DUMMYFUNCTION("""COMPUTED_VALUE"""),14.82)</f>
        <v>14.82</v>
      </c>
      <c r="F1529" s="2">
        <f>IFERROR(__xludf.DUMMYFUNCTION("""COMPUTED_VALUE"""),2579692.0)</f>
        <v>2579692</v>
      </c>
    </row>
    <row r="1530">
      <c r="A1530" s="3">
        <f>IFERROR(__xludf.DUMMYFUNCTION("""COMPUTED_VALUE"""),42576.66666666667)</f>
        <v>42576.66667</v>
      </c>
      <c r="B1530" s="2">
        <f>IFERROR(__xludf.DUMMYFUNCTION("""COMPUTED_VALUE"""),14.82)</f>
        <v>14.82</v>
      </c>
      <c r="C1530" s="2">
        <f>IFERROR(__xludf.DUMMYFUNCTION("""COMPUTED_VALUE"""),15.43)</f>
        <v>15.43</v>
      </c>
      <c r="D1530" s="2">
        <f>IFERROR(__xludf.DUMMYFUNCTION("""COMPUTED_VALUE"""),14.76)</f>
        <v>14.76</v>
      </c>
      <c r="E1530" s="2">
        <f>IFERROR(__xludf.DUMMYFUNCTION("""COMPUTED_VALUE"""),15.33)</f>
        <v>15.33</v>
      </c>
      <c r="F1530" s="2">
        <f>IFERROR(__xludf.DUMMYFUNCTION("""COMPUTED_VALUE"""),4490683.0)</f>
        <v>4490683</v>
      </c>
    </row>
    <row r="1531">
      <c r="A1531" s="3">
        <f>IFERROR(__xludf.DUMMYFUNCTION("""COMPUTED_VALUE"""),42577.66666666667)</f>
        <v>42577.66667</v>
      </c>
      <c r="B1531" s="2">
        <f>IFERROR(__xludf.DUMMYFUNCTION("""COMPUTED_VALUE"""),15.18)</f>
        <v>15.18</v>
      </c>
      <c r="C1531" s="2">
        <f>IFERROR(__xludf.DUMMYFUNCTION("""COMPUTED_VALUE"""),15.33)</f>
        <v>15.33</v>
      </c>
      <c r="D1531" s="2">
        <f>IFERROR(__xludf.DUMMYFUNCTION("""COMPUTED_VALUE"""),15.02)</f>
        <v>15.02</v>
      </c>
      <c r="E1531" s="2">
        <f>IFERROR(__xludf.DUMMYFUNCTION("""COMPUTED_VALUE"""),15.3)</f>
        <v>15.3</v>
      </c>
      <c r="F1531" s="2">
        <f>IFERROR(__xludf.DUMMYFUNCTION("""COMPUTED_VALUE"""),3430042.0)</f>
        <v>3430042</v>
      </c>
    </row>
    <row r="1532">
      <c r="A1532" s="3">
        <f>IFERROR(__xludf.DUMMYFUNCTION("""COMPUTED_VALUE"""),42578.66666666667)</f>
        <v>42578.66667</v>
      </c>
      <c r="B1532" s="2">
        <f>IFERROR(__xludf.DUMMYFUNCTION("""COMPUTED_VALUE"""),15.29)</f>
        <v>15.29</v>
      </c>
      <c r="C1532" s="2">
        <f>IFERROR(__xludf.DUMMYFUNCTION("""COMPUTED_VALUE"""),15.56)</f>
        <v>15.56</v>
      </c>
      <c r="D1532" s="2">
        <f>IFERROR(__xludf.DUMMYFUNCTION("""COMPUTED_VALUE"""),15.13)</f>
        <v>15.13</v>
      </c>
      <c r="E1532" s="2">
        <f>IFERROR(__xludf.DUMMYFUNCTION("""COMPUTED_VALUE"""),15.23)</f>
        <v>15.23</v>
      </c>
      <c r="F1532" s="2">
        <f>IFERROR(__xludf.DUMMYFUNCTION("""COMPUTED_VALUE"""),2889007.0)</f>
        <v>2889007</v>
      </c>
    </row>
    <row r="1533">
      <c r="A1533" s="3">
        <f>IFERROR(__xludf.DUMMYFUNCTION("""COMPUTED_VALUE"""),42579.66666666667)</f>
        <v>42579.66667</v>
      </c>
      <c r="B1533" s="2">
        <f>IFERROR(__xludf.DUMMYFUNCTION("""COMPUTED_VALUE"""),15.2)</f>
        <v>15.2</v>
      </c>
      <c r="C1533" s="2">
        <f>IFERROR(__xludf.DUMMYFUNCTION("""COMPUTED_VALUE"""),15.38)</f>
        <v>15.38</v>
      </c>
      <c r="D1533" s="2">
        <f>IFERROR(__xludf.DUMMYFUNCTION("""COMPUTED_VALUE"""),15.11)</f>
        <v>15.11</v>
      </c>
      <c r="E1533" s="2">
        <f>IFERROR(__xludf.DUMMYFUNCTION("""COMPUTED_VALUE"""),15.37)</f>
        <v>15.37</v>
      </c>
      <c r="F1533" s="2">
        <f>IFERROR(__xludf.DUMMYFUNCTION("""COMPUTED_VALUE"""),2419059.0)</f>
        <v>2419059</v>
      </c>
    </row>
    <row r="1534">
      <c r="A1534" s="3">
        <f>IFERROR(__xludf.DUMMYFUNCTION("""COMPUTED_VALUE"""),42580.66666666667)</f>
        <v>42580.66667</v>
      </c>
      <c r="B1534" s="2">
        <f>IFERROR(__xludf.DUMMYFUNCTION("""COMPUTED_VALUE"""),15.38)</f>
        <v>15.38</v>
      </c>
      <c r="C1534" s="2">
        <f>IFERROR(__xludf.DUMMYFUNCTION("""COMPUTED_VALUE"""),15.69)</f>
        <v>15.69</v>
      </c>
      <c r="D1534" s="2">
        <f>IFERROR(__xludf.DUMMYFUNCTION("""COMPUTED_VALUE"""),15.35)</f>
        <v>15.35</v>
      </c>
      <c r="E1534" s="2">
        <f>IFERROR(__xludf.DUMMYFUNCTION("""COMPUTED_VALUE"""),15.65)</f>
        <v>15.65</v>
      </c>
      <c r="F1534" s="2">
        <f>IFERROR(__xludf.DUMMYFUNCTION("""COMPUTED_VALUE"""),3070813.0)</f>
        <v>3070813</v>
      </c>
    </row>
    <row r="1535">
      <c r="A1535" s="3">
        <f>IFERROR(__xludf.DUMMYFUNCTION("""COMPUTED_VALUE"""),42583.66666666667)</f>
        <v>42583.66667</v>
      </c>
      <c r="B1535" s="2">
        <f>IFERROR(__xludf.DUMMYFUNCTION("""COMPUTED_VALUE"""),15.7)</f>
        <v>15.7</v>
      </c>
      <c r="C1535" s="2">
        <f>IFERROR(__xludf.DUMMYFUNCTION("""COMPUTED_VALUE"""),15.78)</f>
        <v>15.78</v>
      </c>
      <c r="D1535" s="2">
        <f>IFERROR(__xludf.DUMMYFUNCTION("""COMPUTED_VALUE"""),15.29)</f>
        <v>15.29</v>
      </c>
      <c r="E1535" s="2">
        <f>IFERROR(__xludf.DUMMYFUNCTION("""COMPUTED_VALUE"""),15.33)</f>
        <v>15.33</v>
      </c>
      <c r="F1535" s="2">
        <f>IFERROR(__xludf.DUMMYFUNCTION("""COMPUTED_VALUE"""),4016284.0)</f>
        <v>4016284</v>
      </c>
    </row>
    <row r="1536">
      <c r="A1536" s="3">
        <f>IFERROR(__xludf.DUMMYFUNCTION("""COMPUTED_VALUE"""),42584.66666666667)</f>
        <v>42584.66667</v>
      </c>
      <c r="B1536" s="2">
        <f>IFERROR(__xludf.DUMMYFUNCTION("""COMPUTED_VALUE"""),15.29)</f>
        <v>15.29</v>
      </c>
      <c r="C1536" s="2">
        <f>IFERROR(__xludf.DUMMYFUNCTION("""COMPUTED_VALUE"""),15.32)</f>
        <v>15.32</v>
      </c>
      <c r="D1536" s="2">
        <f>IFERROR(__xludf.DUMMYFUNCTION("""COMPUTED_VALUE"""),14.76)</f>
        <v>14.76</v>
      </c>
      <c r="E1536" s="2">
        <f>IFERROR(__xludf.DUMMYFUNCTION("""COMPUTED_VALUE"""),15.15)</f>
        <v>15.15</v>
      </c>
      <c r="F1536" s="2">
        <f>IFERROR(__xludf.DUMMYFUNCTION("""COMPUTED_VALUE"""),3934432.0)</f>
        <v>3934432</v>
      </c>
    </row>
    <row r="1537">
      <c r="A1537" s="3">
        <f>IFERROR(__xludf.DUMMYFUNCTION("""COMPUTED_VALUE"""),42585.66666666667)</f>
        <v>42585.66667</v>
      </c>
      <c r="B1537" s="2">
        <f>IFERROR(__xludf.DUMMYFUNCTION("""COMPUTED_VALUE"""),15.16)</f>
        <v>15.16</v>
      </c>
      <c r="C1537" s="2">
        <f>IFERROR(__xludf.DUMMYFUNCTION("""COMPUTED_VALUE"""),15.31)</f>
        <v>15.31</v>
      </c>
      <c r="D1537" s="2">
        <f>IFERROR(__xludf.DUMMYFUNCTION("""COMPUTED_VALUE"""),14.95)</f>
        <v>14.95</v>
      </c>
      <c r="E1537" s="2">
        <f>IFERROR(__xludf.DUMMYFUNCTION("""COMPUTED_VALUE"""),15.05)</f>
        <v>15.05</v>
      </c>
      <c r="F1537" s="2">
        <f>IFERROR(__xludf.DUMMYFUNCTION("""COMPUTED_VALUE"""),3887759.0)</f>
        <v>3887759</v>
      </c>
    </row>
    <row r="1538">
      <c r="A1538" s="3">
        <f>IFERROR(__xludf.DUMMYFUNCTION("""COMPUTED_VALUE"""),42586.66666666667)</f>
        <v>42586.66667</v>
      </c>
      <c r="B1538" s="2">
        <f>IFERROR(__xludf.DUMMYFUNCTION("""COMPUTED_VALUE"""),15.05)</f>
        <v>15.05</v>
      </c>
      <c r="C1538" s="2">
        <f>IFERROR(__xludf.DUMMYFUNCTION("""COMPUTED_VALUE"""),15.39)</f>
        <v>15.39</v>
      </c>
      <c r="D1538" s="2">
        <f>IFERROR(__xludf.DUMMYFUNCTION("""COMPUTED_VALUE"""),14.8)</f>
        <v>14.8</v>
      </c>
      <c r="E1538" s="2">
        <f>IFERROR(__xludf.DUMMYFUNCTION("""COMPUTED_VALUE"""),15.37)</f>
        <v>15.37</v>
      </c>
      <c r="F1538" s="2">
        <f>IFERROR(__xludf.DUMMYFUNCTION("""COMPUTED_VALUE"""),4146997.0)</f>
        <v>4146997</v>
      </c>
    </row>
    <row r="1539">
      <c r="A1539" s="3">
        <f>IFERROR(__xludf.DUMMYFUNCTION("""COMPUTED_VALUE"""),42587.66666666667)</f>
        <v>42587.66667</v>
      </c>
      <c r="B1539" s="2">
        <f>IFERROR(__xludf.DUMMYFUNCTION("""COMPUTED_VALUE"""),15.33)</f>
        <v>15.33</v>
      </c>
      <c r="C1539" s="2">
        <f>IFERROR(__xludf.DUMMYFUNCTION("""COMPUTED_VALUE"""),15.47)</f>
        <v>15.47</v>
      </c>
      <c r="D1539" s="2">
        <f>IFERROR(__xludf.DUMMYFUNCTION("""COMPUTED_VALUE"""),15.16)</f>
        <v>15.16</v>
      </c>
      <c r="E1539" s="2">
        <f>IFERROR(__xludf.DUMMYFUNCTION("""COMPUTED_VALUE"""),15.34)</f>
        <v>15.34</v>
      </c>
      <c r="F1539" s="2">
        <f>IFERROR(__xludf.DUMMYFUNCTION("""COMPUTED_VALUE"""),3205215.0)</f>
        <v>3205215</v>
      </c>
    </row>
    <row r="1540">
      <c r="A1540" s="3">
        <f>IFERROR(__xludf.DUMMYFUNCTION("""COMPUTED_VALUE"""),42590.66666666667)</f>
        <v>42590.66667</v>
      </c>
      <c r="B1540" s="2">
        <f>IFERROR(__xludf.DUMMYFUNCTION("""COMPUTED_VALUE"""),15.2)</f>
        <v>15.2</v>
      </c>
      <c r="C1540" s="2">
        <f>IFERROR(__xludf.DUMMYFUNCTION("""COMPUTED_VALUE"""),15.31)</f>
        <v>15.31</v>
      </c>
      <c r="D1540" s="2">
        <f>IFERROR(__xludf.DUMMYFUNCTION("""COMPUTED_VALUE"""),15.07)</f>
        <v>15.07</v>
      </c>
      <c r="E1540" s="2">
        <f>IFERROR(__xludf.DUMMYFUNCTION("""COMPUTED_VALUE"""),15.08)</f>
        <v>15.08</v>
      </c>
      <c r="F1540" s="2">
        <f>IFERROR(__xludf.DUMMYFUNCTION("""COMPUTED_VALUE"""),2263584.0)</f>
        <v>2263584</v>
      </c>
    </row>
    <row r="1541">
      <c r="A1541" s="3">
        <f>IFERROR(__xludf.DUMMYFUNCTION("""COMPUTED_VALUE"""),42591.66666666667)</f>
        <v>42591.66667</v>
      </c>
      <c r="B1541" s="2">
        <f>IFERROR(__xludf.DUMMYFUNCTION("""COMPUTED_VALUE"""),15.12)</f>
        <v>15.12</v>
      </c>
      <c r="C1541" s="2">
        <f>IFERROR(__xludf.DUMMYFUNCTION("""COMPUTED_VALUE"""),15.44)</f>
        <v>15.44</v>
      </c>
      <c r="D1541" s="2">
        <f>IFERROR(__xludf.DUMMYFUNCTION("""COMPUTED_VALUE"""),15.11)</f>
        <v>15.11</v>
      </c>
      <c r="E1541" s="2">
        <f>IFERROR(__xludf.DUMMYFUNCTION("""COMPUTED_VALUE"""),15.27)</f>
        <v>15.27</v>
      </c>
      <c r="F1541" s="2">
        <f>IFERROR(__xludf.DUMMYFUNCTION("""COMPUTED_VALUE"""),2207833.0)</f>
        <v>2207833</v>
      </c>
    </row>
    <row r="1542">
      <c r="A1542" s="3">
        <f>IFERROR(__xludf.DUMMYFUNCTION("""COMPUTED_VALUE"""),42592.66666666667)</f>
        <v>42592.66667</v>
      </c>
      <c r="B1542" s="2">
        <f>IFERROR(__xludf.DUMMYFUNCTION("""COMPUTED_VALUE"""),15.22)</f>
        <v>15.22</v>
      </c>
      <c r="C1542" s="2">
        <f>IFERROR(__xludf.DUMMYFUNCTION("""COMPUTED_VALUE"""),15.32)</f>
        <v>15.32</v>
      </c>
      <c r="D1542" s="2">
        <f>IFERROR(__xludf.DUMMYFUNCTION("""COMPUTED_VALUE"""),14.97)</f>
        <v>14.97</v>
      </c>
      <c r="E1542" s="2">
        <f>IFERROR(__xludf.DUMMYFUNCTION("""COMPUTED_VALUE"""),15.04)</f>
        <v>15.04</v>
      </c>
      <c r="F1542" s="2">
        <f>IFERROR(__xludf.DUMMYFUNCTION("""COMPUTED_VALUE"""),2338301.0)</f>
        <v>2338301</v>
      </c>
    </row>
    <row r="1543">
      <c r="A1543" s="3">
        <f>IFERROR(__xludf.DUMMYFUNCTION("""COMPUTED_VALUE"""),42593.66666666667)</f>
        <v>42593.66667</v>
      </c>
      <c r="B1543" s="2">
        <f>IFERROR(__xludf.DUMMYFUNCTION("""COMPUTED_VALUE"""),15.08)</f>
        <v>15.08</v>
      </c>
      <c r="C1543" s="2">
        <f>IFERROR(__xludf.DUMMYFUNCTION("""COMPUTED_VALUE"""),15.17)</f>
        <v>15.17</v>
      </c>
      <c r="D1543" s="2">
        <f>IFERROR(__xludf.DUMMYFUNCTION("""COMPUTED_VALUE"""),14.89)</f>
        <v>14.89</v>
      </c>
      <c r="E1543" s="2">
        <f>IFERROR(__xludf.DUMMYFUNCTION("""COMPUTED_VALUE"""),14.99)</f>
        <v>14.99</v>
      </c>
      <c r="F1543" s="2">
        <f>IFERROR(__xludf.DUMMYFUNCTION("""COMPUTED_VALUE"""),1880936.0)</f>
        <v>1880936</v>
      </c>
    </row>
    <row r="1544">
      <c r="A1544" s="3">
        <f>IFERROR(__xludf.DUMMYFUNCTION("""COMPUTED_VALUE"""),42594.66666666667)</f>
        <v>42594.66667</v>
      </c>
      <c r="B1544" s="2">
        <f>IFERROR(__xludf.DUMMYFUNCTION("""COMPUTED_VALUE"""),15.03)</f>
        <v>15.03</v>
      </c>
      <c r="C1544" s="2">
        <f>IFERROR(__xludf.DUMMYFUNCTION("""COMPUTED_VALUE"""),15.11)</f>
        <v>15.11</v>
      </c>
      <c r="D1544" s="2">
        <f>IFERROR(__xludf.DUMMYFUNCTION("""COMPUTED_VALUE"""),14.94)</f>
        <v>14.94</v>
      </c>
      <c r="E1544" s="2">
        <f>IFERROR(__xludf.DUMMYFUNCTION("""COMPUTED_VALUE"""),15.04)</f>
        <v>15.04</v>
      </c>
      <c r="F1544" s="2">
        <f>IFERROR(__xludf.DUMMYFUNCTION("""COMPUTED_VALUE"""),1813540.0)</f>
        <v>1813540</v>
      </c>
    </row>
    <row r="1545">
      <c r="A1545" s="3">
        <f>IFERROR(__xludf.DUMMYFUNCTION("""COMPUTED_VALUE"""),42597.66666666667)</f>
        <v>42597.66667</v>
      </c>
      <c r="B1545" s="2">
        <f>IFERROR(__xludf.DUMMYFUNCTION("""COMPUTED_VALUE"""),15.07)</f>
        <v>15.07</v>
      </c>
      <c r="C1545" s="2">
        <f>IFERROR(__xludf.DUMMYFUNCTION("""COMPUTED_VALUE"""),15.3)</f>
        <v>15.3</v>
      </c>
      <c r="D1545" s="2">
        <f>IFERROR(__xludf.DUMMYFUNCTION("""COMPUTED_VALUE"""),15.0)</f>
        <v>15</v>
      </c>
      <c r="E1545" s="2">
        <f>IFERROR(__xludf.DUMMYFUNCTION("""COMPUTED_VALUE"""),15.04)</f>
        <v>15.04</v>
      </c>
      <c r="F1545" s="2">
        <f>IFERROR(__xludf.DUMMYFUNCTION("""COMPUTED_VALUE"""),2034328.0)</f>
        <v>2034328</v>
      </c>
    </row>
    <row r="1546">
      <c r="A1546" s="3">
        <f>IFERROR(__xludf.DUMMYFUNCTION("""COMPUTED_VALUE"""),42598.66666666667)</f>
        <v>42598.66667</v>
      </c>
      <c r="B1546" s="2">
        <f>IFERROR(__xludf.DUMMYFUNCTION("""COMPUTED_VALUE"""),15.03)</f>
        <v>15.03</v>
      </c>
      <c r="C1546" s="2">
        <f>IFERROR(__xludf.DUMMYFUNCTION("""COMPUTED_VALUE"""),15.15)</f>
        <v>15.15</v>
      </c>
      <c r="D1546" s="2">
        <f>IFERROR(__xludf.DUMMYFUNCTION("""COMPUTED_VALUE"""),14.89)</f>
        <v>14.89</v>
      </c>
      <c r="E1546" s="2">
        <f>IFERROR(__xludf.DUMMYFUNCTION("""COMPUTED_VALUE"""),14.91)</f>
        <v>14.91</v>
      </c>
      <c r="F1546" s="2">
        <f>IFERROR(__xludf.DUMMYFUNCTION("""COMPUTED_VALUE"""),2267147.0)</f>
        <v>2267147</v>
      </c>
    </row>
    <row r="1547">
      <c r="A1547" s="3">
        <f>IFERROR(__xludf.DUMMYFUNCTION("""COMPUTED_VALUE"""),42599.66666666667)</f>
        <v>42599.66667</v>
      </c>
      <c r="B1547" s="2">
        <f>IFERROR(__xludf.DUMMYFUNCTION("""COMPUTED_VALUE"""),14.96)</f>
        <v>14.96</v>
      </c>
      <c r="C1547" s="2">
        <f>IFERROR(__xludf.DUMMYFUNCTION("""COMPUTED_VALUE"""),14.99)</f>
        <v>14.99</v>
      </c>
      <c r="D1547" s="2">
        <f>IFERROR(__xludf.DUMMYFUNCTION("""COMPUTED_VALUE"""),14.85)</f>
        <v>14.85</v>
      </c>
      <c r="E1547" s="2">
        <f>IFERROR(__xludf.DUMMYFUNCTION("""COMPUTED_VALUE"""),14.88)</f>
        <v>14.88</v>
      </c>
      <c r="F1547" s="2">
        <f>IFERROR(__xludf.DUMMYFUNCTION("""COMPUTED_VALUE"""),1787127.0)</f>
        <v>1787127</v>
      </c>
    </row>
    <row r="1548">
      <c r="A1548" s="3">
        <f>IFERROR(__xludf.DUMMYFUNCTION("""COMPUTED_VALUE"""),42600.66666666667)</f>
        <v>42600.66667</v>
      </c>
      <c r="B1548" s="2">
        <f>IFERROR(__xludf.DUMMYFUNCTION("""COMPUTED_VALUE"""),14.92)</f>
        <v>14.92</v>
      </c>
      <c r="C1548" s="2">
        <f>IFERROR(__xludf.DUMMYFUNCTION("""COMPUTED_VALUE"""),15.04)</f>
        <v>15.04</v>
      </c>
      <c r="D1548" s="2">
        <f>IFERROR(__xludf.DUMMYFUNCTION("""COMPUTED_VALUE"""),14.82)</f>
        <v>14.82</v>
      </c>
      <c r="E1548" s="2">
        <f>IFERROR(__xludf.DUMMYFUNCTION("""COMPUTED_VALUE"""),14.9)</f>
        <v>14.9</v>
      </c>
      <c r="F1548" s="2">
        <f>IFERROR(__xludf.DUMMYFUNCTION("""COMPUTED_VALUE"""),1714467.0)</f>
        <v>1714467</v>
      </c>
    </row>
    <row r="1549">
      <c r="A1549" s="3">
        <f>IFERROR(__xludf.DUMMYFUNCTION("""COMPUTED_VALUE"""),42601.66666666667)</f>
        <v>42601.66667</v>
      </c>
      <c r="B1549" s="2">
        <f>IFERROR(__xludf.DUMMYFUNCTION("""COMPUTED_VALUE"""),14.9)</f>
        <v>14.9</v>
      </c>
      <c r="C1549" s="2">
        <f>IFERROR(__xludf.DUMMYFUNCTION("""COMPUTED_VALUE"""),15.01)</f>
        <v>15.01</v>
      </c>
      <c r="D1549" s="2">
        <f>IFERROR(__xludf.DUMMYFUNCTION("""COMPUTED_VALUE"""),14.84)</f>
        <v>14.84</v>
      </c>
      <c r="E1549" s="2">
        <f>IFERROR(__xludf.DUMMYFUNCTION("""COMPUTED_VALUE"""),15.0)</f>
        <v>15</v>
      </c>
      <c r="F1549" s="2">
        <f>IFERROR(__xludf.DUMMYFUNCTION("""COMPUTED_VALUE"""),1659530.0)</f>
        <v>1659530</v>
      </c>
    </row>
    <row r="1550">
      <c r="A1550" s="3">
        <f>IFERROR(__xludf.DUMMYFUNCTION("""COMPUTED_VALUE"""),42604.66666666667)</f>
        <v>42604.66667</v>
      </c>
      <c r="B1550" s="2">
        <f>IFERROR(__xludf.DUMMYFUNCTION("""COMPUTED_VALUE"""),14.94)</f>
        <v>14.94</v>
      </c>
      <c r="C1550" s="2">
        <f>IFERROR(__xludf.DUMMYFUNCTION("""COMPUTED_VALUE"""),15.01)</f>
        <v>15.01</v>
      </c>
      <c r="D1550" s="2">
        <f>IFERROR(__xludf.DUMMYFUNCTION("""COMPUTED_VALUE"""),14.85)</f>
        <v>14.85</v>
      </c>
      <c r="E1550" s="2">
        <f>IFERROR(__xludf.DUMMYFUNCTION("""COMPUTED_VALUE"""),14.86)</f>
        <v>14.86</v>
      </c>
      <c r="F1550" s="2">
        <f>IFERROR(__xludf.DUMMYFUNCTION("""COMPUTED_VALUE"""),2065493.0)</f>
        <v>2065493</v>
      </c>
    </row>
    <row r="1551">
      <c r="A1551" s="3">
        <f>IFERROR(__xludf.DUMMYFUNCTION("""COMPUTED_VALUE"""),42605.66666666667)</f>
        <v>42605.66667</v>
      </c>
      <c r="B1551" s="2">
        <f>IFERROR(__xludf.DUMMYFUNCTION("""COMPUTED_VALUE"""),14.95)</f>
        <v>14.95</v>
      </c>
      <c r="C1551" s="2">
        <f>IFERROR(__xludf.DUMMYFUNCTION("""COMPUTED_VALUE"""),15.23)</f>
        <v>15.23</v>
      </c>
      <c r="D1551" s="2">
        <f>IFERROR(__xludf.DUMMYFUNCTION("""COMPUTED_VALUE"""),14.85)</f>
        <v>14.85</v>
      </c>
      <c r="E1551" s="2">
        <f>IFERROR(__xludf.DUMMYFUNCTION("""COMPUTED_VALUE"""),14.99)</f>
        <v>14.99</v>
      </c>
      <c r="F1551" s="2">
        <f>IFERROR(__xludf.DUMMYFUNCTION("""COMPUTED_VALUE"""),4784418.0)</f>
        <v>4784418</v>
      </c>
    </row>
    <row r="1552">
      <c r="A1552" s="3">
        <f>IFERROR(__xludf.DUMMYFUNCTION("""COMPUTED_VALUE"""),42606.66666666667)</f>
        <v>42606.66667</v>
      </c>
      <c r="B1552" s="2">
        <f>IFERROR(__xludf.DUMMYFUNCTION("""COMPUTED_VALUE"""),15.14)</f>
        <v>15.14</v>
      </c>
      <c r="C1552" s="2">
        <f>IFERROR(__xludf.DUMMYFUNCTION("""COMPUTED_VALUE"""),15.14)</f>
        <v>15.14</v>
      </c>
      <c r="D1552" s="2">
        <f>IFERROR(__xludf.DUMMYFUNCTION("""COMPUTED_VALUE"""),14.81)</f>
        <v>14.81</v>
      </c>
      <c r="E1552" s="2">
        <f>IFERROR(__xludf.DUMMYFUNCTION("""COMPUTED_VALUE"""),14.84)</f>
        <v>14.84</v>
      </c>
      <c r="F1552" s="2">
        <f>IFERROR(__xludf.DUMMYFUNCTION("""COMPUTED_VALUE"""),2570693.0)</f>
        <v>2570693</v>
      </c>
    </row>
    <row r="1553">
      <c r="A1553" s="3">
        <f>IFERROR(__xludf.DUMMYFUNCTION("""COMPUTED_VALUE"""),42607.66666666667)</f>
        <v>42607.66667</v>
      </c>
      <c r="B1553" s="2">
        <f>IFERROR(__xludf.DUMMYFUNCTION("""COMPUTED_VALUE"""),14.87)</f>
        <v>14.87</v>
      </c>
      <c r="C1553" s="2">
        <f>IFERROR(__xludf.DUMMYFUNCTION("""COMPUTED_VALUE"""),14.92)</f>
        <v>14.92</v>
      </c>
      <c r="D1553" s="2">
        <f>IFERROR(__xludf.DUMMYFUNCTION("""COMPUTED_VALUE"""),14.72)</f>
        <v>14.72</v>
      </c>
      <c r="E1553" s="2">
        <f>IFERROR(__xludf.DUMMYFUNCTION("""COMPUTED_VALUE"""),14.73)</f>
        <v>14.73</v>
      </c>
      <c r="F1553" s="2">
        <f>IFERROR(__xludf.DUMMYFUNCTION("""COMPUTED_VALUE"""),1762519.0)</f>
        <v>1762519</v>
      </c>
    </row>
    <row r="1554">
      <c r="A1554" s="3">
        <f>IFERROR(__xludf.DUMMYFUNCTION("""COMPUTED_VALUE"""),42608.66666666667)</f>
        <v>42608.66667</v>
      </c>
      <c r="B1554" s="2">
        <f>IFERROR(__xludf.DUMMYFUNCTION("""COMPUTED_VALUE"""),14.81)</f>
        <v>14.81</v>
      </c>
      <c r="C1554" s="2">
        <f>IFERROR(__xludf.DUMMYFUNCTION("""COMPUTED_VALUE"""),14.86)</f>
        <v>14.86</v>
      </c>
      <c r="D1554" s="2">
        <f>IFERROR(__xludf.DUMMYFUNCTION("""COMPUTED_VALUE"""),14.59)</f>
        <v>14.59</v>
      </c>
      <c r="E1554" s="2">
        <f>IFERROR(__xludf.DUMMYFUNCTION("""COMPUTED_VALUE"""),14.67)</f>
        <v>14.67</v>
      </c>
      <c r="F1554" s="2">
        <f>IFERROR(__xludf.DUMMYFUNCTION("""COMPUTED_VALUE"""),2238992.0)</f>
        <v>2238992</v>
      </c>
    </row>
    <row r="1555">
      <c r="A1555" s="3">
        <f>IFERROR(__xludf.DUMMYFUNCTION("""COMPUTED_VALUE"""),42611.66666666667)</f>
        <v>42611.66667</v>
      </c>
      <c r="B1555" s="2">
        <f>IFERROR(__xludf.DUMMYFUNCTION("""COMPUTED_VALUE"""),14.68)</f>
        <v>14.68</v>
      </c>
      <c r="C1555" s="2">
        <f>IFERROR(__xludf.DUMMYFUNCTION("""COMPUTED_VALUE"""),14.69)</f>
        <v>14.69</v>
      </c>
      <c r="D1555" s="2">
        <f>IFERROR(__xludf.DUMMYFUNCTION("""COMPUTED_VALUE"""),14.33)</f>
        <v>14.33</v>
      </c>
      <c r="E1555" s="2">
        <f>IFERROR(__xludf.DUMMYFUNCTION("""COMPUTED_VALUE"""),14.35)</f>
        <v>14.35</v>
      </c>
      <c r="F1555" s="2">
        <f>IFERROR(__xludf.DUMMYFUNCTION("""COMPUTED_VALUE"""),3266334.0)</f>
        <v>3266334</v>
      </c>
    </row>
    <row r="1556">
      <c r="A1556" s="3">
        <f>IFERROR(__xludf.DUMMYFUNCTION("""COMPUTED_VALUE"""),42612.66666666667)</f>
        <v>42612.66667</v>
      </c>
      <c r="B1556" s="2">
        <f>IFERROR(__xludf.DUMMYFUNCTION("""COMPUTED_VALUE"""),14.41)</f>
        <v>14.41</v>
      </c>
      <c r="C1556" s="2">
        <f>IFERROR(__xludf.DUMMYFUNCTION("""COMPUTED_VALUE"""),14.41)</f>
        <v>14.41</v>
      </c>
      <c r="D1556" s="2">
        <f>IFERROR(__xludf.DUMMYFUNCTION("""COMPUTED_VALUE"""),14.03)</f>
        <v>14.03</v>
      </c>
      <c r="E1556" s="2">
        <f>IFERROR(__xludf.DUMMYFUNCTION("""COMPUTED_VALUE"""),14.09)</f>
        <v>14.09</v>
      </c>
      <c r="F1556" s="2">
        <f>IFERROR(__xludf.DUMMYFUNCTION("""COMPUTED_VALUE"""),3168862.0)</f>
        <v>3168862</v>
      </c>
    </row>
    <row r="1557">
      <c r="A1557" s="3">
        <f>IFERROR(__xludf.DUMMYFUNCTION("""COMPUTED_VALUE"""),42613.66666666667)</f>
        <v>42613.66667</v>
      </c>
      <c r="B1557" s="2">
        <f>IFERROR(__xludf.DUMMYFUNCTION("""COMPUTED_VALUE"""),14.03)</f>
        <v>14.03</v>
      </c>
      <c r="C1557" s="2">
        <f>IFERROR(__xludf.DUMMYFUNCTION("""COMPUTED_VALUE"""),14.17)</f>
        <v>14.17</v>
      </c>
      <c r="D1557" s="2">
        <f>IFERROR(__xludf.DUMMYFUNCTION("""COMPUTED_VALUE"""),13.91)</f>
        <v>13.91</v>
      </c>
      <c r="E1557" s="2">
        <f>IFERROR(__xludf.DUMMYFUNCTION("""COMPUTED_VALUE"""),14.13)</f>
        <v>14.13</v>
      </c>
      <c r="F1557" s="2">
        <f>IFERROR(__xludf.DUMMYFUNCTION("""COMPUTED_VALUE"""),3276548.0)</f>
        <v>3276548</v>
      </c>
    </row>
    <row r="1558">
      <c r="A1558" s="3">
        <f>IFERROR(__xludf.DUMMYFUNCTION("""COMPUTED_VALUE"""),42614.66666666667)</f>
        <v>42614.66667</v>
      </c>
      <c r="B1558" s="2">
        <f>IFERROR(__xludf.DUMMYFUNCTION("""COMPUTED_VALUE"""),13.93)</f>
        <v>13.93</v>
      </c>
      <c r="C1558" s="2">
        <f>IFERROR(__xludf.DUMMYFUNCTION("""COMPUTED_VALUE"""),14.07)</f>
        <v>14.07</v>
      </c>
      <c r="D1558" s="2">
        <f>IFERROR(__xludf.DUMMYFUNCTION("""COMPUTED_VALUE"""),13.37)</f>
        <v>13.37</v>
      </c>
      <c r="E1558" s="2">
        <f>IFERROR(__xludf.DUMMYFUNCTION("""COMPUTED_VALUE"""),13.38)</f>
        <v>13.38</v>
      </c>
      <c r="F1558" s="2">
        <f>IFERROR(__xludf.DUMMYFUNCTION("""COMPUTED_VALUE"""),7943138.0)</f>
        <v>7943138</v>
      </c>
    </row>
    <row r="1559">
      <c r="A1559" s="3">
        <f>IFERROR(__xludf.DUMMYFUNCTION("""COMPUTED_VALUE"""),42615.66666666667)</f>
        <v>42615.66667</v>
      </c>
      <c r="B1559" s="2">
        <f>IFERROR(__xludf.DUMMYFUNCTION("""COMPUTED_VALUE"""),13.49)</f>
        <v>13.49</v>
      </c>
      <c r="C1559" s="2">
        <f>IFERROR(__xludf.DUMMYFUNCTION("""COMPUTED_VALUE"""),13.55)</f>
        <v>13.55</v>
      </c>
      <c r="D1559" s="2">
        <f>IFERROR(__xludf.DUMMYFUNCTION("""COMPUTED_VALUE"""),13.08)</f>
        <v>13.08</v>
      </c>
      <c r="E1559" s="2">
        <f>IFERROR(__xludf.DUMMYFUNCTION("""COMPUTED_VALUE"""),13.19)</f>
        <v>13.19</v>
      </c>
      <c r="F1559" s="2">
        <f>IFERROR(__xludf.DUMMYFUNCTION("""COMPUTED_VALUE"""),5977413.0)</f>
        <v>5977413</v>
      </c>
    </row>
    <row r="1560">
      <c r="A1560" s="3">
        <f>IFERROR(__xludf.DUMMYFUNCTION("""COMPUTED_VALUE"""),42619.66666666667)</f>
        <v>42619.66667</v>
      </c>
      <c r="B1560" s="2">
        <f>IFERROR(__xludf.DUMMYFUNCTION("""COMPUTED_VALUE"""),13.27)</f>
        <v>13.27</v>
      </c>
      <c r="C1560" s="2">
        <f>IFERROR(__xludf.DUMMYFUNCTION("""COMPUTED_VALUE"""),13.55)</f>
        <v>13.55</v>
      </c>
      <c r="D1560" s="2">
        <f>IFERROR(__xludf.DUMMYFUNCTION("""COMPUTED_VALUE"""),13.27)</f>
        <v>13.27</v>
      </c>
      <c r="E1560" s="2">
        <f>IFERROR(__xludf.DUMMYFUNCTION("""COMPUTED_VALUE"""),13.52)</f>
        <v>13.52</v>
      </c>
      <c r="F1560" s="2">
        <f>IFERROR(__xludf.DUMMYFUNCTION("""COMPUTED_VALUE"""),4390572.0)</f>
        <v>4390572</v>
      </c>
    </row>
    <row r="1561">
      <c r="A1561" s="3">
        <f>IFERROR(__xludf.DUMMYFUNCTION("""COMPUTED_VALUE"""),42620.66666666667)</f>
        <v>42620.66667</v>
      </c>
      <c r="B1561" s="2">
        <f>IFERROR(__xludf.DUMMYFUNCTION("""COMPUTED_VALUE"""),13.7)</f>
        <v>13.7</v>
      </c>
      <c r="C1561" s="2">
        <f>IFERROR(__xludf.DUMMYFUNCTION("""COMPUTED_VALUE"""),13.77)</f>
        <v>13.77</v>
      </c>
      <c r="D1561" s="2">
        <f>IFERROR(__xludf.DUMMYFUNCTION("""COMPUTED_VALUE"""),13.38)</f>
        <v>13.38</v>
      </c>
      <c r="E1561" s="2">
        <f>IFERROR(__xludf.DUMMYFUNCTION("""COMPUTED_VALUE"""),13.45)</f>
        <v>13.45</v>
      </c>
      <c r="F1561" s="2">
        <f>IFERROR(__xludf.DUMMYFUNCTION("""COMPUTED_VALUE"""),3640923.0)</f>
        <v>3640923</v>
      </c>
    </row>
    <row r="1562">
      <c r="A1562" s="3">
        <f>IFERROR(__xludf.DUMMYFUNCTION("""COMPUTED_VALUE"""),42621.66666666667)</f>
        <v>42621.66667</v>
      </c>
      <c r="B1562" s="2">
        <f>IFERROR(__xludf.DUMMYFUNCTION("""COMPUTED_VALUE"""),13.3)</f>
        <v>13.3</v>
      </c>
      <c r="C1562" s="2">
        <f>IFERROR(__xludf.DUMMYFUNCTION("""COMPUTED_VALUE"""),13.33)</f>
        <v>13.33</v>
      </c>
      <c r="D1562" s="2">
        <f>IFERROR(__xludf.DUMMYFUNCTION("""COMPUTED_VALUE"""),13.09)</f>
        <v>13.09</v>
      </c>
      <c r="E1562" s="2">
        <f>IFERROR(__xludf.DUMMYFUNCTION("""COMPUTED_VALUE"""),13.16)</f>
        <v>13.16</v>
      </c>
      <c r="F1562" s="2">
        <f>IFERROR(__xludf.DUMMYFUNCTION("""COMPUTED_VALUE"""),3377946.0)</f>
        <v>3377946</v>
      </c>
    </row>
    <row r="1563">
      <c r="A1563" s="3">
        <f>IFERROR(__xludf.DUMMYFUNCTION("""COMPUTED_VALUE"""),42622.66666666667)</f>
        <v>42622.66667</v>
      </c>
      <c r="B1563" s="2">
        <f>IFERROR(__xludf.DUMMYFUNCTION("""COMPUTED_VALUE"""),13.27)</f>
        <v>13.27</v>
      </c>
      <c r="C1563" s="2">
        <f>IFERROR(__xludf.DUMMYFUNCTION("""COMPUTED_VALUE"""),13.33)</f>
        <v>13.33</v>
      </c>
      <c r="D1563" s="2">
        <f>IFERROR(__xludf.DUMMYFUNCTION("""COMPUTED_VALUE"""),12.91)</f>
        <v>12.91</v>
      </c>
      <c r="E1563" s="2">
        <f>IFERROR(__xludf.DUMMYFUNCTION("""COMPUTED_VALUE"""),12.96)</f>
        <v>12.96</v>
      </c>
      <c r="F1563" s="2">
        <f>IFERROR(__xludf.DUMMYFUNCTION("""COMPUTED_VALUE"""),3756992.0)</f>
        <v>3756992</v>
      </c>
    </row>
    <row r="1564">
      <c r="A1564" s="3">
        <f>IFERROR(__xludf.DUMMYFUNCTION("""COMPUTED_VALUE"""),42625.66666666667)</f>
        <v>42625.66667</v>
      </c>
      <c r="B1564" s="2">
        <f>IFERROR(__xludf.DUMMYFUNCTION("""COMPUTED_VALUE"""),13.0)</f>
        <v>13</v>
      </c>
      <c r="C1564" s="2">
        <f>IFERROR(__xludf.DUMMYFUNCTION("""COMPUTED_VALUE"""),13.42)</f>
        <v>13.42</v>
      </c>
      <c r="D1564" s="2">
        <f>IFERROR(__xludf.DUMMYFUNCTION("""COMPUTED_VALUE"""),12.94)</f>
        <v>12.94</v>
      </c>
      <c r="E1564" s="2">
        <f>IFERROR(__xludf.DUMMYFUNCTION("""COMPUTED_VALUE"""),13.22)</f>
        <v>13.22</v>
      </c>
      <c r="F1564" s="2">
        <f>IFERROR(__xludf.DUMMYFUNCTION("""COMPUTED_VALUE"""),3715161.0)</f>
        <v>3715161</v>
      </c>
    </row>
    <row r="1565">
      <c r="A1565" s="3">
        <f>IFERROR(__xludf.DUMMYFUNCTION("""COMPUTED_VALUE"""),42626.66666666667)</f>
        <v>42626.66667</v>
      </c>
      <c r="B1565" s="2">
        <f>IFERROR(__xludf.DUMMYFUNCTION("""COMPUTED_VALUE"""),13.14)</f>
        <v>13.14</v>
      </c>
      <c r="C1565" s="2">
        <f>IFERROR(__xludf.DUMMYFUNCTION("""COMPUTED_VALUE"""),13.23)</f>
        <v>13.23</v>
      </c>
      <c r="D1565" s="2">
        <f>IFERROR(__xludf.DUMMYFUNCTION("""COMPUTED_VALUE"""),12.9)</f>
        <v>12.9</v>
      </c>
      <c r="E1565" s="2">
        <f>IFERROR(__xludf.DUMMYFUNCTION("""COMPUTED_VALUE"""),13.07)</f>
        <v>13.07</v>
      </c>
      <c r="F1565" s="2">
        <f>IFERROR(__xludf.DUMMYFUNCTION("""COMPUTED_VALUE"""),3589379.0)</f>
        <v>3589379</v>
      </c>
    </row>
    <row r="1566">
      <c r="A1566" s="3">
        <f>IFERROR(__xludf.DUMMYFUNCTION("""COMPUTED_VALUE"""),42627.66666666667)</f>
        <v>42627.66667</v>
      </c>
      <c r="B1566" s="2">
        <f>IFERROR(__xludf.DUMMYFUNCTION("""COMPUTED_VALUE"""),13.05)</f>
        <v>13.05</v>
      </c>
      <c r="C1566" s="2">
        <f>IFERROR(__xludf.DUMMYFUNCTION("""COMPUTED_VALUE"""),13.19)</f>
        <v>13.19</v>
      </c>
      <c r="D1566" s="2">
        <f>IFERROR(__xludf.DUMMYFUNCTION("""COMPUTED_VALUE"""),12.99)</f>
        <v>12.99</v>
      </c>
      <c r="E1566" s="2">
        <f>IFERROR(__xludf.DUMMYFUNCTION("""COMPUTED_VALUE"""),13.09)</f>
        <v>13.09</v>
      </c>
      <c r="F1566" s="2">
        <f>IFERROR(__xludf.DUMMYFUNCTION("""COMPUTED_VALUE"""),2259231.0)</f>
        <v>2259231</v>
      </c>
    </row>
    <row r="1567">
      <c r="A1567" s="3">
        <f>IFERROR(__xludf.DUMMYFUNCTION("""COMPUTED_VALUE"""),42628.66666666667)</f>
        <v>42628.66667</v>
      </c>
      <c r="B1567" s="2">
        <f>IFERROR(__xludf.DUMMYFUNCTION("""COMPUTED_VALUE"""),13.1)</f>
        <v>13.1</v>
      </c>
      <c r="C1567" s="2">
        <f>IFERROR(__xludf.DUMMYFUNCTION("""COMPUTED_VALUE"""),13.5)</f>
        <v>13.5</v>
      </c>
      <c r="D1567" s="2">
        <f>IFERROR(__xludf.DUMMYFUNCTION("""COMPUTED_VALUE"""),13.09)</f>
        <v>13.09</v>
      </c>
      <c r="E1567" s="2">
        <f>IFERROR(__xludf.DUMMYFUNCTION("""COMPUTED_VALUE"""),13.36)</f>
        <v>13.36</v>
      </c>
      <c r="F1567" s="2">
        <f>IFERROR(__xludf.DUMMYFUNCTION("""COMPUTED_VALUE"""),3085115.0)</f>
        <v>3085115</v>
      </c>
    </row>
    <row r="1568">
      <c r="A1568" s="3">
        <f>IFERROR(__xludf.DUMMYFUNCTION("""COMPUTED_VALUE"""),42629.66666666667)</f>
        <v>42629.66667</v>
      </c>
      <c r="B1568" s="2">
        <f>IFERROR(__xludf.DUMMYFUNCTION("""COMPUTED_VALUE"""),13.36)</f>
        <v>13.36</v>
      </c>
      <c r="C1568" s="2">
        <f>IFERROR(__xludf.DUMMYFUNCTION("""COMPUTED_VALUE"""),13.71)</f>
        <v>13.71</v>
      </c>
      <c r="D1568" s="2">
        <f>IFERROR(__xludf.DUMMYFUNCTION("""COMPUTED_VALUE"""),13.27)</f>
        <v>13.27</v>
      </c>
      <c r="E1568" s="2">
        <f>IFERROR(__xludf.DUMMYFUNCTION("""COMPUTED_VALUE"""),13.69)</f>
        <v>13.69</v>
      </c>
      <c r="F1568" s="2">
        <f>IFERROR(__xludf.DUMMYFUNCTION("""COMPUTED_VALUE"""),3107808.0)</f>
        <v>3107808</v>
      </c>
    </row>
    <row r="1569">
      <c r="A1569" s="3">
        <f>IFERROR(__xludf.DUMMYFUNCTION("""COMPUTED_VALUE"""),42632.66666666667)</f>
        <v>42632.66667</v>
      </c>
      <c r="B1569" s="2">
        <f>IFERROR(__xludf.DUMMYFUNCTION("""COMPUTED_VALUE"""),13.8)</f>
        <v>13.8</v>
      </c>
      <c r="C1569" s="2">
        <f>IFERROR(__xludf.DUMMYFUNCTION("""COMPUTED_VALUE"""),13.96)</f>
        <v>13.96</v>
      </c>
      <c r="D1569" s="2">
        <f>IFERROR(__xludf.DUMMYFUNCTION("""COMPUTED_VALUE"""),13.67)</f>
        <v>13.67</v>
      </c>
      <c r="E1569" s="2">
        <f>IFERROR(__xludf.DUMMYFUNCTION("""COMPUTED_VALUE"""),13.76)</f>
        <v>13.76</v>
      </c>
      <c r="F1569" s="2">
        <f>IFERROR(__xludf.DUMMYFUNCTION("""COMPUTED_VALUE"""),2299498.0)</f>
        <v>2299498</v>
      </c>
    </row>
    <row r="1570">
      <c r="A1570" s="3">
        <f>IFERROR(__xludf.DUMMYFUNCTION("""COMPUTED_VALUE"""),42633.66666666667)</f>
        <v>42633.66667</v>
      </c>
      <c r="B1570" s="2">
        <f>IFERROR(__xludf.DUMMYFUNCTION("""COMPUTED_VALUE"""),13.79)</f>
        <v>13.79</v>
      </c>
      <c r="C1570" s="2">
        <f>IFERROR(__xludf.DUMMYFUNCTION("""COMPUTED_VALUE"""),13.85)</f>
        <v>13.85</v>
      </c>
      <c r="D1570" s="2">
        <f>IFERROR(__xludf.DUMMYFUNCTION("""COMPUTED_VALUE"""),13.59)</f>
        <v>13.59</v>
      </c>
      <c r="E1570" s="2">
        <f>IFERROR(__xludf.DUMMYFUNCTION("""COMPUTED_VALUE"""),13.64)</f>
        <v>13.64</v>
      </c>
      <c r="F1570" s="2">
        <f>IFERROR(__xludf.DUMMYFUNCTION("""COMPUTED_VALUE"""),2410488.0)</f>
        <v>2410488</v>
      </c>
    </row>
    <row r="1571">
      <c r="A1571" s="3">
        <f>IFERROR(__xludf.DUMMYFUNCTION("""COMPUTED_VALUE"""),42634.66666666667)</f>
        <v>42634.66667</v>
      </c>
      <c r="B1571" s="2">
        <f>IFERROR(__xludf.DUMMYFUNCTION("""COMPUTED_VALUE"""),13.76)</f>
        <v>13.76</v>
      </c>
      <c r="C1571" s="2">
        <f>IFERROR(__xludf.DUMMYFUNCTION("""COMPUTED_VALUE"""),13.8)</f>
        <v>13.8</v>
      </c>
      <c r="D1571" s="2">
        <f>IFERROR(__xludf.DUMMYFUNCTION("""COMPUTED_VALUE"""),13.44)</f>
        <v>13.44</v>
      </c>
      <c r="E1571" s="2">
        <f>IFERROR(__xludf.DUMMYFUNCTION("""COMPUTED_VALUE"""),13.68)</f>
        <v>13.68</v>
      </c>
      <c r="F1571" s="2">
        <f>IFERROR(__xludf.DUMMYFUNCTION("""COMPUTED_VALUE"""),2633503.0)</f>
        <v>2633503</v>
      </c>
    </row>
    <row r="1572">
      <c r="A1572" s="3">
        <f>IFERROR(__xludf.DUMMYFUNCTION("""COMPUTED_VALUE"""),42635.66666666667)</f>
        <v>42635.66667</v>
      </c>
      <c r="B1572" s="2">
        <f>IFERROR(__xludf.DUMMYFUNCTION("""COMPUTED_VALUE"""),13.76)</f>
        <v>13.76</v>
      </c>
      <c r="C1572" s="2">
        <f>IFERROR(__xludf.DUMMYFUNCTION("""COMPUTED_VALUE"""),13.82)</f>
        <v>13.82</v>
      </c>
      <c r="D1572" s="2">
        <f>IFERROR(__xludf.DUMMYFUNCTION("""COMPUTED_VALUE"""),13.53)</f>
        <v>13.53</v>
      </c>
      <c r="E1572" s="2">
        <f>IFERROR(__xludf.DUMMYFUNCTION("""COMPUTED_VALUE"""),13.76)</f>
        <v>13.76</v>
      </c>
      <c r="F1572" s="2">
        <f>IFERROR(__xludf.DUMMYFUNCTION("""COMPUTED_VALUE"""),2382902.0)</f>
        <v>2382902</v>
      </c>
    </row>
    <row r="1573">
      <c r="A1573" s="3">
        <f>IFERROR(__xludf.DUMMYFUNCTION("""COMPUTED_VALUE"""),42636.66666666667)</f>
        <v>42636.66667</v>
      </c>
      <c r="B1573" s="2">
        <f>IFERROR(__xludf.DUMMYFUNCTION("""COMPUTED_VALUE"""),13.73)</f>
        <v>13.73</v>
      </c>
      <c r="C1573" s="2">
        <f>IFERROR(__xludf.DUMMYFUNCTION("""COMPUTED_VALUE"""),14.01)</f>
        <v>14.01</v>
      </c>
      <c r="D1573" s="2">
        <f>IFERROR(__xludf.DUMMYFUNCTION("""COMPUTED_VALUE"""),13.71)</f>
        <v>13.71</v>
      </c>
      <c r="E1573" s="2">
        <f>IFERROR(__xludf.DUMMYFUNCTION("""COMPUTED_VALUE"""),13.83)</f>
        <v>13.83</v>
      </c>
      <c r="F1573" s="2">
        <f>IFERROR(__xludf.DUMMYFUNCTION("""COMPUTED_VALUE"""),2905229.0)</f>
        <v>2905229</v>
      </c>
    </row>
    <row r="1574">
      <c r="A1574" s="3">
        <f>IFERROR(__xludf.DUMMYFUNCTION("""COMPUTED_VALUE"""),42639.66666666667)</f>
        <v>42639.66667</v>
      </c>
      <c r="B1574" s="2">
        <f>IFERROR(__xludf.DUMMYFUNCTION("""COMPUTED_VALUE"""),13.77)</f>
        <v>13.77</v>
      </c>
      <c r="C1574" s="2">
        <f>IFERROR(__xludf.DUMMYFUNCTION("""COMPUTED_VALUE"""),14.07)</f>
        <v>14.07</v>
      </c>
      <c r="D1574" s="2">
        <f>IFERROR(__xludf.DUMMYFUNCTION("""COMPUTED_VALUE"""),13.77)</f>
        <v>13.77</v>
      </c>
      <c r="E1574" s="2">
        <f>IFERROR(__xludf.DUMMYFUNCTION("""COMPUTED_VALUE"""),13.93)</f>
        <v>13.93</v>
      </c>
      <c r="F1574" s="2">
        <f>IFERROR(__xludf.DUMMYFUNCTION("""COMPUTED_VALUE"""),2394358.0)</f>
        <v>2394358</v>
      </c>
    </row>
    <row r="1575">
      <c r="A1575" s="3">
        <f>IFERROR(__xludf.DUMMYFUNCTION("""COMPUTED_VALUE"""),42640.66666666667)</f>
        <v>42640.66667</v>
      </c>
      <c r="B1575" s="2">
        <f>IFERROR(__xludf.DUMMYFUNCTION("""COMPUTED_VALUE"""),13.98)</f>
        <v>13.98</v>
      </c>
      <c r="C1575" s="2">
        <f>IFERROR(__xludf.DUMMYFUNCTION("""COMPUTED_VALUE"""),14.0)</f>
        <v>14</v>
      </c>
      <c r="D1575" s="2">
        <f>IFERROR(__xludf.DUMMYFUNCTION("""COMPUTED_VALUE"""),13.64)</f>
        <v>13.64</v>
      </c>
      <c r="E1575" s="2">
        <f>IFERROR(__xludf.DUMMYFUNCTION("""COMPUTED_VALUE"""),13.72)</f>
        <v>13.72</v>
      </c>
      <c r="F1575" s="2">
        <f>IFERROR(__xludf.DUMMYFUNCTION("""COMPUTED_VALUE"""),3373180.0)</f>
        <v>3373180</v>
      </c>
    </row>
    <row r="1576">
      <c r="A1576" s="3">
        <f>IFERROR(__xludf.DUMMYFUNCTION("""COMPUTED_VALUE"""),42641.66666666667)</f>
        <v>42641.66667</v>
      </c>
      <c r="B1576" s="2">
        <f>IFERROR(__xludf.DUMMYFUNCTION("""COMPUTED_VALUE"""),13.83)</f>
        <v>13.83</v>
      </c>
      <c r="C1576" s="2">
        <f>IFERROR(__xludf.DUMMYFUNCTION("""COMPUTED_VALUE"""),13.88)</f>
        <v>13.88</v>
      </c>
      <c r="D1576" s="2">
        <f>IFERROR(__xludf.DUMMYFUNCTION("""COMPUTED_VALUE"""),13.68)</f>
        <v>13.68</v>
      </c>
      <c r="E1576" s="2">
        <f>IFERROR(__xludf.DUMMYFUNCTION("""COMPUTED_VALUE"""),13.75)</f>
        <v>13.75</v>
      </c>
      <c r="F1576" s="2">
        <f>IFERROR(__xludf.DUMMYFUNCTION("""COMPUTED_VALUE"""),2088374.0)</f>
        <v>2088374</v>
      </c>
    </row>
    <row r="1577">
      <c r="A1577" s="3">
        <f>IFERROR(__xludf.DUMMYFUNCTION("""COMPUTED_VALUE"""),42642.66666666667)</f>
        <v>42642.66667</v>
      </c>
      <c r="B1577" s="2">
        <f>IFERROR(__xludf.DUMMYFUNCTION("""COMPUTED_VALUE"""),13.71)</f>
        <v>13.71</v>
      </c>
      <c r="C1577" s="2">
        <f>IFERROR(__xludf.DUMMYFUNCTION("""COMPUTED_VALUE"""),13.82)</f>
        <v>13.82</v>
      </c>
      <c r="D1577" s="2">
        <f>IFERROR(__xludf.DUMMYFUNCTION("""COMPUTED_VALUE"""),13.37)</f>
        <v>13.37</v>
      </c>
      <c r="E1577" s="2">
        <f>IFERROR(__xludf.DUMMYFUNCTION("""COMPUTED_VALUE"""),13.38)</f>
        <v>13.38</v>
      </c>
      <c r="F1577" s="2">
        <f>IFERROR(__xludf.DUMMYFUNCTION("""COMPUTED_VALUE"""),2727029.0)</f>
        <v>2727029</v>
      </c>
    </row>
    <row r="1578">
      <c r="A1578" s="3">
        <f>IFERROR(__xludf.DUMMYFUNCTION("""COMPUTED_VALUE"""),42643.66666666667)</f>
        <v>42643.66667</v>
      </c>
      <c r="B1578" s="2">
        <f>IFERROR(__xludf.DUMMYFUNCTION("""COMPUTED_VALUE"""),13.48)</f>
        <v>13.48</v>
      </c>
      <c r="C1578" s="2">
        <f>IFERROR(__xludf.DUMMYFUNCTION("""COMPUTED_VALUE"""),13.67)</f>
        <v>13.67</v>
      </c>
      <c r="D1578" s="2">
        <f>IFERROR(__xludf.DUMMYFUNCTION("""COMPUTED_VALUE"""),13.3)</f>
        <v>13.3</v>
      </c>
      <c r="E1578" s="2">
        <f>IFERROR(__xludf.DUMMYFUNCTION("""COMPUTED_VALUE"""),13.6)</f>
        <v>13.6</v>
      </c>
      <c r="F1578" s="2">
        <f>IFERROR(__xludf.DUMMYFUNCTION("""COMPUTED_VALUE"""),2586273.0)</f>
        <v>2586273</v>
      </c>
    </row>
    <row r="1579">
      <c r="A1579" s="3">
        <f>IFERROR(__xludf.DUMMYFUNCTION("""COMPUTED_VALUE"""),42646.66666666667)</f>
        <v>42646.66667</v>
      </c>
      <c r="B1579" s="2">
        <f>IFERROR(__xludf.DUMMYFUNCTION("""COMPUTED_VALUE"""),14.15)</f>
        <v>14.15</v>
      </c>
      <c r="C1579" s="2">
        <f>IFERROR(__xludf.DUMMYFUNCTION("""COMPUTED_VALUE"""),14.38)</f>
        <v>14.38</v>
      </c>
      <c r="D1579" s="2">
        <f>IFERROR(__xludf.DUMMYFUNCTION("""COMPUTED_VALUE"""),13.88)</f>
        <v>13.88</v>
      </c>
      <c r="E1579" s="2">
        <f>IFERROR(__xludf.DUMMYFUNCTION("""COMPUTED_VALUE"""),14.25)</f>
        <v>14.25</v>
      </c>
      <c r="F1579" s="2">
        <f>IFERROR(__xludf.DUMMYFUNCTION("""COMPUTED_VALUE"""),5999892.0)</f>
        <v>5999892</v>
      </c>
    </row>
    <row r="1580">
      <c r="A1580" s="3">
        <f>IFERROR(__xludf.DUMMYFUNCTION("""COMPUTED_VALUE"""),42647.66666666667)</f>
        <v>42647.66667</v>
      </c>
      <c r="B1580" s="2">
        <f>IFERROR(__xludf.DUMMYFUNCTION("""COMPUTED_VALUE"""),14.21)</f>
        <v>14.21</v>
      </c>
      <c r="C1580" s="2">
        <f>IFERROR(__xludf.DUMMYFUNCTION("""COMPUTED_VALUE"""),14.22)</f>
        <v>14.22</v>
      </c>
      <c r="D1580" s="2">
        <f>IFERROR(__xludf.DUMMYFUNCTION("""COMPUTED_VALUE"""),13.92)</f>
        <v>13.92</v>
      </c>
      <c r="E1580" s="2">
        <f>IFERROR(__xludf.DUMMYFUNCTION("""COMPUTED_VALUE"""),14.09)</f>
        <v>14.09</v>
      </c>
      <c r="F1580" s="2">
        <f>IFERROR(__xludf.DUMMYFUNCTION("""COMPUTED_VALUE"""),3541481.0)</f>
        <v>3541481</v>
      </c>
    </row>
    <row r="1581">
      <c r="A1581" s="3">
        <f>IFERROR(__xludf.DUMMYFUNCTION("""COMPUTED_VALUE"""),42648.66666666667)</f>
        <v>42648.66667</v>
      </c>
      <c r="B1581" s="2">
        <f>IFERROR(__xludf.DUMMYFUNCTION("""COMPUTED_VALUE"""),14.15)</f>
        <v>14.15</v>
      </c>
      <c r="C1581" s="2">
        <f>IFERROR(__xludf.DUMMYFUNCTION("""COMPUTED_VALUE"""),14.21)</f>
        <v>14.21</v>
      </c>
      <c r="D1581" s="2">
        <f>IFERROR(__xludf.DUMMYFUNCTION("""COMPUTED_VALUE"""),13.87)</f>
        <v>13.87</v>
      </c>
      <c r="E1581" s="2">
        <f>IFERROR(__xludf.DUMMYFUNCTION("""COMPUTED_VALUE"""),13.9)</f>
        <v>13.9</v>
      </c>
      <c r="F1581" s="2">
        <f>IFERROR(__xludf.DUMMYFUNCTION("""COMPUTED_VALUE"""),1877534.0)</f>
        <v>1877534</v>
      </c>
    </row>
    <row r="1582">
      <c r="A1582" s="3">
        <f>IFERROR(__xludf.DUMMYFUNCTION("""COMPUTED_VALUE"""),42649.66666666667)</f>
        <v>42649.66667</v>
      </c>
      <c r="B1582" s="2">
        <f>IFERROR(__xludf.DUMMYFUNCTION("""COMPUTED_VALUE"""),13.5)</f>
        <v>13.5</v>
      </c>
      <c r="C1582" s="2">
        <f>IFERROR(__xludf.DUMMYFUNCTION("""COMPUTED_VALUE"""),13.61)</f>
        <v>13.61</v>
      </c>
      <c r="D1582" s="2">
        <f>IFERROR(__xludf.DUMMYFUNCTION("""COMPUTED_VALUE"""),13.35)</f>
        <v>13.35</v>
      </c>
      <c r="E1582" s="2">
        <f>IFERROR(__xludf.DUMMYFUNCTION("""COMPUTED_VALUE"""),13.4)</f>
        <v>13.4</v>
      </c>
      <c r="F1582" s="2">
        <f>IFERROR(__xludf.DUMMYFUNCTION("""COMPUTED_VALUE"""),4703402.0)</f>
        <v>4703402</v>
      </c>
    </row>
    <row r="1583">
      <c r="A1583" s="3">
        <f>IFERROR(__xludf.DUMMYFUNCTION("""COMPUTED_VALUE"""),42650.66666666667)</f>
        <v>42650.66667</v>
      </c>
      <c r="B1583" s="2">
        <f>IFERROR(__xludf.DUMMYFUNCTION("""COMPUTED_VALUE"""),13.4)</f>
        <v>13.4</v>
      </c>
      <c r="C1583" s="2">
        <f>IFERROR(__xludf.DUMMYFUNCTION("""COMPUTED_VALUE"""),13.42)</f>
        <v>13.42</v>
      </c>
      <c r="D1583" s="2">
        <f>IFERROR(__xludf.DUMMYFUNCTION("""COMPUTED_VALUE"""),13.05)</f>
        <v>13.05</v>
      </c>
      <c r="E1583" s="2">
        <f>IFERROR(__xludf.DUMMYFUNCTION("""COMPUTED_VALUE"""),13.11)</f>
        <v>13.11</v>
      </c>
      <c r="F1583" s="2">
        <f>IFERROR(__xludf.DUMMYFUNCTION("""COMPUTED_VALUE"""),3493018.0)</f>
        <v>3493018</v>
      </c>
    </row>
    <row r="1584">
      <c r="A1584" s="3">
        <f>IFERROR(__xludf.DUMMYFUNCTION("""COMPUTED_VALUE"""),42653.66666666667)</f>
        <v>42653.66667</v>
      </c>
      <c r="B1584" s="2">
        <f>IFERROR(__xludf.DUMMYFUNCTION("""COMPUTED_VALUE"""),13.42)</f>
        <v>13.42</v>
      </c>
      <c r="C1584" s="2">
        <f>IFERROR(__xludf.DUMMYFUNCTION("""COMPUTED_VALUE"""),13.61)</f>
        <v>13.61</v>
      </c>
      <c r="D1584" s="2">
        <f>IFERROR(__xludf.DUMMYFUNCTION("""COMPUTED_VALUE"""),13.31)</f>
        <v>13.31</v>
      </c>
      <c r="E1584" s="2">
        <f>IFERROR(__xludf.DUMMYFUNCTION("""COMPUTED_VALUE"""),13.4)</f>
        <v>13.4</v>
      </c>
      <c r="F1584" s="2">
        <f>IFERROR(__xludf.DUMMYFUNCTION("""COMPUTED_VALUE"""),3316297.0)</f>
        <v>3316297</v>
      </c>
    </row>
    <row r="1585">
      <c r="A1585" s="3">
        <f>IFERROR(__xludf.DUMMYFUNCTION("""COMPUTED_VALUE"""),42654.66666666667)</f>
        <v>42654.66667</v>
      </c>
      <c r="B1585" s="2">
        <f>IFERROR(__xludf.DUMMYFUNCTION("""COMPUTED_VALUE"""),13.46)</f>
        <v>13.46</v>
      </c>
      <c r="C1585" s="2">
        <f>IFERROR(__xludf.DUMMYFUNCTION("""COMPUTED_VALUE"""),13.48)</f>
        <v>13.48</v>
      </c>
      <c r="D1585" s="2">
        <f>IFERROR(__xludf.DUMMYFUNCTION("""COMPUTED_VALUE"""),13.22)</f>
        <v>13.22</v>
      </c>
      <c r="E1585" s="2">
        <f>IFERROR(__xludf.DUMMYFUNCTION("""COMPUTED_VALUE"""),13.34)</f>
        <v>13.34</v>
      </c>
      <c r="F1585" s="2">
        <f>IFERROR(__xludf.DUMMYFUNCTION("""COMPUTED_VALUE"""),2328422.0)</f>
        <v>2328422</v>
      </c>
    </row>
    <row r="1586">
      <c r="A1586" s="3">
        <f>IFERROR(__xludf.DUMMYFUNCTION("""COMPUTED_VALUE"""),42655.66666666667)</f>
        <v>42655.66667</v>
      </c>
      <c r="B1586" s="2">
        <f>IFERROR(__xludf.DUMMYFUNCTION("""COMPUTED_VALUE"""),13.4)</f>
        <v>13.4</v>
      </c>
      <c r="C1586" s="2">
        <f>IFERROR(__xludf.DUMMYFUNCTION("""COMPUTED_VALUE"""),13.59)</f>
        <v>13.59</v>
      </c>
      <c r="D1586" s="2">
        <f>IFERROR(__xludf.DUMMYFUNCTION("""COMPUTED_VALUE"""),13.36)</f>
        <v>13.36</v>
      </c>
      <c r="E1586" s="2">
        <f>IFERROR(__xludf.DUMMYFUNCTION("""COMPUTED_VALUE"""),13.43)</f>
        <v>13.43</v>
      </c>
      <c r="F1586" s="2">
        <f>IFERROR(__xludf.DUMMYFUNCTION("""COMPUTED_VALUE"""),1970689.0)</f>
        <v>1970689</v>
      </c>
    </row>
    <row r="1587">
      <c r="A1587" s="3">
        <f>IFERROR(__xludf.DUMMYFUNCTION("""COMPUTED_VALUE"""),42656.66666666667)</f>
        <v>42656.66667</v>
      </c>
      <c r="B1587" s="2">
        <f>IFERROR(__xludf.DUMMYFUNCTION("""COMPUTED_VALUE"""),13.37)</f>
        <v>13.37</v>
      </c>
      <c r="C1587" s="2">
        <f>IFERROR(__xludf.DUMMYFUNCTION("""COMPUTED_VALUE"""),13.39)</f>
        <v>13.39</v>
      </c>
      <c r="D1587" s="2">
        <f>IFERROR(__xludf.DUMMYFUNCTION("""COMPUTED_VALUE"""),13.14)</f>
        <v>13.14</v>
      </c>
      <c r="E1587" s="2">
        <f>IFERROR(__xludf.DUMMYFUNCTION("""COMPUTED_VALUE"""),13.35)</f>
        <v>13.35</v>
      </c>
      <c r="F1587" s="2">
        <f>IFERROR(__xludf.DUMMYFUNCTION("""COMPUTED_VALUE"""),2495413.0)</f>
        <v>2495413</v>
      </c>
    </row>
    <row r="1588">
      <c r="A1588" s="3">
        <f>IFERROR(__xludf.DUMMYFUNCTION("""COMPUTED_VALUE"""),42657.66666666667)</f>
        <v>42657.66667</v>
      </c>
      <c r="B1588" s="2">
        <f>IFERROR(__xludf.DUMMYFUNCTION("""COMPUTED_VALUE"""),13.38)</f>
        <v>13.38</v>
      </c>
      <c r="C1588" s="2">
        <f>IFERROR(__xludf.DUMMYFUNCTION("""COMPUTED_VALUE"""),13.43)</f>
        <v>13.43</v>
      </c>
      <c r="D1588" s="2">
        <f>IFERROR(__xludf.DUMMYFUNCTION("""COMPUTED_VALUE"""),13.09)</f>
        <v>13.09</v>
      </c>
      <c r="E1588" s="2">
        <f>IFERROR(__xludf.DUMMYFUNCTION("""COMPUTED_VALUE"""),13.1)</f>
        <v>13.1</v>
      </c>
      <c r="F1588" s="2">
        <f>IFERROR(__xludf.DUMMYFUNCTION("""COMPUTED_VALUE"""),4269850.0)</f>
        <v>4269850</v>
      </c>
    </row>
    <row r="1589">
      <c r="A1589" s="3">
        <f>IFERROR(__xludf.DUMMYFUNCTION("""COMPUTED_VALUE"""),42660.66666666667)</f>
        <v>42660.66667</v>
      </c>
      <c r="B1589" s="2">
        <f>IFERROR(__xludf.DUMMYFUNCTION("""COMPUTED_VALUE"""),13.14)</f>
        <v>13.14</v>
      </c>
      <c r="C1589" s="2">
        <f>IFERROR(__xludf.DUMMYFUNCTION("""COMPUTED_VALUE"""),13.23)</f>
        <v>13.23</v>
      </c>
      <c r="D1589" s="2">
        <f>IFERROR(__xludf.DUMMYFUNCTION("""COMPUTED_VALUE"""),12.8)</f>
        <v>12.8</v>
      </c>
      <c r="E1589" s="2">
        <f>IFERROR(__xludf.DUMMYFUNCTION("""COMPUTED_VALUE"""),12.93)</f>
        <v>12.93</v>
      </c>
      <c r="F1589" s="2">
        <f>IFERROR(__xludf.DUMMYFUNCTION("""COMPUTED_VALUE"""),4554080.0)</f>
        <v>4554080</v>
      </c>
    </row>
    <row r="1590">
      <c r="A1590" s="3">
        <f>IFERROR(__xludf.DUMMYFUNCTION("""COMPUTED_VALUE"""),42661.66666666667)</f>
        <v>42661.66667</v>
      </c>
      <c r="B1590" s="2">
        <f>IFERROR(__xludf.DUMMYFUNCTION("""COMPUTED_VALUE"""),13.07)</f>
        <v>13.07</v>
      </c>
      <c r="C1590" s="2">
        <f>IFERROR(__xludf.DUMMYFUNCTION("""COMPUTED_VALUE"""),13.3)</f>
        <v>13.3</v>
      </c>
      <c r="D1590" s="2">
        <f>IFERROR(__xludf.DUMMYFUNCTION("""COMPUTED_VALUE"""),12.88)</f>
        <v>12.88</v>
      </c>
      <c r="E1590" s="2">
        <f>IFERROR(__xludf.DUMMYFUNCTION("""COMPUTED_VALUE"""),13.27)</f>
        <v>13.27</v>
      </c>
      <c r="F1590" s="2">
        <f>IFERROR(__xludf.DUMMYFUNCTION("""COMPUTED_VALUE"""),5680475.0)</f>
        <v>5680475</v>
      </c>
    </row>
    <row r="1591">
      <c r="A1591" s="3">
        <f>IFERROR(__xludf.DUMMYFUNCTION("""COMPUTED_VALUE"""),42662.66666666667)</f>
        <v>42662.66667</v>
      </c>
      <c r="B1591" s="2">
        <f>IFERROR(__xludf.DUMMYFUNCTION("""COMPUTED_VALUE"""),13.32)</f>
        <v>13.32</v>
      </c>
      <c r="C1591" s="2">
        <f>IFERROR(__xludf.DUMMYFUNCTION("""COMPUTED_VALUE"""),13.78)</f>
        <v>13.78</v>
      </c>
      <c r="D1591" s="2">
        <f>IFERROR(__xludf.DUMMYFUNCTION("""COMPUTED_VALUE"""),13.2)</f>
        <v>13.2</v>
      </c>
      <c r="E1591" s="2">
        <f>IFERROR(__xludf.DUMMYFUNCTION("""COMPUTED_VALUE"""),13.57)</f>
        <v>13.57</v>
      </c>
      <c r="F1591" s="2">
        <f>IFERROR(__xludf.DUMMYFUNCTION("""COMPUTED_VALUE"""),6991183.0)</f>
        <v>6991183</v>
      </c>
    </row>
    <row r="1592">
      <c r="A1592" s="3">
        <f>IFERROR(__xludf.DUMMYFUNCTION("""COMPUTED_VALUE"""),42663.66666666667)</f>
        <v>42663.66667</v>
      </c>
      <c r="B1592" s="2">
        <f>IFERROR(__xludf.DUMMYFUNCTION("""COMPUTED_VALUE"""),13.47)</f>
        <v>13.47</v>
      </c>
      <c r="C1592" s="2">
        <f>IFERROR(__xludf.DUMMYFUNCTION("""COMPUTED_VALUE"""),13.53)</f>
        <v>13.53</v>
      </c>
      <c r="D1592" s="2">
        <f>IFERROR(__xludf.DUMMYFUNCTION("""COMPUTED_VALUE"""),13.14)</f>
        <v>13.14</v>
      </c>
      <c r="E1592" s="2">
        <f>IFERROR(__xludf.DUMMYFUNCTION("""COMPUTED_VALUE"""),13.27)</f>
        <v>13.27</v>
      </c>
      <c r="F1592" s="2">
        <f>IFERROR(__xludf.DUMMYFUNCTION("""COMPUTED_VALUE"""),5072877.0)</f>
        <v>5072877</v>
      </c>
    </row>
    <row r="1593">
      <c r="A1593" s="3">
        <f>IFERROR(__xludf.DUMMYFUNCTION("""COMPUTED_VALUE"""),42664.66666666667)</f>
        <v>42664.66667</v>
      </c>
      <c r="B1593" s="2">
        <f>IFERROR(__xludf.DUMMYFUNCTION("""COMPUTED_VALUE"""),13.24)</f>
        <v>13.24</v>
      </c>
      <c r="C1593" s="2">
        <f>IFERROR(__xludf.DUMMYFUNCTION("""COMPUTED_VALUE"""),13.44)</f>
        <v>13.44</v>
      </c>
      <c r="D1593" s="2">
        <f>IFERROR(__xludf.DUMMYFUNCTION("""COMPUTED_VALUE"""),13.16)</f>
        <v>13.16</v>
      </c>
      <c r="E1593" s="2">
        <f>IFERROR(__xludf.DUMMYFUNCTION("""COMPUTED_VALUE"""),13.34)</f>
        <v>13.34</v>
      </c>
      <c r="F1593" s="2">
        <f>IFERROR(__xludf.DUMMYFUNCTION("""COMPUTED_VALUE"""),2943402.0)</f>
        <v>2943402</v>
      </c>
    </row>
    <row r="1594">
      <c r="A1594" s="3">
        <f>IFERROR(__xludf.DUMMYFUNCTION("""COMPUTED_VALUE"""),42667.66666666667)</f>
        <v>42667.66667</v>
      </c>
      <c r="B1594" s="2">
        <f>IFERROR(__xludf.DUMMYFUNCTION("""COMPUTED_VALUE"""),13.4)</f>
        <v>13.4</v>
      </c>
      <c r="C1594" s="2">
        <f>IFERROR(__xludf.DUMMYFUNCTION("""COMPUTED_VALUE"""),13.6)</f>
        <v>13.6</v>
      </c>
      <c r="D1594" s="2">
        <f>IFERROR(__xludf.DUMMYFUNCTION("""COMPUTED_VALUE"""),13.35)</f>
        <v>13.35</v>
      </c>
      <c r="E1594" s="2">
        <f>IFERROR(__xludf.DUMMYFUNCTION("""COMPUTED_VALUE"""),13.52)</f>
        <v>13.52</v>
      </c>
      <c r="F1594" s="2">
        <f>IFERROR(__xludf.DUMMYFUNCTION("""COMPUTED_VALUE"""),2751562.0)</f>
        <v>2751562</v>
      </c>
    </row>
    <row r="1595">
      <c r="A1595" s="3">
        <f>IFERROR(__xludf.DUMMYFUNCTION("""COMPUTED_VALUE"""),42668.66666666667)</f>
        <v>42668.66667</v>
      </c>
      <c r="B1595" s="2">
        <f>IFERROR(__xludf.DUMMYFUNCTION("""COMPUTED_VALUE"""),13.53)</f>
        <v>13.53</v>
      </c>
      <c r="C1595" s="2">
        <f>IFERROR(__xludf.DUMMYFUNCTION("""COMPUTED_VALUE"""),13.65)</f>
        <v>13.65</v>
      </c>
      <c r="D1595" s="2">
        <f>IFERROR(__xludf.DUMMYFUNCTION("""COMPUTED_VALUE"""),13.41)</f>
        <v>13.41</v>
      </c>
      <c r="E1595" s="2">
        <f>IFERROR(__xludf.DUMMYFUNCTION("""COMPUTED_VALUE"""),13.49)</f>
        <v>13.49</v>
      </c>
      <c r="F1595" s="2">
        <f>IFERROR(__xludf.DUMMYFUNCTION("""COMPUTED_VALUE"""),2445014.0)</f>
        <v>2445014</v>
      </c>
    </row>
    <row r="1596">
      <c r="A1596" s="3">
        <f>IFERROR(__xludf.DUMMYFUNCTION("""COMPUTED_VALUE"""),42669.66666666667)</f>
        <v>42669.66667</v>
      </c>
      <c r="B1596" s="2">
        <f>IFERROR(__xludf.DUMMYFUNCTION("""COMPUTED_VALUE"""),13.4)</f>
        <v>13.4</v>
      </c>
      <c r="C1596" s="2">
        <f>IFERROR(__xludf.DUMMYFUNCTION("""COMPUTED_VALUE"""),13.55)</f>
        <v>13.55</v>
      </c>
      <c r="D1596" s="2">
        <f>IFERROR(__xludf.DUMMYFUNCTION("""COMPUTED_VALUE"""),13.34)</f>
        <v>13.34</v>
      </c>
      <c r="E1596" s="2">
        <f>IFERROR(__xludf.DUMMYFUNCTION("""COMPUTED_VALUE"""),13.48)</f>
        <v>13.48</v>
      </c>
      <c r="F1596" s="2">
        <f>IFERROR(__xludf.DUMMYFUNCTION("""COMPUTED_VALUE"""),5632841.0)</f>
        <v>5632841</v>
      </c>
    </row>
    <row r="1597">
      <c r="A1597" s="3">
        <f>IFERROR(__xludf.DUMMYFUNCTION("""COMPUTED_VALUE"""),42670.66666666667)</f>
        <v>42670.66667</v>
      </c>
      <c r="B1597" s="2">
        <f>IFERROR(__xludf.DUMMYFUNCTION("""COMPUTED_VALUE"""),14.09)</f>
        <v>14.09</v>
      </c>
      <c r="C1597" s="2">
        <f>IFERROR(__xludf.DUMMYFUNCTION("""COMPUTED_VALUE"""),14.25)</f>
        <v>14.25</v>
      </c>
      <c r="D1597" s="2">
        <f>IFERROR(__xludf.DUMMYFUNCTION("""COMPUTED_VALUE"""),13.44)</f>
        <v>13.44</v>
      </c>
      <c r="E1597" s="2">
        <f>IFERROR(__xludf.DUMMYFUNCTION("""COMPUTED_VALUE"""),13.6)</f>
        <v>13.6</v>
      </c>
      <c r="F1597" s="2">
        <f>IFERROR(__xludf.DUMMYFUNCTION("""COMPUTED_VALUE"""),1.3093744E7)</f>
        <v>13093744</v>
      </c>
    </row>
    <row r="1598">
      <c r="A1598" s="3">
        <f>IFERROR(__xludf.DUMMYFUNCTION("""COMPUTED_VALUE"""),42671.66666666667)</f>
        <v>42671.66667</v>
      </c>
      <c r="B1598" s="2">
        <f>IFERROR(__xludf.DUMMYFUNCTION("""COMPUTED_VALUE"""),13.6)</f>
        <v>13.6</v>
      </c>
      <c r="C1598" s="2">
        <f>IFERROR(__xludf.DUMMYFUNCTION("""COMPUTED_VALUE"""),13.69)</f>
        <v>13.69</v>
      </c>
      <c r="D1598" s="2">
        <f>IFERROR(__xludf.DUMMYFUNCTION("""COMPUTED_VALUE"""),13.32)</f>
        <v>13.32</v>
      </c>
      <c r="E1598" s="2">
        <f>IFERROR(__xludf.DUMMYFUNCTION("""COMPUTED_VALUE"""),13.33)</f>
        <v>13.33</v>
      </c>
      <c r="F1598" s="2">
        <f>IFERROR(__xludf.DUMMYFUNCTION("""COMPUTED_VALUE"""),4280141.0)</f>
        <v>4280141</v>
      </c>
    </row>
    <row r="1599">
      <c r="A1599" s="3">
        <f>IFERROR(__xludf.DUMMYFUNCTION("""COMPUTED_VALUE"""),42674.66666666667)</f>
        <v>42674.66667</v>
      </c>
      <c r="B1599" s="2">
        <f>IFERROR(__xludf.DUMMYFUNCTION("""COMPUTED_VALUE"""),13.5)</f>
        <v>13.5</v>
      </c>
      <c r="C1599" s="2">
        <f>IFERROR(__xludf.DUMMYFUNCTION("""COMPUTED_VALUE"""),13.5)</f>
        <v>13.5</v>
      </c>
      <c r="D1599" s="2">
        <f>IFERROR(__xludf.DUMMYFUNCTION("""COMPUTED_VALUE"""),13.05)</f>
        <v>13.05</v>
      </c>
      <c r="E1599" s="2">
        <f>IFERROR(__xludf.DUMMYFUNCTION("""COMPUTED_VALUE"""),13.18)</f>
        <v>13.18</v>
      </c>
      <c r="F1599" s="2">
        <f>IFERROR(__xludf.DUMMYFUNCTION("""COMPUTED_VALUE"""),4692273.0)</f>
        <v>4692273</v>
      </c>
    </row>
    <row r="1600">
      <c r="A1600" s="3">
        <f>IFERROR(__xludf.DUMMYFUNCTION("""COMPUTED_VALUE"""),42675.66666666667)</f>
        <v>42675.66667</v>
      </c>
      <c r="B1600" s="2">
        <f>IFERROR(__xludf.DUMMYFUNCTION("""COMPUTED_VALUE"""),13.2)</f>
        <v>13.2</v>
      </c>
      <c r="C1600" s="2">
        <f>IFERROR(__xludf.DUMMYFUNCTION("""COMPUTED_VALUE"""),13.23)</f>
        <v>13.23</v>
      </c>
      <c r="D1600" s="2">
        <f>IFERROR(__xludf.DUMMYFUNCTION("""COMPUTED_VALUE"""),12.54)</f>
        <v>12.54</v>
      </c>
      <c r="E1600" s="2">
        <f>IFERROR(__xludf.DUMMYFUNCTION("""COMPUTED_VALUE"""),12.72)</f>
        <v>12.72</v>
      </c>
      <c r="F1600" s="2">
        <f>IFERROR(__xludf.DUMMYFUNCTION("""COMPUTED_VALUE"""),7060036.0)</f>
        <v>7060036</v>
      </c>
    </row>
    <row r="1601">
      <c r="A1601" s="3">
        <f>IFERROR(__xludf.DUMMYFUNCTION("""COMPUTED_VALUE"""),42676.66666666667)</f>
        <v>42676.66667</v>
      </c>
      <c r="B1601" s="2">
        <f>IFERROR(__xludf.DUMMYFUNCTION("""COMPUTED_VALUE"""),12.67)</f>
        <v>12.67</v>
      </c>
      <c r="C1601" s="2">
        <f>IFERROR(__xludf.DUMMYFUNCTION("""COMPUTED_VALUE"""),12.85)</f>
        <v>12.85</v>
      </c>
      <c r="D1601" s="2">
        <f>IFERROR(__xludf.DUMMYFUNCTION("""COMPUTED_VALUE"""),12.5)</f>
        <v>12.5</v>
      </c>
      <c r="E1601" s="2">
        <f>IFERROR(__xludf.DUMMYFUNCTION("""COMPUTED_VALUE"""),12.53)</f>
        <v>12.53</v>
      </c>
      <c r="F1601" s="2">
        <f>IFERROR(__xludf.DUMMYFUNCTION("""COMPUTED_VALUE"""),4253382.0)</f>
        <v>4253382</v>
      </c>
    </row>
    <row r="1602">
      <c r="A1602" s="3">
        <f>IFERROR(__xludf.DUMMYFUNCTION("""COMPUTED_VALUE"""),42677.66666666667)</f>
        <v>42677.66667</v>
      </c>
      <c r="B1602" s="2">
        <f>IFERROR(__xludf.DUMMYFUNCTION("""COMPUTED_VALUE"""),12.6)</f>
        <v>12.6</v>
      </c>
      <c r="C1602" s="2">
        <f>IFERROR(__xludf.DUMMYFUNCTION("""COMPUTED_VALUE"""),12.76)</f>
        <v>12.76</v>
      </c>
      <c r="D1602" s="2">
        <f>IFERROR(__xludf.DUMMYFUNCTION("""COMPUTED_VALUE"""),12.47)</f>
        <v>12.47</v>
      </c>
      <c r="E1602" s="2">
        <f>IFERROR(__xludf.DUMMYFUNCTION("""COMPUTED_VALUE"""),12.49)</f>
        <v>12.49</v>
      </c>
      <c r="F1602" s="2">
        <f>IFERROR(__xludf.DUMMYFUNCTION("""COMPUTED_VALUE"""),2653023.0)</f>
        <v>2653023</v>
      </c>
    </row>
    <row r="1603">
      <c r="A1603" s="3">
        <f>IFERROR(__xludf.DUMMYFUNCTION("""COMPUTED_VALUE"""),42678.66666666667)</f>
        <v>42678.66667</v>
      </c>
      <c r="B1603" s="2">
        <f>IFERROR(__xludf.DUMMYFUNCTION("""COMPUTED_VALUE"""),12.6)</f>
        <v>12.6</v>
      </c>
      <c r="C1603" s="2">
        <f>IFERROR(__xludf.DUMMYFUNCTION("""COMPUTED_VALUE"""),12.9)</f>
        <v>12.9</v>
      </c>
      <c r="D1603" s="2">
        <f>IFERROR(__xludf.DUMMYFUNCTION("""COMPUTED_VALUE"""),12.4)</f>
        <v>12.4</v>
      </c>
      <c r="E1603" s="2">
        <f>IFERROR(__xludf.DUMMYFUNCTION("""COMPUTED_VALUE"""),12.7)</f>
        <v>12.7</v>
      </c>
      <c r="F1603" s="2">
        <f>IFERROR(__xludf.DUMMYFUNCTION("""COMPUTED_VALUE"""),5146043.0)</f>
        <v>5146043</v>
      </c>
    </row>
    <row r="1604">
      <c r="A1604" s="3">
        <f>IFERROR(__xludf.DUMMYFUNCTION("""COMPUTED_VALUE"""),42681.66666666667)</f>
        <v>42681.66667</v>
      </c>
      <c r="B1604" s="2">
        <f>IFERROR(__xludf.DUMMYFUNCTION("""COMPUTED_VALUE"""),12.91)</f>
        <v>12.91</v>
      </c>
      <c r="C1604" s="2">
        <f>IFERROR(__xludf.DUMMYFUNCTION("""COMPUTED_VALUE"""),12.95)</f>
        <v>12.95</v>
      </c>
      <c r="D1604" s="2">
        <f>IFERROR(__xludf.DUMMYFUNCTION("""COMPUTED_VALUE"""),12.67)</f>
        <v>12.67</v>
      </c>
      <c r="E1604" s="2">
        <f>IFERROR(__xludf.DUMMYFUNCTION("""COMPUTED_VALUE"""),12.88)</f>
        <v>12.88</v>
      </c>
      <c r="F1604" s="2">
        <f>IFERROR(__xludf.DUMMYFUNCTION("""COMPUTED_VALUE"""),3870112.0)</f>
        <v>3870112</v>
      </c>
    </row>
    <row r="1605">
      <c r="A1605" s="3">
        <f>IFERROR(__xludf.DUMMYFUNCTION("""COMPUTED_VALUE"""),42682.66666666667)</f>
        <v>42682.66667</v>
      </c>
      <c r="B1605" s="2">
        <f>IFERROR(__xludf.DUMMYFUNCTION("""COMPUTED_VALUE"""),12.92)</f>
        <v>12.92</v>
      </c>
      <c r="C1605" s="2">
        <f>IFERROR(__xludf.DUMMYFUNCTION("""COMPUTED_VALUE"""),13.17)</f>
        <v>13.17</v>
      </c>
      <c r="D1605" s="2">
        <f>IFERROR(__xludf.DUMMYFUNCTION("""COMPUTED_VALUE"""),12.75)</f>
        <v>12.75</v>
      </c>
      <c r="E1605" s="2">
        <f>IFERROR(__xludf.DUMMYFUNCTION("""COMPUTED_VALUE"""),13.0)</f>
        <v>13</v>
      </c>
      <c r="F1605" s="2">
        <f>IFERROR(__xludf.DUMMYFUNCTION("""COMPUTED_VALUE"""),3267580.0)</f>
        <v>3267580</v>
      </c>
    </row>
    <row r="1606">
      <c r="A1606" s="3">
        <f>IFERROR(__xludf.DUMMYFUNCTION("""COMPUTED_VALUE"""),42683.66666666667)</f>
        <v>42683.66667</v>
      </c>
      <c r="B1606" s="2">
        <f>IFERROR(__xludf.DUMMYFUNCTION("""COMPUTED_VALUE"""),12.46)</f>
        <v>12.46</v>
      </c>
      <c r="C1606" s="2">
        <f>IFERROR(__xludf.DUMMYFUNCTION("""COMPUTED_VALUE"""),12.8)</f>
        <v>12.8</v>
      </c>
      <c r="D1606" s="2">
        <f>IFERROR(__xludf.DUMMYFUNCTION("""COMPUTED_VALUE"""),12.26)</f>
        <v>12.26</v>
      </c>
      <c r="E1606" s="2">
        <f>IFERROR(__xludf.DUMMYFUNCTION("""COMPUTED_VALUE"""),12.67)</f>
        <v>12.67</v>
      </c>
      <c r="F1606" s="2">
        <f>IFERROR(__xludf.DUMMYFUNCTION("""COMPUTED_VALUE"""),8173065.0)</f>
        <v>8173065</v>
      </c>
    </row>
    <row r="1607">
      <c r="A1607" s="3">
        <f>IFERROR(__xludf.DUMMYFUNCTION("""COMPUTED_VALUE"""),42684.66666666667)</f>
        <v>42684.66667</v>
      </c>
      <c r="B1607" s="2">
        <f>IFERROR(__xludf.DUMMYFUNCTION("""COMPUTED_VALUE"""),12.74)</f>
        <v>12.74</v>
      </c>
      <c r="C1607" s="2">
        <f>IFERROR(__xludf.DUMMYFUNCTION("""COMPUTED_VALUE"""),12.77)</f>
        <v>12.77</v>
      </c>
      <c r="D1607" s="2">
        <f>IFERROR(__xludf.DUMMYFUNCTION("""COMPUTED_VALUE"""),12.03)</f>
        <v>12.03</v>
      </c>
      <c r="E1607" s="2">
        <f>IFERROR(__xludf.DUMMYFUNCTION("""COMPUTED_VALUE"""),12.36)</f>
        <v>12.36</v>
      </c>
      <c r="F1607" s="2">
        <f>IFERROR(__xludf.DUMMYFUNCTION("""COMPUTED_VALUE"""),6750341.0)</f>
        <v>6750341</v>
      </c>
    </row>
    <row r="1608">
      <c r="A1608" s="3">
        <f>IFERROR(__xludf.DUMMYFUNCTION("""COMPUTED_VALUE"""),42685.66666666667)</f>
        <v>42685.66667</v>
      </c>
      <c r="B1608" s="2">
        <f>IFERROR(__xludf.DUMMYFUNCTION("""COMPUTED_VALUE"""),12.28)</f>
        <v>12.28</v>
      </c>
      <c r="C1608" s="2">
        <f>IFERROR(__xludf.DUMMYFUNCTION("""COMPUTED_VALUE"""),12.59)</f>
        <v>12.59</v>
      </c>
      <c r="D1608" s="2">
        <f>IFERROR(__xludf.DUMMYFUNCTION("""COMPUTED_VALUE"""),12.2)</f>
        <v>12.2</v>
      </c>
      <c r="E1608" s="2">
        <f>IFERROR(__xludf.DUMMYFUNCTION("""COMPUTED_VALUE"""),12.57)</f>
        <v>12.57</v>
      </c>
      <c r="F1608" s="2">
        <f>IFERROR(__xludf.DUMMYFUNCTION("""COMPUTED_VALUE"""),3988504.0)</f>
        <v>3988504</v>
      </c>
    </row>
    <row r="1609">
      <c r="A1609" s="3">
        <f>IFERROR(__xludf.DUMMYFUNCTION("""COMPUTED_VALUE"""),42688.66666666667)</f>
        <v>42688.66667</v>
      </c>
      <c r="B1609" s="2">
        <f>IFERROR(__xludf.DUMMYFUNCTION("""COMPUTED_VALUE"""),12.53)</f>
        <v>12.53</v>
      </c>
      <c r="C1609" s="2">
        <f>IFERROR(__xludf.DUMMYFUNCTION("""COMPUTED_VALUE"""),12.55)</f>
        <v>12.55</v>
      </c>
      <c r="D1609" s="2">
        <f>IFERROR(__xludf.DUMMYFUNCTION("""COMPUTED_VALUE"""),11.88)</f>
        <v>11.88</v>
      </c>
      <c r="E1609" s="2">
        <f>IFERROR(__xludf.DUMMYFUNCTION("""COMPUTED_VALUE"""),12.1)</f>
        <v>12.1</v>
      </c>
      <c r="F1609" s="2">
        <f>IFERROR(__xludf.DUMMYFUNCTION("""COMPUTED_VALUE"""),6552205.0)</f>
        <v>6552205</v>
      </c>
    </row>
    <row r="1610">
      <c r="A1610" s="3">
        <f>IFERROR(__xludf.DUMMYFUNCTION("""COMPUTED_VALUE"""),42689.66666666667)</f>
        <v>42689.66667</v>
      </c>
      <c r="B1610" s="2">
        <f>IFERROR(__xludf.DUMMYFUNCTION("""COMPUTED_VALUE"""),12.19)</f>
        <v>12.19</v>
      </c>
      <c r="C1610" s="2">
        <f>IFERROR(__xludf.DUMMYFUNCTION("""COMPUTED_VALUE"""),12.43)</f>
        <v>12.43</v>
      </c>
      <c r="D1610" s="2">
        <f>IFERROR(__xludf.DUMMYFUNCTION("""COMPUTED_VALUE"""),12.14)</f>
        <v>12.14</v>
      </c>
      <c r="E1610" s="2">
        <f>IFERROR(__xludf.DUMMYFUNCTION("""COMPUTED_VALUE"""),12.25)</f>
        <v>12.25</v>
      </c>
      <c r="F1610" s="2">
        <f>IFERROR(__xludf.DUMMYFUNCTION("""COMPUTED_VALUE"""),3902018.0)</f>
        <v>3902018</v>
      </c>
    </row>
    <row r="1611">
      <c r="A1611" s="3">
        <f>IFERROR(__xludf.DUMMYFUNCTION("""COMPUTED_VALUE"""),42690.66666666667)</f>
        <v>42690.66667</v>
      </c>
      <c r="B1611" s="2">
        <f>IFERROR(__xludf.DUMMYFUNCTION("""COMPUTED_VALUE"""),12.18)</f>
        <v>12.18</v>
      </c>
      <c r="C1611" s="2">
        <f>IFERROR(__xludf.DUMMYFUNCTION("""COMPUTED_VALUE"""),12.32)</f>
        <v>12.32</v>
      </c>
      <c r="D1611" s="2">
        <f>IFERROR(__xludf.DUMMYFUNCTION("""COMPUTED_VALUE"""),12.08)</f>
        <v>12.08</v>
      </c>
      <c r="E1611" s="2">
        <f>IFERROR(__xludf.DUMMYFUNCTION("""COMPUTED_VALUE"""),12.26)</f>
        <v>12.26</v>
      </c>
      <c r="F1611" s="2">
        <f>IFERROR(__xludf.DUMMYFUNCTION("""COMPUTED_VALUE"""),3434437.0)</f>
        <v>3434437</v>
      </c>
    </row>
    <row r="1612">
      <c r="A1612" s="3">
        <f>IFERROR(__xludf.DUMMYFUNCTION("""COMPUTED_VALUE"""),42691.66666666667)</f>
        <v>42691.66667</v>
      </c>
      <c r="B1612" s="2">
        <f>IFERROR(__xludf.DUMMYFUNCTION("""COMPUTED_VALUE"""),12.23)</f>
        <v>12.23</v>
      </c>
      <c r="C1612" s="2">
        <f>IFERROR(__xludf.DUMMYFUNCTION("""COMPUTED_VALUE"""),12.63)</f>
        <v>12.63</v>
      </c>
      <c r="D1612" s="2">
        <f>IFERROR(__xludf.DUMMYFUNCTION("""COMPUTED_VALUE"""),12.14)</f>
        <v>12.14</v>
      </c>
      <c r="E1612" s="2">
        <f>IFERROR(__xludf.DUMMYFUNCTION("""COMPUTED_VALUE"""),12.58)</f>
        <v>12.58</v>
      </c>
      <c r="F1612" s="2">
        <f>IFERROR(__xludf.DUMMYFUNCTION("""COMPUTED_VALUE"""),4887067.0)</f>
        <v>4887067</v>
      </c>
    </row>
    <row r="1613">
      <c r="A1613" s="3">
        <f>IFERROR(__xludf.DUMMYFUNCTION("""COMPUTED_VALUE"""),42692.66666666667)</f>
        <v>42692.66667</v>
      </c>
      <c r="B1613" s="2">
        <f>IFERROR(__xludf.DUMMYFUNCTION("""COMPUTED_VALUE"""),12.71)</f>
        <v>12.71</v>
      </c>
      <c r="C1613" s="2">
        <f>IFERROR(__xludf.DUMMYFUNCTION("""COMPUTED_VALUE"""),12.87)</f>
        <v>12.87</v>
      </c>
      <c r="D1613" s="2">
        <f>IFERROR(__xludf.DUMMYFUNCTION("""COMPUTED_VALUE"""),12.33)</f>
        <v>12.33</v>
      </c>
      <c r="E1613" s="2">
        <f>IFERROR(__xludf.DUMMYFUNCTION("""COMPUTED_VALUE"""),12.33)</f>
        <v>12.33</v>
      </c>
      <c r="F1613" s="2">
        <f>IFERROR(__xludf.DUMMYFUNCTION("""COMPUTED_VALUE"""),5210347.0)</f>
        <v>5210347</v>
      </c>
    </row>
    <row r="1614">
      <c r="A1614" s="3">
        <f>IFERROR(__xludf.DUMMYFUNCTION("""COMPUTED_VALUE"""),42695.66666666667)</f>
        <v>42695.66667</v>
      </c>
      <c r="B1614" s="2">
        <f>IFERROR(__xludf.DUMMYFUNCTION("""COMPUTED_VALUE"""),12.34)</f>
        <v>12.34</v>
      </c>
      <c r="C1614" s="2">
        <f>IFERROR(__xludf.DUMMYFUNCTION("""COMPUTED_VALUE"""),12.59)</f>
        <v>12.59</v>
      </c>
      <c r="D1614" s="2">
        <f>IFERROR(__xludf.DUMMYFUNCTION("""COMPUTED_VALUE"""),12.29)</f>
        <v>12.29</v>
      </c>
      <c r="E1614" s="2">
        <f>IFERROR(__xludf.DUMMYFUNCTION("""COMPUTED_VALUE"""),12.3)</f>
        <v>12.3</v>
      </c>
      <c r="F1614" s="2">
        <f>IFERROR(__xludf.DUMMYFUNCTION("""COMPUTED_VALUE"""),4361043.0)</f>
        <v>4361043</v>
      </c>
    </row>
    <row r="1615">
      <c r="A1615" s="3">
        <f>IFERROR(__xludf.DUMMYFUNCTION("""COMPUTED_VALUE"""),42696.66666666667)</f>
        <v>42696.66667</v>
      </c>
      <c r="B1615" s="2">
        <f>IFERROR(__xludf.DUMMYFUNCTION("""COMPUTED_VALUE"""),12.39)</f>
        <v>12.39</v>
      </c>
      <c r="C1615" s="2">
        <f>IFERROR(__xludf.DUMMYFUNCTION("""COMPUTED_VALUE"""),12.76)</f>
        <v>12.76</v>
      </c>
      <c r="D1615" s="2">
        <f>IFERROR(__xludf.DUMMYFUNCTION("""COMPUTED_VALUE"""),12.25)</f>
        <v>12.25</v>
      </c>
      <c r="E1615" s="2">
        <f>IFERROR(__xludf.DUMMYFUNCTION("""COMPUTED_VALUE"""),12.74)</f>
        <v>12.74</v>
      </c>
      <c r="F1615" s="2">
        <f>IFERROR(__xludf.DUMMYFUNCTION("""COMPUTED_VALUE"""),5603361.0)</f>
        <v>5603361</v>
      </c>
    </row>
    <row r="1616">
      <c r="A1616" s="3">
        <f>IFERROR(__xludf.DUMMYFUNCTION("""COMPUTED_VALUE"""),42697.66666666667)</f>
        <v>42697.66667</v>
      </c>
      <c r="B1616" s="2">
        <f>IFERROR(__xludf.DUMMYFUNCTION("""COMPUTED_VALUE"""),12.71)</f>
        <v>12.71</v>
      </c>
      <c r="C1616" s="2">
        <f>IFERROR(__xludf.DUMMYFUNCTION("""COMPUTED_VALUE"""),13.04)</f>
        <v>13.04</v>
      </c>
      <c r="D1616" s="2">
        <f>IFERROR(__xludf.DUMMYFUNCTION("""COMPUTED_VALUE"""),12.6)</f>
        <v>12.6</v>
      </c>
      <c r="E1616" s="2">
        <f>IFERROR(__xludf.DUMMYFUNCTION("""COMPUTED_VALUE"""),12.88)</f>
        <v>12.88</v>
      </c>
      <c r="F1616" s="2">
        <f>IFERROR(__xludf.DUMMYFUNCTION("""COMPUTED_VALUE"""),4891893.0)</f>
        <v>4891893</v>
      </c>
    </row>
    <row r="1617">
      <c r="A1617" s="3">
        <f>IFERROR(__xludf.DUMMYFUNCTION("""COMPUTED_VALUE"""),42699.66666666667)</f>
        <v>42699.66667</v>
      </c>
      <c r="B1617" s="2">
        <f>IFERROR(__xludf.DUMMYFUNCTION("""COMPUTED_VALUE"""),12.91)</f>
        <v>12.91</v>
      </c>
      <c r="C1617" s="2">
        <f>IFERROR(__xludf.DUMMYFUNCTION("""COMPUTED_VALUE"""),13.15)</f>
        <v>13.15</v>
      </c>
      <c r="D1617" s="2">
        <f>IFERROR(__xludf.DUMMYFUNCTION("""COMPUTED_VALUE"""),12.91)</f>
        <v>12.91</v>
      </c>
      <c r="E1617" s="2">
        <f>IFERROR(__xludf.DUMMYFUNCTION("""COMPUTED_VALUE"""),13.11)</f>
        <v>13.11</v>
      </c>
      <c r="F1617" s="2">
        <f>IFERROR(__xludf.DUMMYFUNCTION("""COMPUTED_VALUE"""),2366098.0)</f>
        <v>2366098</v>
      </c>
    </row>
    <row r="1618">
      <c r="A1618" s="3">
        <f>IFERROR(__xludf.DUMMYFUNCTION("""COMPUTED_VALUE"""),42702.66666666667)</f>
        <v>42702.66667</v>
      </c>
      <c r="B1618" s="2">
        <f>IFERROR(__xludf.DUMMYFUNCTION("""COMPUTED_VALUE"""),13.03)</f>
        <v>13.03</v>
      </c>
      <c r="C1618" s="2">
        <f>IFERROR(__xludf.DUMMYFUNCTION("""COMPUTED_VALUE"""),13.29)</f>
        <v>13.29</v>
      </c>
      <c r="D1618" s="2">
        <f>IFERROR(__xludf.DUMMYFUNCTION("""COMPUTED_VALUE"""),12.97)</f>
        <v>12.97</v>
      </c>
      <c r="E1618" s="2">
        <f>IFERROR(__xludf.DUMMYFUNCTION("""COMPUTED_VALUE"""),13.07)</f>
        <v>13.07</v>
      </c>
      <c r="F1618" s="2">
        <f>IFERROR(__xludf.DUMMYFUNCTION("""COMPUTED_VALUE"""),4529182.0)</f>
        <v>4529182</v>
      </c>
    </row>
    <row r="1619">
      <c r="A1619" s="3">
        <f>IFERROR(__xludf.DUMMYFUNCTION("""COMPUTED_VALUE"""),42703.66666666667)</f>
        <v>42703.66667</v>
      </c>
      <c r="B1619" s="2">
        <f>IFERROR(__xludf.DUMMYFUNCTION("""COMPUTED_VALUE"""),13.04)</f>
        <v>13.04</v>
      </c>
      <c r="C1619" s="2">
        <f>IFERROR(__xludf.DUMMYFUNCTION("""COMPUTED_VALUE"""),13.12)</f>
        <v>13.12</v>
      </c>
      <c r="D1619" s="2">
        <f>IFERROR(__xludf.DUMMYFUNCTION("""COMPUTED_VALUE"""),12.63)</f>
        <v>12.63</v>
      </c>
      <c r="E1619" s="2">
        <f>IFERROR(__xludf.DUMMYFUNCTION("""COMPUTED_VALUE"""),12.64)</f>
        <v>12.64</v>
      </c>
      <c r="F1619" s="2">
        <f>IFERROR(__xludf.DUMMYFUNCTION("""COMPUTED_VALUE"""),4439256.0)</f>
        <v>4439256</v>
      </c>
    </row>
    <row r="1620">
      <c r="A1620" s="3">
        <f>IFERROR(__xludf.DUMMYFUNCTION("""COMPUTED_VALUE"""),42704.66666666667)</f>
        <v>42704.66667</v>
      </c>
      <c r="B1620" s="2">
        <f>IFERROR(__xludf.DUMMYFUNCTION("""COMPUTED_VALUE"""),12.73)</f>
        <v>12.73</v>
      </c>
      <c r="C1620" s="2">
        <f>IFERROR(__xludf.DUMMYFUNCTION("""COMPUTED_VALUE"""),12.79)</f>
        <v>12.79</v>
      </c>
      <c r="D1620" s="2">
        <f>IFERROR(__xludf.DUMMYFUNCTION("""COMPUTED_VALUE"""),12.5)</f>
        <v>12.5</v>
      </c>
      <c r="E1620" s="2">
        <f>IFERROR(__xludf.DUMMYFUNCTION("""COMPUTED_VALUE"""),12.63)</f>
        <v>12.63</v>
      </c>
      <c r="F1620" s="2">
        <f>IFERROR(__xludf.DUMMYFUNCTION("""COMPUTED_VALUE"""),3547104.0)</f>
        <v>3547104</v>
      </c>
    </row>
    <row r="1621">
      <c r="A1621" s="3">
        <f>IFERROR(__xludf.DUMMYFUNCTION("""COMPUTED_VALUE"""),42705.66666666667)</f>
        <v>42705.66667</v>
      </c>
      <c r="B1621" s="2">
        <f>IFERROR(__xludf.DUMMYFUNCTION("""COMPUTED_VALUE"""),12.55)</f>
        <v>12.55</v>
      </c>
      <c r="C1621" s="2">
        <f>IFERROR(__xludf.DUMMYFUNCTION("""COMPUTED_VALUE"""),12.57)</f>
        <v>12.57</v>
      </c>
      <c r="D1621" s="2">
        <f>IFERROR(__xludf.DUMMYFUNCTION("""COMPUTED_VALUE"""),12.07)</f>
        <v>12.07</v>
      </c>
      <c r="E1621" s="2">
        <f>IFERROR(__xludf.DUMMYFUNCTION("""COMPUTED_VALUE"""),12.13)</f>
        <v>12.13</v>
      </c>
      <c r="F1621" s="2">
        <f>IFERROR(__xludf.DUMMYFUNCTION("""COMPUTED_VALUE"""),5126401.0)</f>
        <v>5126401</v>
      </c>
    </row>
    <row r="1622">
      <c r="A1622" s="3">
        <f>IFERROR(__xludf.DUMMYFUNCTION("""COMPUTED_VALUE"""),42706.66666666667)</f>
        <v>42706.66667</v>
      </c>
      <c r="B1622" s="2">
        <f>IFERROR(__xludf.DUMMYFUNCTION("""COMPUTED_VALUE"""),12.19)</f>
        <v>12.19</v>
      </c>
      <c r="C1622" s="2">
        <f>IFERROR(__xludf.DUMMYFUNCTION("""COMPUTED_VALUE"""),12.33)</f>
        <v>12.33</v>
      </c>
      <c r="D1622" s="2">
        <f>IFERROR(__xludf.DUMMYFUNCTION("""COMPUTED_VALUE"""),12.0)</f>
        <v>12</v>
      </c>
      <c r="E1622" s="2">
        <f>IFERROR(__xludf.DUMMYFUNCTION("""COMPUTED_VALUE"""),12.1)</f>
        <v>12.1</v>
      </c>
      <c r="F1622" s="2">
        <f>IFERROR(__xludf.DUMMYFUNCTION("""COMPUTED_VALUE"""),4042324.0)</f>
        <v>4042324</v>
      </c>
    </row>
    <row r="1623">
      <c r="A1623" s="3">
        <f>IFERROR(__xludf.DUMMYFUNCTION("""COMPUTED_VALUE"""),42709.66666666667)</f>
        <v>42709.66667</v>
      </c>
      <c r="B1623" s="2">
        <f>IFERROR(__xludf.DUMMYFUNCTION("""COMPUTED_VALUE"""),12.17)</f>
        <v>12.17</v>
      </c>
      <c r="C1623" s="2">
        <f>IFERROR(__xludf.DUMMYFUNCTION("""COMPUTED_VALUE"""),12.59)</f>
        <v>12.59</v>
      </c>
      <c r="D1623" s="2">
        <f>IFERROR(__xludf.DUMMYFUNCTION("""COMPUTED_VALUE"""),12.17)</f>
        <v>12.17</v>
      </c>
      <c r="E1623" s="2">
        <f>IFERROR(__xludf.DUMMYFUNCTION("""COMPUTED_VALUE"""),12.45)</f>
        <v>12.45</v>
      </c>
      <c r="F1623" s="2">
        <f>IFERROR(__xludf.DUMMYFUNCTION("""COMPUTED_VALUE"""),4072239.0)</f>
        <v>4072239</v>
      </c>
    </row>
    <row r="1624">
      <c r="A1624" s="3">
        <f>IFERROR(__xludf.DUMMYFUNCTION("""COMPUTED_VALUE"""),42710.66666666667)</f>
        <v>42710.66667</v>
      </c>
      <c r="B1624" s="2">
        <f>IFERROR(__xludf.DUMMYFUNCTION("""COMPUTED_VALUE"""),12.37)</f>
        <v>12.37</v>
      </c>
      <c r="C1624" s="2">
        <f>IFERROR(__xludf.DUMMYFUNCTION("""COMPUTED_VALUE"""),12.44)</f>
        <v>12.44</v>
      </c>
      <c r="D1624" s="2">
        <f>IFERROR(__xludf.DUMMYFUNCTION("""COMPUTED_VALUE"""),12.18)</f>
        <v>12.18</v>
      </c>
      <c r="E1624" s="2">
        <f>IFERROR(__xludf.DUMMYFUNCTION("""COMPUTED_VALUE"""),12.39)</f>
        <v>12.39</v>
      </c>
      <c r="F1624" s="2">
        <f>IFERROR(__xludf.DUMMYFUNCTION("""COMPUTED_VALUE"""),3391622.0)</f>
        <v>3391622</v>
      </c>
    </row>
    <row r="1625">
      <c r="A1625" s="3">
        <f>IFERROR(__xludf.DUMMYFUNCTION("""COMPUTED_VALUE"""),42711.66666666667)</f>
        <v>42711.66667</v>
      </c>
      <c r="B1625" s="2">
        <f>IFERROR(__xludf.DUMMYFUNCTION("""COMPUTED_VALUE"""),12.41)</f>
        <v>12.41</v>
      </c>
      <c r="C1625" s="2">
        <f>IFERROR(__xludf.DUMMYFUNCTION("""COMPUTED_VALUE"""),12.89)</f>
        <v>12.89</v>
      </c>
      <c r="D1625" s="2">
        <f>IFERROR(__xludf.DUMMYFUNCTION("""COMPUTED_VALUE"""),12.33)</f>
        <v>12.33</v>
      </c>
      <c r="E1625" s="2">
        <f>IFERROR(__xludf.DUMMYFUNCTION("""COMPUTED_VALUE"""),12.88)</f>
        <v>12.88</v>
      </c>
      <c r="F1625" s="2">
        <f>IFERROR(__xludf.DUMMYFUNCTION("""COMPUTED_VALUE"""),5461851.0)</f>
        <v>5461851</v>
      </c>
    </row>
    <row r="1626">
      <c r="A1626" s="3">
        <f>IFERROR(__xludf.DUMMYFUNCTION("""COMPUTED_VALUE"""),42712.66666666667)</f>
        <v>42712.66667</v>
      </c>
      <c r="B1626" s="2">
        <f>IFERROR(__xludf.DUMMYFUNCTION("""COMPUTED_VALUE"""),12.8)</f>
        <v>12.8</v>
      </c>
      <c r="C1626" s="2">
        <f>IFERROR(__xludf.DUMMYFUNCTION("""COMPUTED_VALUE"""),12.83)</f>
        <v>12.83</v>
      </c>
      <c r="D1626" s="2">
        <f>IFERROR(__xludf.DUMMYFUNCTION("""COMPUTED_VALUE"""),12.64)</f>
        <v>12.64</v>
      </c>
      <c r="E1626" s="2">
        <f>IFERROR(__xludf.DUMMYFUNCTION("""COMPUTED_VALUE"""),12.82)</f>
        <v>12.82</v>
      </c>
      <c r="F1626" s="2">
        <f>IFERROR(__xludf.DUMMYFUNCTION("""COMPUTED_VALUE"""),3194148.0)</f>
        <v>3194148</v>
      </c>
    </row>
    <row r="1627">
      <c r="A1627" s="3">
        <f>IFERROR(__xludf.DUMMYFUNCTION("""COMPUTED_VALUE"""),42713.66666666667)</f>
        <v>42713.66667</v>
      </c>
      <c r="B1627" s="2">
        <f>IFERROR(__xludf.DUMMYFUNCTION("""COMPUTED_VALUE"""),12.72)</f>
        <v>12.72</v>
      </c>
      <c r="C1627" s="2">
        <f>IFERROR(__xludf.DUMMYFUNCTION("""COMPUTED_VALUE"""),12.92)</f>
        <v>12.92</v>
      </c>
      <c r="D1627" s="2">
        <f>IFERROR(__xludf.DUMMYFUNCTION("""COMPUTED_VALUE"""),12.72)</f>
        <v>12.72</v>
      </c>
      <c r="E1627" s="2">
        <f>IFERROR(__xludf.DUMMYFUNCTION("""COMPUTED_VALUE"""),12.81)</f>
        <v>12.81</v>
      </c>
      <c r="F1627" s="2">
        <f>IFERROR(__xludf.DUMMYFUNCTION("""COMPUTED_VALUE"""),2722505.0)</f>
        <v>2722505</v>
      </c>
    </row>
    <row r="1628">
      <c r="A1628" s="3">
        <f>IFERROR(__xludf.DUMMYFUNCTION("""COMPUTED_VALUE"""),42716.66666666667)</f>
        <v>42716.66667</v>
      </c>
      <c r="B1628" s="2">
        <f>IFERROR(__xludf.DUMMYFUNCTION("""COMPUTED_VALUE"""),12.85)</f>
        <v>12.85</v>
      </c>
      <c r="C1628" s="2">
        <f>IFERROR(__xludf.DUMMYFUNCTION("""COMPUTED_VALUE"""),12.96)</f>
        <v>12.96</v>
      </c>
      <c r="D1628" s="2">
        <f>IFERROR(__xludf.DUMMYFUNCTION("""COMPUTED_VALUE"""),12.74)</f>
        <v>12.74</v>
      </c>
      <c r="E1628" s="2">
        <f>IFERROR(__xludf.DUMMYFUNCTION("""COMPUTED_VALUE"""),12.83)</f>
        <v>12.83</v>
      </c>
      <c r="F1628" s="2">
        <f>IFERROR(__xludf.DUMMYFUNCTION("""COMPUTED_VALUE"""),2438876.0)</f>
        <v>2438876</v>
      </c>
    </row>
    <row r="1629">
      <c r="A1629" s="3">
        <f>IFERROR(__xludf.DUMMYFUNCTION("""COMPUTED_VALUE"""),42717.66666666667)</f>
        <v>42717.66667</v>
      </c>
      <c r="B1629" s="2">
        <f>IFERROR(__xludf.DUMMYFUNCTION("""COMPUTED_VALUE"""),12.88)</f>
        <v>12.88</v>
      </c>
      <c r="C1629" s="2">
        <f>IFERROR(__xludf.DUMMYFUNCTION("""COMPUTED_VALUE"""),13.42)</f>
        <v>13.42</v>
      </c>
      <c r="D1629" s="2">
        <f>IFERROR(__xludf.DUMMYFUNCTION("""COMPUTED_VALUE"""),12.87)</f>
        <v>12.87</v>
      </c>
      <c r="E1629" s="2">
        <f>IFERROR(__xludf.DUMMYFUNCTION("""COMPUTED_VALUE"""),13.21)</f>
        <v>13.21</v>
      </c>
      <c r="F1629" s="2">
        <f>IFERROR(__xludf.DUMMYFUNCTION("""COMPUTED_VALUE"""),6823884.0)</f>
        <v>6823884</v>
      </c>
    </row>
    <row r="1630">
      <c r="A1630" s="3">
        <f>IFERROR(__xludf.DUMMYFUNCTION("""COMPUTED_VALUE"""),42718.66666666667)</f>
        <v>42718.66667</v>
      </c>
      <c r="B1630" s="2">
        <f>IFERROR(__xludf.DUMMYFUNCTION("""COMPUTED_VALUE"""),13.25)</f>
        <v>13.25</v>
      </c>
      <c r="C1630" s="2">
        <f>IFERROR(__xludf.DUMMYFUNCTION("""COMPUTED_VALUE"""),13.53)</f>
        <v>13.53</v>
      </c>
      <c r="D1630" s="2">
        <f>IFERROR(__xludf.DUMMYFUNCTION("""COMPUTED_VALUE"""),13.12)</f>
        <v>13.12</v>
      </c>
      <c r="E1630" s="2">
        <f>IFERROR(__xludf.DUMMYFUNCTION("""COMPUTED_VALUE"""),13.25)</f>
        <v>13.25</v>
      </c>
      <c r="F1630" s="2">
        <f>IFERROR(__xludf.DUMMYFUNCTION("""COMPUTED_VALUE"""),4150927.0)</f>
        <v>4150927</v>
      </c>
    </row>
    <row r="1631">
      <c r="A1631" s="3">
        <f>IFERROR(__xludf.DUMMYFUNCTION("""COMPUTED_VALUE"""),42719.66666666667)</f>
        <v>42719.66667</v>
      </c>
      <c r="B1631" s="2">
        <f>IFERROR(__xludf.DUMMYFUNCTION("""COMPUTED_VALUE"""),13.23)</f>
        <v>13.23</v>
      </c>
      <c r="C1631" s="2">
        <f>IFERROR(__xludf.DUMMYFUNCTION("""COMPUTED_VALUE"""),13.38)</f>
        <v>13.38</v>
      </c>
      <c r="D1631" s="2">
        <f>IFERROR(__xludf.DUMMYFUNCTION("""COMPUTED_VALUE"""),13.16)</f>
        <v>13.16</v>
      </c>
      <c r="E1631" s="2">
        <f>IFERROR(__xludf.DUMMYFUNCTION("""COMPUTED_VALUE"""),13.17)</f>
        <v>13.17</v>
      </c>
      <c r="F1631" s="2">
        <f>IFERROR(__xludf.DUMMYFUNCTION("""COMPUTED_VALUE"""),3219567.0)</f>
        <v>3219567</v>
      </c>
    </row>
    <row r="1632">
      <c r="A1632" s="3">
        <f>IFERROR(__xludf.DUMMYFUNCTION("""COMPUTED_VALUE"""),42720.66666666667)</f>
        <v>42720.66667</v>
      </c>
      <c r="B1632" s="2">
        <f>IFERROR(__xludf.DUMMYFUNCTION("""COMPUTED_VALUE"""),13.21)</f>
        <v>13.21</v>
      </c>
      <c r="C1632" s="2">
        <f>IFERROR(__xludf.DUMMYFUNCTION("""COMPUTED_VALUE"""),13.51)</f>
        <v>13.51</v>
      </c>
      <c r="D1632" s="2">
        <f>IFERROR(__xludf.DUMMYFUNCTION("""COMPUTED_VALUE"""),13.17)</f>
        <v>13.17</v>
      </c>
      <c r="E1632" s="2">
        <f>IFERROR(__xludf.DUMMYFUNCTION("""COMPUTED_VALUE"""),13.5)</f>
        <v>13.5</v>
      </c>
      <c r="F1632" s="2">
        <f>IFERROR(__xludf.DUMMYFUNCTION("""COMPUTED_VALUE"""),3796889.0)</f>
        <v>3796889</v>
      </c>
    </row>
    <row r="1633">
      <c r="A1633" s="3">
        <f>IFERROR(__xludf.DUMMYFUNCTION("""COMPUTED_VALUE"""),42723.66666666667)</f>
        <v>42723.66667</v>
      </c>
      <c r="B1633" s="2">
        <f>IFERROR(__xludf.DUMMYFUNCTION("""COMPUTED_VALUE"""),13.5)</f>
        <v>13.5</v>
      </c>
      <c r="C1633" s="2">
        <f>IFERROR(__xludf.DUMMYFUNCTION("""COMPUTED_VALUE"""),13.63)</f>
        <v>13.63</v>
      </c>
      <c r="D1633" s="2">
        <f>IFERROR(__xludf.DUMMYFUNCTION("""COMPUTED_VALUE"""),13.32)</f>
        <v>13.32</v>
      </c>
      <c r="E1633" s="2">
        <f>IFERROR(__xludf.DUMMYFUNCTION("""COMPUTED_VALUE"""),13.52)</f>
        <v>13.52</v>
      </c>
      <c r="F1633" s="2">
        <f>IFERROR(__xludf.DUMMYFUNCTION("""COMPUTED_VALUE"""),3488071.0)</f>
        <v>3488071</v>
      </c>
    </row>
    <row r="1634">
      <c r="A1634" s="3">
        <f>IFERROR(__xludf.DUMMYFUNCTION("""COMPUTED_VALUE"""),42724.66666666667)</f>
        <v>42724.66667</v>
      </c>
      <c r="B1634" s="2">
        <f>IFERROR(__xludf.DUMMYFUNCTION("""COMPUTED_VALUE"""),13.54)</f>
        <v>13.54</v>
      </c>
      <c r="C1634" s="2">
        <f>IFERROR(__xludf.DUMMYFUNCTION("""COMPUTED_VALUE"""),13.93)</f>
        <v>13.93</v>
      </c>
      <c r="D1634" s="2">
        <f>IFERROR(__xludf.DUMMYFUNCTION("""COMPUTED_VALUE"""),13.5)</f>
        <v>13.5</v>
      </c>
      <c r="E1634" s="2">
        <f>IFERROR(__xludf.DUMMYFUNCTION("""COMPUTED_VALUE"""),13.92)</f>
        <v>13.92</v>
      </c>
      <c r="F1634" s="2">
        <f>IFERROR(__xludf.DUMMYFUNCTION("""COMPUTED_VALUE"""),4689071.0)</f>
        <v>4689071</v>
      </c>
    </row>
    <row r="1635">
      <c r="A1635" s="3">
        <f>IFERROR(__xludf.DUMMYFUNCTION("""COMPUTED_VALUE"""),42725.66666666667)</f>
        <v>42725.66667</v>
      </c>
      <c r="B1635" s="2">
        <f>IFERROR(__xludf.DUMMYFUNCTION("""COMPUTED_VALUE"""),13.9)</f>
        <v>13.9</v>
      </c>
      <c r="C1635" s="2">
        <f>IFERROR(__xludf.DUMMYFUNCTION("""COMPUTED_VALUE"""),14.15)</f>
        <v>14.15</v>
      </c>
      <c r="D1635" s="2">
        <f>IFERROR(__xludf.DUMMYFUNCTION("""COMPUTED_VALUE"""),13.83)</f>
        <v>13.83</v>
      </c>
      <c r="E1635" s="2">
        <f>IFERROR(__xludf.DUMMYFUNCTION("""COMPUTED_VALUE"""),13.85)</f>
        <v>13.85</v>
      </c>
      <c r="F1635" s="2">
        <f>IFERROR(__xludf.DUMMYFUNCTION("""COMPUTED_VALUE"""),5207622.0)</f>
        <v>5207622</v>
      </c>
    </row>
    <row r="1636">
      <c r="A1636" s="3">
        <f>IFERROR(__xludf.DUMMYFUNCTION("""COMPUTED_VALUE"""),42726.66666666667)</f>
        <v>42726.66667</v>
      </c>
      <c r="B1636" s="2">
        <f>IFERROR(__xludf.DUMMYFUNCTION("""COMPUTED_VALUE"""),13.88)</f>
        <v>13.88</v>
      </c>
      <c r="C1636" s="2">
        <f>IFERROR(__xludf.DUMMYFUNCTION("""COMPUTED_VALUE"""),14.0)</f>
        <v>14</v>
      </c>
      <c r="D1636" s="2">
        <f>IFERROR(__xludf.DUMMYFUNCTION("""COMPUTED_VALUE"""),13.77)</f>
        <v>13.77</v>
      </c>
      <c r="E1636" s="2">
        <f>IFERROR(__xludf.DUMMYFUNCTION("""COMPUTED_VALUE"""),13.9)</f>
        <v>13.9</v>
      </c>
      <c r="F1636" s="2">
        <f>IFERROR(__xludf.DUMMYFUNCTION("""COMPUTED_VALUE"""),3111108.0)</f>
        <v>3111108</v>
      </c>
    </row>
    <row r="1637">
      <c r="A1637" s="3">
        <f>IFERROR(__xludf.DUMMYFUNCTION("""COMPUTED_VALUE"""),42727.66666666667)</f>
        <v>42727.66667</v>
      </c>
      <c r="B1637" s="2">
        <f>IFERROR(__xludf.DUMMYFUNCTION("""COMPUTED_VALUE"""),13.87)</f>
        <v>13.87</v>
      </c>
      <c r="C1637" s="2">
        <f>IFERROR(__xludf.DUMMYFUNCTION("""COMPUTED_VALUE"""),14.23)</f>
        <v>14.23</v>
      </c>
      <c r="D1637" s="2">
        <f>IFERROR(__xludf.DUMMYFUNCTION("""COMPUTED_VALUE"""),13.85)</f>
        <v>13.85</v>
      </c>
      <c r="E1637" s="2">
        <f>IFERROR(__xludf.DUMMYFUNCTION("""COMPUTED_VALUE"""),14.22)</f>
        <v>14.22</v>
      </c>
      <c r="F1637" s="2">
        <f>IFERROR(__xludf.DUMMYFUNCTION("""COMPUTED_VALUE"""),4670464.0)</f>
        <v>4670464</v>
      </c>
    </row>
    <row r="1638">
      <c r="A1638" s="3">
        <f>IFERROR(__xludf.DUMMYFUNCTION("""COMPUTED_VALUE"""),42731.66666666667)</f>
        <v>42731.66667</v>
      </c>
      <c r="B1638" s="2">
        <f>IFERROR(__xludf.DUMMYFUNCTION("""COMPUTED_VALUE"""),14.33)</f>
        <v>14.33</v>
      </c>
      <c r="C1638" s="2">
        <f>IFERROR(__xludf.DUMMYFUNCTION("""COMPUTED_VALUE"""),14.82)</f>
        <v>14.82</v>
      </c>
      <c r="D1638" s="2">
        <f>IFERROR(__xludf.DUMMYFUNCTION("""COMPUTED_VALUE"""),14.29)</f>
        <v>14.29</v>
      </c>
      <c r="E1638" s="2">
        <f>IFERROR(__xludf.DUMMYFUNCTION("""COMPUTED_VALUE"""),14.64)</f>
        <v>14.64</v>
      </c>
      <c r="F1638" s="2">
        <f>IFERROR(__xludf.DUMMYFUNCTION("""COMPUTED_VALUE"""),5915732.0)</f>
        <v>5915732</v>
      </c>
    </row>
    <row r="1639">
      <c r="A1639" s="3">
        <f>IFERROR(__xludf.DUMMYFUNCTION("""COMPUTED_VALUE"""),42732.66666666667)</f>
        <v>42732.66667</v>
      </c>
      <c r="B1639" s="2">
        <f>IFERROR(__xludf.DUMMYFUNCTION("""COMPUTED_VALUE"""),14.77)</f>
        <v>14.77</v>
      </c>
      <c r="C1639" s="2">
        <f>IFERROR(__xludf.DUMMYFUNCTION("""COMPUTED_VALUE"""),14.92)</f>
        <v>14.92</v>
      </c>
      <c r="D1639" s="2">
        <f>IFERROR(__xludf.DUMMYFUNCTION("""COMPUTED_VALUE"""),14.48)</f>
        <v>14.48</v>
      </c>
      <c r="E1639" s="2">
        <f>IFERROR(__xludf.DUMMYFUNCTION("""COMPUTED_VALUE"""),14.65)</f>
        <v>14.65</v>
      </c>
      <c r="F1639" s="2">
        <f>IFERROR(__xludf.DUMMYFUNCTION("""COMPUTED_VALUE"""),3782456.0)</f>
        <v>3782456</v>
      </c>
    </row>
    <row r="1640">
      <c r="A1640" s="3">
        <f>IFERROR(__xludf.DUMMYFUNCTION("""COMPUTED_VALUE"""),42733.66666666667)</f>
        <v>42733.66667</v>
      </c>
      <c r="B1640" s="2">
        <f>IFERROR(__xludf.DUMMYFUNCTION("""COMPUTED_VALUE"""),14.57)</f>
        <v>14.57</v>
      </c>
      <c r="C1640" s="2">
        <f>IFERROR(__xludf.DUMMYFUNCTION("""COMPUTED_VALUE"""),14.61)</f>
        <v>14.61</v>
      </c>
      <c r="D1640" s="2">
        <f>IFERROR(__xludf.DUMMYFUNCTION("""COMPUTED_VALUE"""),14.27)</f>
        <v>14.27</v>
      </c>
      <c r="E1640" s="2">
        <f>IFERROR(__xludf.DUMMYFUNCTION("""COMPUTED_VALUE"""),14.31)</f>
        <v>14.31</v>
      </c>
      <c r="F1640" s="2">
        <f>IFERROR(__xludf.DUMMYFUNCTION("""COMPUTED_VALUE"""),4044968.0)</f>
        <v>4044968</v>
      </c>
    </row>
    <row r="1641">
      <c r="A1641" s="3">
        <f>IFERROR(__xludf.DUMMYFUNCTION("""COMPUTED_VALUE"""),42734.66666666667)</f>
        <v>42734.66667</v>
      </c>
      <c r="B1641" s="2">
        <f>IFERROR(__xludf.DUMMYFUNCTION("""COMPUTED_VALUE"""),14.42)</f>
        <v>14.42</v>
      </c>
      <c r="C1641" s="2">
        <f>IFERROR(__xludf.DUMMYFUNCTION("""COMPUTED_VALUE"""),14.5)</f>
        <v>14.5</v>
      </c>
      <c r="D1641" s="2">
        <f>IFERROR(__xludf.DUMMYFUNCTION("""COMPUTED_VALUE"""),14.11)</f>
        <v>14.11</v>
      </c>
      <c r="E1641" s="2">
        <f>IFERROR(__xludf.DUMMYFUNCTION("""COMPUTED_VALUE"""),14.25)</f>
        <v>14.25</v>
      </c>
      <c r="F1641" s="2">
        <f>IFERROR(__xludf.DUMMYFUNCTION("""COMPUTED_VALUE"""),4642620.0)</f>
        <v>4642620</v>
      </c>
    </row>
    <row r="1642">
      <c r="A1642" s="3">
        <f>IFERROR(__xludf.DUMMYFUNCTION("""COMPUTED_VALUE"""),42738.66666666667)</f>
        <v>42738.66667</v>
      </c>
      <c r="B1642" s="2">
        <f>IFERROR(__xludf.DUMMYFUNCTION("""COMPUTED_VALUE"""),14.32)</f>
        <v>14.32</v>
      </c>
      <c r="C1642" s="2">
        <f>IFERROR(__xludf.DUMMYFUNCTION("""COMPUTED_VALUE"""),14.69)</f>
        <v>14.69</v>
      </c>
      <c r="D1642" s="2">
        <f>IFERROR(__xludf.DUMMYFUNCTION("""COMPUTED_VALUE"""),14.06)</f>
        <v>14.06</v>
      </c>
      <c r="E1642" s="2">
        <f>IFERROR(__xludf.DUMMYFUNCTION("""COMPUTED_VALUE"""),14.47)</f>
        <v>14.47</v>
      </c>
      <c r="F1642" s="2">
        <f>IFERROR(__xludf.DUMMYFUNCTION("""COMPUTED_VALUE"""),5923254.0)</f>
        <v>5923254</v>
      </c>
    </row>
    <row r="1643">
      <c r="A1643" s="3">
        <f>IFERROR(__xludf.DUMMYFUNCTION("""COMPUTED_VALUE"""),42739.66666666667)</f>
        <v>42739.66667</v>
      </c>
      <c r="B1643" s="2">
        <f>IFERROR(__xludf.DUMMYFUNCTION("""COMPUTED_VALUE"""),14.32)</f>
        <v>14.32</v>
      </c>
      <c r="C1643" s="2">
        <f>IFERROR(__xludf.DUMMYFUNCTION("""COMPUTED_VALUE"""),15.2)</f>
        <v>15.2</v>
      </c>
      <c r="D1643" s="2">
        <f>IFERROR(__xludf.DUMMYFUNCTION("""COMPUTED_VALUE"""),14.29)</f>
        <v>14.29</v>
      </c>
      <c r="E1643" s="2">
        <f>IFERROR(__xludf.DUMMYFUNCTION("""COMPUTED_VALUE"""),15.13)</f>
        <v>15.13</v>
      </c>
      <c r="F1643" s="2">
        <f>IFERROR(__xludf.DUMMYFUNCTION("""COMPUTED_VALUE"""),1.1213471E7)</f>
        <v>11213471</v>
      </c>
    </row>
    <row r="1644">
      <c r="A1644" s="3">
        <f>IFERROR(__xludf.DUMMYFUNCTION("""COMPUTED_VALUE"""),42740.66666666667)</f>
        <v>42740.66667</v>
      </c>
      <c r="B1644" s="2">
        <f>IFERROR(__xludf.DUMMYFUNCTION("""COMPUTED_VALUE"""),15.09)</f>
        <v>15.09</v>
      </c>
      <c r="C1644" s="2">
        <f>IFERROR(__xludf.DUMMYFUNCTION("""COMPUTED_VALUE"""),15.17)</f>
        <v>15.17</v>
      </c>
      <c r="D1644" s="2">
        <f>IFERROR(__xludf.DUMMYFUNCTION("""COMPUTED_VALUE"""),14.8)</f>
        <v>14.8</v>
      </c>
      <c r="E1644" s="2">
        <f>IFERROR(__xludf.DUMMYFUNCTION("""COMPUTED_VALUE"""),15.12)</f>
        <v>15.12</v>
      </c>
      <c r="F1644" s="2">
        <f>IFERROR(__xludf.DUMMYFUNCTION("""COMPUTED_VALUE"""),5911695.0)</f>
        <v>5911695</v>
      </c>
    </row>
    <row r="1645">
      <c r="A1645" s="3">
        <f>IFERROR(__xludf.DUMMYFUNCTION("""COMPUTED_VALUE"""),42741.66666666667)</f>
        <v>42741.66667</v>
      </c>
      <c r="B1645" s="2">
        <f>IFERROR(__xludf.DUMMYFUNCTION("""COMPUTED_VALUE"""),15.13)</f>
        <v>15.13</v>
      </c>
      <c r="C1645" s="2">
        <f>IFERROR(__xludf.DUMMYFUNCTION("""COMPUTED_VALUE"""),15.35)</f>
        <v>15.35</v>
      </c>
      <c r="D1645" s="2">
        <f>IFERROR(__xludf.DUMMYFUNCTION("""COMPUTED_VALUE"""),15.03)</f>
        <v>15.03</v>
      </c>
      <c r="E1645" s="2">
        <f>IFERROR(__xludf.DUMMYFUNCTION("""COMPUTED_VALUE"""),15.27)</f>
        <v>15.27</v>
      </c>
      <c r="F1645" s="2">
        <f>IFERROR(__xludf.DUMMYFUNCTION("""COMPUTED_VALUE"""),5527893.0)</f>
        <v>5527893</v>
      </c>
    </row>
    <row r="1646">
      <c r="A1646" s="3">
        <f>IFERROR(__xludf.DUMMYFUNCTION("""COMPUTED_VALUE"""),42744.66666666667)</f>
        <v>42744.66667</v>
      </c>
      <c r="B1646" s="2">
        <f>IFERROR(__xludf.DUMMYFUNCTION("""COMPUTED_VALUE"""),15.26)</f>
        <v>15.26</v>
      </c>
      <c r="C1646" s="2">
        <f>IFERROR(__xludf.DUMMYFUNCTION("""COMPUTED_VALUE"""),15.46)</f>
        <v>15.46</v>
      </c>
      <c r="D1646" s="2">
        <f>IFERROR(__xludf.DUMMYFUNCTION("""COMPUTED_VALUE"""),15.2)</f>
        <v>15.2</v>
      </c>
      <c r="E1646" s="2">
        <f>IFERROR(__xludf.DUMMYFUNCTION("""COMPUTED_VALUE"""),15.42)</f>
        <v>15.42</v>
      </c>
      <c r="F1646" s="2">
        <f>IFERROR(__xludf.DUMMYFUNCTION("""COMPUTED_VALUE"""),3979484.0)</f>
        <v>3979484</v>
      </c>
    </row>
    <row r="1647">
      <c r="A1647" s="3">
        <f>IFERROR(__xludf.DUMMYFUNCTION("""COMPUTED_VALUE"""),42745.66666666667)</f>
        <v>42745.66667</v>
      </c>
      <c r="B1647" s="2">
        <f>IFERROR(__xludf.DUMMYFUNCTION("""COMPUTED_VALUE"""),15.47)</f>
        <v>15.47</v>
      </c>
      <c r="C1647" s="2">
        <f>IFERROR(__xludf.DUMMYFUNCTION("""COMPUTED_VALUE"""),15.47)</f>
        <v>15.47</v>
      </c>
      <c r="D1647" s="2">
        <f>IFERROR(__xludf.DUMMYFUNCTION("""COMPUTED_VALUE"""),15.13)</f>
        <v>15.13</v>
      </c>
      <c r="E1647" s="2">
        <f>IFERROR(__xludf.DUMMYFUNCTION("""COMPUTED_VALUE"""),15.32)</f>
        <v>15.32</v>
      </c>
      <c r="F1647" s="2">
        <f>IFERROR(__xludf.DUMMYFUNCTION("""COMPUTED_VALUE"""),3659955.0)</f>
        <v>3659955</v>
      </c>
    </row>
    <row r="1648">
      <c r="A1648" s="3">
        <f>IFERROR(__xludf.DUMMYFUNCTION("""COMPUTED_VALUE"""),42746.66666666667)</f>
        <v>42746.66667</v>
      </c>
      <c r="B1648" s="2">
        <f>IFERROR(__xludf.DUMMYFUNCTION("""COMPUTED_VALUE"""),15.27)</f>
        <v>15.27</v>
      </c>
      <c r="C1648" s="2">
        <f>IFERROR(__xludf.DUMMYFUNCTION("""COMPUTED_VALUE"""),15.33)</f>
        <v>15.33</v>
      </c>
      <c r="D1648" s="2">
        <f>IFERROR(__xludf.DUMMYFUNCTION("""COMPUTED_VALUE"""),15.11)</f>
        <v>15.11</v>
      </c>
      <c r="E1648" s="2">
        <f>IFERROR(__xludf.DUMMYFUNCTION("""COMPUTED_VALUE"""),15.32)</f>
        <v>15.32</v>
      </c>
      <c r="F1648" s="2">
        <f>IFERROR(__xludf.DUMMYFUNCTION("""COMPUTED_VALUE"""),3650825.0)</f>
        <v>3650825</v>
      </c>
    </row>
    <row r="1649">
      <c r="A1649" s="3">
        <f>IFERROR(__xludf.DUMMYFUNCTION("""COMPUTED_VALUE"""),42747.66666666667)</f>
        <v>42747.66667</v>
      </c>
      <c r="B1649" s="2">
        <f>IFERROR(__xludf.DUMMYFUNCTION("""COMPUTED_VALUE"""),15.27)</f>
        <v>15.27</v>
      </c>
      <c r="C1649" s="2">
        <f>IFERROR(__xludf.DUMMYFUNCTION("""COMPUTED_VALUE"""),15.38)</f>
        <v>15.38</v>
      </c>
      <c r="D1649" s="2">
        <f>IFERROR(__xludf.DUMMYFUNCTION("""COMPUTED_VALUE"""),15.04)</f>
        <v>15.04</v>
      </c>
      <c r="E1649" s="2">
        <f>IFERROR(__xludf.DUMMYFUNCTION("""COMPUTED_VALUE"""),15.31)</f>
        <v>15.31</v>
      </c>
      <c r="F1649" s="2">
        <f>IFERROR(__xludf.DUMMYFUNCTION("""COMPUTED_VALUE"""),3790229.0)</f>
        <v>3790229</v>
      </c>
    </row>
    <row r="1650">
      <c r="A1650" s="3">
        <f>IFERROR(__xludf.DUMMYFUNCTION("""COMPUTED_VALUE"""),42748.66666666667)</f>
        <v>42748.66667</v>
      </c>
      <c r="B1650" s="2">
        <f>IFERROR(__xludf.DUMMYFUNCTION("""COMPUTED_VALUE"""),15.33)</f>
        <v>15.33</v>
      </c>
      <c r="C1650" s="2">
        <f>IFERROR(__xludf.DUMMYFUNCTION("""COMPUTED_VALUE"""),15.86)</f>
        <v>15.86</v>
      </c>
      <c r="D1650" s="2">
        <f>IFERROR(__xludf.DUMMYFUNCTION("""COMPUTED_VALUE"""),15.31)</f>
        <v>15.31</v>
      </c>
      <c r="E1650" s="2">
        <f>IFERROR(__xludf.DUMMYFUNCTION("""COMPUTED_VALUE"""),15.85)</f>
        <v>15.85</v>
      </c>
      <c r="F1650" s="2">
        <f>IFERROR(__xludf.DUMMYFUNCTION("""COMPUTED_VALUE"""),6092960.0)</f>
        <v>6092960</v>
      </c>
    </row>
    <row r="1651">
      <c r="A1651" s="3">
        <f>IFERROR(__xludf.DUMMYFUNCTION("""COMPUTED_VALUE"""),42752.66666666667)</f>
        <v>42752.66667</v>
      </c>
      <c r="B1651" s="2">
        <f>IFERROR(__xludf.DUMMYFUNCTION("""COMPUTED_VALUE"""),15.78)</f>
        <v>15.78</v>
      </c>
      <c r="C1651" s="2">
        <f>IFERROR(__xludf.DUMMYFUNCTION("""COMPUTED_VALUE"""),16.0)</f>
        <v>16</v>
      </c>
      <c r="D1651" s="2">
        <f>IFERROR(__xludf.DUMMYFUNCTION("""COMPUTED_VALUE"""),15.62)</f>
        <v>15.62</v>
      </c>
      <c r="E1651" s="2">
        <f>IFERROR(__xludf.DUMMYFUNCTION("""COMPUTED_VALUE"""),15.71)</f>
        <v>15.71</v>
      </c>
      <c r="F1651" s="2">
        <f>IFERROR(__xludf.DUMMYFUNCTION("""COMPUTED_VALUE"""),4617522.0)</f>
        <v>4617522</v>
      </c>
    </row>
    <row r="1652">
      <c r="A1652" s="3">
        <f>IFERROR(__xludf.DUMMYFUNCTION("""COMPUTED_VALUE"""),42753.66666666667)</f>
        <v>42753.66667</v>
      </c>
      <c r="B1652" s="2">
        <f>IFERROR(__xludf.DUMMYFUNCTION("""COMPUTED_VALUE"""),15.78)</f>
        <v>15.78</v>
      </c>
      <c r="C1652" s="2">
        <f>IFERROR(__xludf.DUMMYFUNCTION("""COMPUTED_VALUE"""),15.98)</f>
        <v>15.98</v>
      </c>
      <c r="D1652" s="2">
        <f>IFERROR(__xludf.DUMMYFUNCTION("""COMPUTED_VALUE"""),15.71)</f>
        <v>15.71</v>
      </c>
      <c r="E1652" s="2">
        <f>IFERROR(__xludf.DUMMYFUNCTION("""COMPUTED_VALUE"""),15.89)</f>
        <v>15.89</v>
      </c>
      <c r="F1652" s="2">
        <f>IFERROR(__xludf.DUMMYFUNCTION("""COMPUTED_VALUE"""),3768967.0)</f>
        <v>3768967</v>
      </c>
    </row>
    <row r="1653">
      <c r="A1653" s="3">
        <f>IFERROR(__xludf.DUMMYFUNCTION("""COMPUTED_VALUE"""),42754.66666666667)</f>
        <v>42754.66667</v>
      </c>
      <c r="B1653" s="2">
        <f>IFERROR(__xludf.DUMMYFUNCTION("""COMPUTED_VALUE"""),16.48)</f>
        <v>16.48</v>
      </c>
      <c r="C1653" s="2">
        <f>IFERROR(__xludf.DUMMYFUNCTION("""COMPUTED_VALUE"""),16.58)</f>
        <v>16.58</v>
      </c>
      <c r="D1653" s="2">
        <f>IFERROR(__xludf.DUMMYFUNCTION("""COMPUTED_VALUE"""),16.05)</f>
        <v>16.05</v>
      </c>
      <c r="E1653" s="2">
        <f>IFERROR(__xludf.DUMMYFUNCTION("""COMPUTED_VALUE"""),16.25)</f>
        <v>16.25</v>
      </c>
      <c r="F1653" s="2">
        <f>IFERROR(__xludf.DUMMYFUNCTION("""COMPUTED_VALUE"""),7732303.0)</f>
        <v>7732303</v>
      </c>
    </row>
    <row r="1654">
      <c r="A1654" s="3">
        <f>IFERROR(__xludf.DUMMYFUNCTION("""COMPUTED_VALUE"""),42755.66666666667)</f>
        <v>42755.66667</v>
      </c>
      <c r="B1654" s="2">
        <f>IFERROR(__xludf.DUMMYFUNCTION("""COMPUTED_VALUE"""),16.36)</f>
        <v>16.36</v>
      </c>
      <c r="C1654" s="2">
        <f>IFERROR(__xludf.DUMMYFUNCTION("""COMPUTED_VALUE"""),16.4)</f>
        <v>16.4</v>
      </c>
      <c r="D1654" s="2">
        <f>IFERROR(__xludf.DUMMYFUNCTION("""COMPUTED_VALUE"""),16.2)</f>
        <v>16.2</v>
      </c>
      <c r="E1654" s="2">
        <f>IFERROR(__xludf.DUMMYFUNCTION("""COMPUTED_VALUE"""),16.32)</f>
        <v>16.32</v>
      </c>
      <c r="F1654" s="2">
        <f>IFERROR(__xludf.DUMMYFUNCTION("""COMPUTED_VALUE"""),4204275.0)</f>
        <v>4204275</v>
      </c>
    </row>
    <row r="1655">
      <c r="A1655" s="3">
        <f>IFERROR(__xludf.DUMMYFUNCTION("""COMPUTED_VALUE"""),42758.66666666667)</f>
        <v>42758.66667</v>
      </c>
      <c r="B1655" s="2">
        <f>IFERROR(__xludf.DUMMYFUNCTION("""COMPUTED_VALUE"""),16.39)</f>
        <v>16.39</v>
      </c>
      <c r="C1655" s="2">
        <f>IFERROR(__xludf.DUMMYFUNCTION("""COMPUTED_VALUE"""),16.73)</f>
        <v>16.73</v>
      </c>
      <c r="D1655" s="2">
        <f>IFERROR(__xludf.DUMMYFUNCTION("""COMPUTED_VALUE"""),16.37)</f>
        <v>16.37</v>
      </c>
      <c r="E1655" s="2">
        <f>IFERROR(__xludf.DUMMYFUNCTION("""COMPUTED_VALUE"""),16.59)</f>
        <v>16.59</v>
      </c>
      <c r="F1655" s="2">
        <f>IFERROR(__xludf.DUMMYFUNCTION("""COMPUTED_VALUE"""),6262938.0)</f>
        <v>6262938</v>
      </c>
    </row>
    <row r="1656">
      <c r="A1656" s="3">
        <f>IFERROR(__xludf.DUMMYFUNCTION("""COMPUTED_VALUE"""),42759.66666666667)</f>
        <v>42759.66667</v>
      </c>
      <c r="B1656" s="2">
        <f>IFERROR(__xludf.DUMMYFUNCTION("""COMPUTED_VALUE"""),16.67)</f>
        <v>16.67</v>
      </c>
      <c r="C1656" s="2">
        <f>IFERROR(__xludf.DUMMYFUNCTION("""COMPUTED_VALUE"""),16.99)</f>
        <v>16.99</v>
      </c>
      <c r="D1656" s="2">
        <f>IFERROR(__xludf.DUMMYFUNCTION("""COMPUTED_VALUE"""),16.64)</f>
        <v>16.64</v>
      </c>
      <c r="E1656" s="2">
        <f>IFERROR(__xludf.DUMMYFUNCTION("""COMPUTED_VALUE"""),16.97)</f>
        <v>16.97</v>
      </c>
      <c r="F1656" s="2">
        <f>IFERROR(__xludf.DUMMYFUNCTION("""COMPUTED_VALUE"""),4965451.0)</f>
        <v>4965451</v>
      </c>
    </row>
    <row r="1657">
      <c r="A1657" s="3">
        <f>IFERROR(__xludf.DUMMYFUNCTION("""COMPUTED_VALUE"""),42760.66666666667)</f>
        <v>42760.66667</v>
      </c>
      <c r="B1657" s="2">
        <f>IFERROR(__xludf.DUMMYFUNCTION("""COMPUTED_VALUE"""),17.15)</f>
        <v>17.15</v>
      </c>
      <c r="C1657" s="2">
        <f>IFERROR(__xludf.DUMMYFUNCTION("""COMPUTED_VALUE"""),17.23)</f>
        <v>17.23</v>
      </c>
      <c r="D1657" s="2">
        <f>IFERROR(__xludf.DUMMYFUNCTION("""COMPUTED_VALUE"""),16.79)</f>
        <v>16.79</v>
      </c>
      <c r="E1657" s="2">
        <f>IFERROR(__xludf.DUMMYFUNCTION("""COMPUTED_VALUE"""),16.96)</f>
        <v>16.96</v>
      </c>
      <c r="F1657" s="2">
        <f>IFERROR(__xludf.DUMMYFUNCTION("""COMPUTED_VALUE"""),5146361.0)</f>
        <v>5146361</v>
      </c>
    </row>
    <row r="1658">
      <c r="A1658" s="3">
        <f>IFERROR(__xludf.DUMMYFUNCTION("""COMPUTED_VALUE"""),42761.66666666667)</f>
        <v>42761.66667</v>
      </c>
      <c r="B1658" s="2">
        <f>IFERROR(__xludf.DUMMYFUNCTION("""COMPUTED_VALUE"""),16.95)</f>
        <v>16.95</v>
      </c>
      <c r="C1658" s="2">
        <f>IFERROR(__xludf.DUMMYFUNCTION("""COMPUTED_VALUE"""),17.05)</f>
        <v>17.05</v>
      </c>
      <c r="D1658" s="2">
        <f>IFERROR(__xludf.DUMMYFUNCTION("""COMPUTED_VALUE"""),16.72)</f>
        <v>16.72</v>
      </c>
      <c r="E1658" s="2">
        <f>IFERROR(__xludf.DUMMYFUNCTION("""COMPUTED_VALUE"""),16.83)</f>
        <v>16.83</v>
      </c>
      <c r="F1658" s="2">
        <f>IFERROR(__xludf.DUMMYFUNCTION("""COMPUTED_VALUE"""),3152123.0)</f>
        <v>3152123</v>
      </c>
    </row>
    <row r="1659">
      <c r="A1659" s="3">
        <f>IFERROR(__xludf.DUMMYFUNCTION("""COMPUTED_VALUE"""),42762.66666666667)</f>
        <v>42762.66667</v>
      </c>
      <c r="B1659" s="2">
        <f>IFERROR(__xludf.DUMMYFUNCTION("""COMPUTED_VALUE"""),16.76)</f>
        <v>16.76</v>
      </c>
      <c r="C1659" s="2">
        <f>IFERROR(__xludf.DUMMYFUNCTION("""COMPUTED_VALUE"""),16.87)</f>
        <v>16.87</v>
      </c>
      <c r="D1659" s="2">
        <f>IFERROR(__xludf.DUMMYFUNCTION("""COMPUTED_VALUE"""),16.57)</f>
        <v>16.57</v>
      </c>
      <c r="E1659" s="2">
        <f>IFERROR(__xludf.DUMMYFUNCTION("""COMPUTED_VALUE"""),16.86)</f>
        <v>16.86</v>
      </c>
      <c r="F1659" s="2">
        <f>IFERROR(__xludf.DUMMYFUNCTION("""COMPUTED_VALUE"""),3166336.0)</f>
        <v>3166336</v>
      </c>
    </row>
    <row r="1660">
      <c r="A1660" s="3">
        <f>IFERROR(__xludf.DUMMYFUNCTION("""COMPUTED_VALUE"""),42765.66666666667)</f>
        <v>42765.66667</v>
      </c>
      <c r="B1660" s="2">
        <f>IFERROR(__xludf.DUMMYFUNCTION("""COMPUTED_VALUE"""),16.84)</f>
        <v>16.84</v>
      </c>
      <c r="C1660" s="2">
        <f>IFERROR(__xludf.DUMMYFUNCTION("""COMPUTED_VALUE"""),17.02)</f>
        <v>17.02</v>
      </c>
      <c r="D1660" s="2">
        <f>IFERROR(__xludf.DUMMYFUNCTION("""COMPUTED_VALUE"""),16.47)</f>
        <v>16.47</v>
      </c>
      <c r="E1660" s="2">
        <f>IFERROR(__xludf.DUMMYFUNCTION("""COMPUTED_VALUE"""),16.71)</f>
        <v>16.71</v>
      </c>
      <c r="F1660" s="2">
        <f>IFERROR(__xludf.DUMMYFUNCTION("""COMPUTED_VALUE"""),3801074.0)</f>
        <v>3801074</v>
      </c>
    </row>
    <row r="1661">
      <c r="A1661" s="3">
        <f>IFERROR(__xludf.DUMMYFUNCTION("""COMPUTED_VALUE"""),42766.66666666667)</f>
        <v>42766.66667</v>
      </c>
      <c r="B1661" s="2">
        <f>IFERROR(__xludf.DUMMYFUNCTION("""COMPUTED_VALUE"""),16.62)</f>
        <v>16.62</v>
      </c>
      <c r="C1661" s="2">
        <f>IFERROR(__xludf.DUMMYFUNCTION("""COMPUTED_VALUE"""),17.06)</f>
        <v>17.06</v>
      </c>
      <c r="D1661" s="2">
        <f>IFERROR(__xludf.DUMMYFUNCTION("""COMPUTED_VALUE"""),16.51)</f>
        <v>16.51</v>
      </c>
      <c r="E1661" s="2">
        <f>IFERROR(__xludf.DUMMYFUNCTION("""COMPUTED_VALUE"""),16.8)</f>
        <v>16.8</v>
      </c>
      <c r="F1661" s="2">
        <f>IFERROR(__xludf.DUMMYFUNCTION("""COMPUTED_VALUE"""),4116104.0)</f>
        <v>4116104</v>
      </c>
    </row>
    <row r="1662">
      <c r="A1662" s="3">
        <f>IFERROR(__xludf.DUMMYFUNCTION("""COMPUTED_VALUE"""),42767.66666666667)</f>
        <v>42767.66667</v>
      </c>
      <c r="B1662" s="2">
        <f>IFERROR(__xludf.DUMMYFUNCTION("""COMPUTED_VALUE"""),16.87)</f>
        <v>16.87</v>
      </c>
      <c r="C1662" s="2">
        <f>IFERROR(__xludf.DUMMYFUNCTION("""COMPUTED_VALUE"""),16.88)</f>
        <v>16.88</v>
      </c>
      <c r="D1662" s="2">
        <f>IFERROR(__xludf.DUMMYFUNCTION("""COMPUTED_VALUE"""),16.6)</f>
        <v>16.6</v>
      </c>
      <c r="E1662" s="2">
        <f>IFERROR(__xludf.DUMMYFUNCTION("""COMPUTED_VALUE"""),16.62)</f>
        <v>16.62</v>
      </c>
      <c r="F1662" s="2">
        <f>IFERROR(__xludf.DUMMYFUNCTION("""COMPUTED_VALUE"""),3958829.0)</f>
        <v>3958829</v>
      </c>
    </row>
    <row r="1663">
      <c r="A1663" s="3">
        <f>IFERROR(__xludf.DUMMYFUNCTION("""COMPUTED_VALUE"""),42768.66666666667)</f>
        <v>42768.66667</v>
      </c>
      <c r="B1663" s="2">
        <f>IFERROR(__xludf.DUMMYFUNCTION("""COMPUTED_VALUE"""),16.56)</f>
        <v>16.56</v>
      </c>
      <c r="C1663" s="2">
        <f>IFERROR(__xludf.DUMMYFUNCTION("""COMPUTED_VALUE"""),16.83)</f>
        <v>16.83</v>
      </c>
      <c r="D1663" s="2">
        <f>IFERROR(__xludf.DUMMYFUNCTION("""COMPUTED_VALUE"""),16.51)</f>
        <v>16.51</v>
      </c>
      <c r="E1663" s="2">
        <f>IFERROR(__xludf.DUMMYFUNCTION("""COMPUTED_VALUE"""),16.77)</f>
        <v>16.77</v>
      </c>
      <c r="F1663" s="2">
        <f>IFERROR(__xludf.DUMMYFUNCTION("""COMPUTED_VALUE"""),2499775.0)</f>
        <v>2499775</v>
      </c>
    </row>
    <row r="1664">
      <c r="A1664" s="3">
        <f>IFERROR(__xludf.DUMMYFUNCTION("""COMPUTED_VALUE"""),42769.66666666667)</f>
        <v>42769.66667</v>
      </c>
      <c r="B1664" s="2">
        <f>IFERROR(__xludf.DUMMYFUNCTION("""COMPUTED_VALUE"""),16.79)</f>
        <v>16.79</v>
      </c>
      <c r="C1664" s="2">
        <f>IFERROR(__xludf.DUMMYFUNCTION("""COMPUTED_VALUE"""),16.81)</f>
        <v>16.81</v>
      </c>
      <c r="D1664" s="2">
        <f>IFERROR(__xludf.DUMMYFUNCTION("""COMPUTED_VALUE"""),16.65)</f>
        <v>16.65</v>
      </c>
      <c r="E1664" s="2">
        <f>IFERROR(__xludf.DUMMYFUNCTION("""COMPUTED_VALUE"""),16.76)</f>
        <v>16.76</v>
      </c>
      <c r="F1664" s="2">
        <f>IFERROR(__xludf.DUMMYFUNCTION("""COMPUTED_VALUE"""),2186723.0)</f>
        <v>2186723</v>
      </c>
    </row>
    <row r="1665">
      <c r="A1665" s="3">
        <f>IFERROR(__xludf.DUMMYFUNCTION("""COMPUTED_VALUE"""),42772.66666666667)</f>
        <v>42772.66667</v>
      </c>
      <c r="B1665" s="2">
        <f>IFERROR(__xludf.DUMMYFUNCTION("""COMPUTED_VALUE"""),16.73)</f>
        <v>16.73</v>
      </c>
      <c r="C1665" s="2">
        <f>IFERROR(__xludf.DUMMYFUNCTION("""COMPUTED_VALUE"""),17.19)</f>
        <v>17.19</v>
      </c>
      <c r="D1665" s="2">
        <f>IFERROR(__xludf.DUMMYFUNCTION("""COMPUTED_VALUE"""),16.71)</f>
        <v>16.71</v>
      </c>
      <c r="E1665" s="2">
        <f>IFERROR(__xludf.DUMMYFUNCTION("""COMPUTED_VALUE"""),17.18)</f>
        <v>17.18</v>
      </c>
      <c r="F1665" s="2">
        <f>IFERROR(__xludf.DUMMYFUNCTION("""COMPUTED_VALUE"""),3562517.0)</f>
        <v>3562517</v>
      </c>
    </row>
    <row r="1666">
      <c r="A1666" s="3">
        <f>IFERROR(__xludf.DUMMYFUNCTION("""COMPUTED_VALUE"""),42773.66666666667)</f>
        <v>42773.66667</v>
      </c>
      <c r="B1666" s="2">
        <f>IFERROR(__xludf.DUMMYFUNCTION("""COMPUTED_VALUE"""),17.21)</f>
        <v>17.21</v>
      </c>
      <c r="C1666" s="2">
        <f>IFERROR(__xludf.DUMMYFUNCTION("""COMPUTED_VALUE"""),17.33)</f>
        <v>17.33</v>
      </c>
      <c r="D1666" s="2">
        <f>IFERROR(__xludf.DUMMYFUNCTION("""COMPUTED_VALUE"""),17.09)</f>
        <v>17.09</v>
      </c>
      <c r="E1666" s="2">
        <f>IFERROR(__xludf.DUMMYFUNCTION("""COMPUTED_VALUE"""),17.17)</f>
        <v>17.17</v>
      </c>
      <c r="F1666" s="2">
        <f>IFERROR(__xludf.DUMMYFUNCTION("""COMPUTED_VALUE"""),4244775.0)</f>
        <v>4244775</v>
      </c>
    </row>
    <row r="1667">
      <c r="A1667" s="3">
        <f>IFERROR(__xludf.DUMMYFUNCTION("""COMPUTED_VALUE"""),42774.66666666667)</f>
        <v>42774.66667</v>
      </c>
      <c r="B1667" s="2">
        <f>IFERROR(__xludf.DUMMYFUNCTION("""COMPUTED_VALUE"""),17.16)</f>
        <v>17.16</v>
      </c>
      <c r="C1667" s="2">
        <f>IFERROR(__xludf.DUMMYFUNCTION("""COMPUTED_VALUE"""),17.56)</f>
        <v>17.56</v>
      </c>
      <c r="D1667" s="2">
        <f>IFERROR(__xludf.DUMMYFUNCTION("""COMPUTED_VALUE"""),17.08)</f>
        <v>17.08</v>
      </c>
      <c r="E1667" s="2">
        <f>IFERROR(__xludf.DUMMYFUNCTION("""COMPUTED_VALUE"""),17.47)</f>
        <v>17.47</v>
      </c>
      <c r="F1667" s="2">
        <f>IFERROR(__xludf.DUMMYFUNCTION("""COMPUTED_VALUE"""),3933014.0)</f>
        <v>3933014</v>
      </c>
    </row>
    <row r="1668">
      <c r="A1668" s="3">
        <f>IFERROR(__xludf.DUMMYFUNCTION("""COMPUTED_VALUE"""),42775.66666666667)</f>
        <v>42775.66667</v>
      </c>
      <c r="B1668" s="2">
        <f>IFERROR(__xludf.DUMMYFUNCTION("""COMPUTED_VALUE"""),17.75)</f>
        <v>17.75</v>
      </c>
      <c r="C1668" s="2">
        <f>IFERROR(__xludf.DUMMYFUNCTION("""COMPUTED_VALUE"""),18.08)</f>
        <v>18.08</v>
      </c>
      <c r="D1668" s="2">
        <f>IFERROR(__xludf.DUMMYFUNCTION("""COMPUTED_VALUE"""),17.74)</f>
        <v>17.74</v>
      </c>
      <c r="E1668" s="2">
        <f>IFERROR(__xludf.DUMMYFUNCTION("""COMPUTED_VALUE"""),17.95)</f>
        <v>17.95</v>
      </c>
      <c r="F1668" s="2">
        <f>IFERROR(__xludf.DUMMYFUNCTION("""COMPUTED_VALUE"""),7820222.0)</f>
        <v>7820222</v>
      </c>
    </row>
    <row r="1669">
      <c r="A1669" s="3">
        <f>IFERROR(__xludf.DUMMYFUNCTION("""COMPUTED_VALUE"""),42776.66666666667)</f>
        <v>42776.66667</v>
      </c>
      <c r="B1669" s="2">
        <f>IFERROR(__xludf.DUMMYFUNCTION("""COMPUTED_VALUE"""),17.99)</f>
        <v>17.99</v>
      </c>
      <c r="C1669" s="2">
        <f>IFERROR(__xludf.DUMMYFUNCTION("""COMPUTED_VALUE"""),18.06)</f>
        <v>18.06</v>
      </c>
      <c r="D1669" s="2">
        <f>IFERROR(__xludf.DUMMYFUNCTION("""COMPUTED_VALUE"""),17.74)</f>
        <v>17.74</v>
      </c>
      <c r="E1669" s="2">
        <f>IFERROR(__xludf.DUMMYFUNCTION("""COMPUTED_VALUE"""),17.95)</f>
        <v>17.95</v>
      </c>
      <c r="F1669" s="2">
        <f>IFERROR(__xludf.DUMMYFUNCTION("""COMPUTED_VALUE"""),3619739.0)</f>
        <v>3619739</v>
      </c>
    </row>
    <row r="1670">
      <c r="A1670" s="3">
        <f>IFERROR(__xludf.DUMMYFUNCTION("""COMPUTED_VALUE"""),42779.66666666667)</f>
        <v>42779.66667</v>
      </c>
      <c r="B1670" s="2">
        <f>IFERROR(__xludf.DUMMYFUNCTION("""COMPUTED_VALUE"""),18.05)</f>
        <v>18.05</v>
      </c>
      <c r="C1670" s="2">
        <f>IFERROR(__xludf.DUMMYFUNCTION("""COMPUTED_VALUE"""),18.72)</f>
        <v>18.72</v>
      </c>
      <c r="D1670" s="2">
        <f>IFERROR(__xludf.DUMMYFUNCTION("""COMPUTED_VALUE"""),18.03)</f>
        <v>18.03</v>
      </c>
      <c r="E1670" s="2">
        <f>IFERROR(__xludf.DUMMYFUNCTION("""COMPUTED_VALUE"""),18.71)</f>
        <v>18.71</v>
      </c>
      <c r="F1670" s="2">
        <f>IFERROR(__xludf.DUMMYFUNCTION("""COMPUTED_VALUE"""),7029605.0)</f>
        <v>7029605</v>
      </c>
    </row>
    <row r="1671">
      <c r="A1671" s="3">
        <f>IFERROR(__xludf.DUMMYFUNCTION("""COMPUTED_VALUE"""),42780.66666666667)</f>
        <v>42780.66667</v>
      </c>
      <c r="B1671" s="2">
        <f>IFERROR(__xludf.DUMMYFUNCTION("""COMPUTED_VALUE"""),18.6)</f>
        <v>18.6</v>
      </c>
      <c r="C1671" s="2">
        <f>IFERROR(__xludf.DUMMYFUNCTION("""COMPUTED_VALUE"""),19.16)</f>
        <v>19.16</v>
      </c>
      <c r="D1671" s="2">
        <f>IFERROR(__xludf.DUMMYFUNCTION("""COMPUTED_VALUE"""),18.57)</f>
        <v>18.57</v>
      </c>
      <c r="E1671" s="2">
        <f>IFERROR(__xludf.DUMMYFUNCTION("""COMPUTED_VALUE"""),18.73)</f>
        <v>18.73</v>
      </c>
      <c r="F1671" s="2">
        <f>IFERROR(__xludf.DUMMYFUNCTION("""COMPUTED_VALUE"""),7345224.0)</f>
        <v>7345224</v>
      </c>
    </row>
    <row r="1672">
      <c r="A1672" s="3">
        <f>IFERROR(__xludf.DUMMYFUNCTION("""COMPUTED_VALUE"""),42781.66666666667)</f>
        <v>42781.66667</v>
      </c>
      <c r="B1672" s="2">
        <f>IFERROR(__xludf.DUMMYFUNCTION("""COMPUTED_VALUE"""),18.67)</f>
        <v>18.67</v>
      </c>
      <c r="C1672" s="2">
        <f>IFERROR(__xludf.DUMMYFUNCTION("""COMPUTED_VALUE"""),18.82)</f>
        <v>18.82</v>
      </c>
      <c r="D1672" s="2">
        <f>IFERROR(__xludf.DUMMYFUNCTION("""COMPUTED_VALUE"""),18.43)</f>
        <v>18.43</v>
      </c>
      <c r="E1672" s="2">
        <f>IFERROR(__xludf.DUMMYFUNCTION("""COMPUTED_VALUE"""),18.65)</f>
        <v>18.65</v>
      </c>
      <c r="F1672" s="2">
        <f>IFERROR(__xludf.DUMMYFUNCTION("""COMPUTED_VALUE"""),4947856.0)</f>
        <v>4947856</v>
      </c>
    </row>
    <row r="1673">
      <c r="A1673" s="3">
        <f>IFERROR(__xludf.DUMMYFUNCTION("""COMPUTED_VALUE"""),42782.66666666667)</f>
        <v>42782.66667</v>
      </c>
      <c r="B1673" s="2">
        <f>IFERROR(__xludf.DUMMYFUNCTION("""COMPUTED_VALUE"""),18.51)</f>
        <v>18.51</v>
      </c>
      <c r="C1673" s="2">
        <f>IFERROR(__xludf.DUMMYFUNCTION("""COMPUTED_VALUE"""),18.67)</f>
        <v>18.67</v>
      </c>
      <c r="D1673" s="2">
        <f>IFERROR(__xludf.DUMMYFUNCTION("""COMPUTED_VALUE"""),17.9)</f>
        <v>17.9</v>
      </c>
      <c r="E1673" s="2">
        <f>IFERROR(__xludf.DUMMYFUNCTION("""COMPUTED_VALUE"""),17.93)</f>
        <v>17.93</v>
      </c>
      <c r="F1673" s="2">
        <f>IFERROR(__xludf.DUMMYFUNCTION("""COMPUTED_VALUE"""),7077322.0)</f>
        <v>7077322</v>
      </c>
    </row>
    <row r="1674">
      <c r="A1674" s="3">
        <f>IFERROR(__xludf.DUMMYFUNCTION("""COMPUTED_VALUE"""),42783.66666666667)</f>
        <v>42783.66667</v>
      </c>
      <c r="B1674" s="2">
        <f>IFERROR(__xludf.DUMMYFUNCTION("""COMPUTED_VALUE"""),17.72)</f>
        <v>17.72</v>
      </c>
      <c r="C1674" s="2">
        <f>IFERROR(__xludf.DUMMYFUNCTION("""COMPUTED_VALUE"""),18.19)</f>
        <v>18.19</v>
      </c>
      <c r="D1674" s="2">
        <f>IFERROR(__xludf.DUMMYFUNCTION("""COMPUTED_VALUE"""),17.61)</f>
        <v>17.61</v>
      </c>
      <c r="E1674" s="2">
        <f>IFERROR(__xludf.DUMMYFUNCTION("""COMPUTED_VALUE"""),18.15)</f>
        <v>18.15</v>
      </c>
      <c r="F1674" s="2">
        <f>IFERROR(__xludf.DUMMYFUNCTION("""COMPUTED_VALUE"""),6257149.0)</f>
        <v>6257149</v>
      </c>
    </row>
    <row r="1675">
      <c r="A1675" s="3">
        <f>IFERROR(__xludf.DUMMYFUNCTION("""COMPUTED_VALUE"""),42787.66666666667)</f>
        <v>42787.66667</v>
      </c>
      <c r="B1675" s="2">
        <f>IFERROR(__xludf.DUMMYFUNCTION("""COMPUTED_VALUE"""),18.36)</f>
        <v>18.36</v>
      </c>
      <c r="C1675" s="2">
        <f>IFERROR(__xludf.DUMMYFUNCTION("""COMPUTED_VALUE"""),18.76)</f>
        <v>18.76</v>
      </c>
      <c r="D1675" s="2">
        <f>IFERROR(__xludf.DUMMYFUNCTION("""COMPUTED_VALUE"""),18.27)</f>
        <v>18.27</v>
      </c>
      <c r="E1675" s="2">
        <f>IFERROR(__xludf.DUMMYFUNCTION("""COMPUTED_VALUE"""),18.49)</f>
        <v>18.49</v>
      </c>
      <c r="F1675" s="2">
        <f>IFERROR(__xludf.DUMMYFUNCTION("""COMPUTED_VALUE"""),5676747.0)</f>
        <v>5676747</v>
      </c>
    </row>
    <row r="1676">
      <c r="A1676" s="3">
        <f>IFERROR(__xludf.DUMMYFUNCTION("""COMPUTED_VALUE"""),42788.66666666667)</f>
        <v>42788.66667</v>
      </c>
      <c r="B1676" s="2">
        <f>IFERROR(__xludf.DUMMYFUNCTION("""COMPUTED_VALUE"""),18.69)</f>
        <v>18.69</v>
      </c>
      <c r="C1676" s="2">
        <f>IFERROR(__xludf.DUMMYFUNCTION("""COMPUTED_VALUE"""),18.9)</f>
        <v>18.9</v>
      </c>
      <c r="D1676" s="2">
        <f>IFERROR(__xludf.DUMMYFUNCTION("""COMPUTED_VALUE"""),18.17)</f>
        <v>18.17</v>
      </c>
      <c r="E1676" s="2">
        <f>IFERROR(__xludf.DUMMYFUNCTION("""COMPUTED_VALUE"""),18.23)</f>
        <v>18.23</v>
      </c>
      <c r="F1676" s="2">
        <f>IFERROR(__xludf.DUMMYFUNCTION("""COMPUTED_VALUE"""),8754975.0)</f>
        <v>8754975</v>
      </c>
    </row>
    <row r="1677">
      <c r="A1677" s="3">
        <f>IFERROR(__xludf.DUMMYFUNCTION("""COMPUTED_VALUE"""),42789.66666666667)</f>
        <v>42789.66667</v>
      </c>
      <c r="B1677" s="2">
        <f>IFERROR(__xludf.DUMMYFUNCTION("""COMPUTED_VALUE"""),17.6)</f>
        <v>17.6</v>
      </c>
      <c r="C1677" s="2">
        <f>IFERROR(__xludf.DUMMYFUNCTION("""COMPUTED_VALUE"""),17.64)</f>
        <v>17.64</v>
      </c>
      <c r="D1677" s="2">
        <f>IFERROR(__xludf.DUMMYFUNCTION("""COMPUTED_VALUE"""),17.04)</f>
        <v>17.04</v>
      </c>
      <c r="E1677" s="2">
        <f>IFERROR(__xludf.DUMMYFUNCTION("""COMPUTED_VALUE"""),17.07)</f>
        <v>17.07</v>
      </c>
      <c r="F1677" s="2">
        <f>IFERROR(__xludf.DUMMYFUNCTION("""COMPUTED_VALUE"""),1.4915249E7)</f>
        <v>14915249</v>
      </c>
    </row>
    <row r="1678">
      <c r="A1678" s="3">
        <f>IFERROR(__xludf.DUMMYFUNCTION("""COMPUTED_VALUE"""),42790.66666666667)</f>
        <v>42790.66667</v>
      </c>
      <c r="B1678" s="2">
        <f>IFERROR(__xludf.DUMMYFUNCTION("""COMPUTED_VALUE"""),16.84)</f>
        <v>16.84</v>
      </c>
      <c r="C1678" s="2">
        <f>IFERROR(__xludf.DUMMYFUNCTION("""COMPUTED_VALUE"""),17.22)</f>
        <v>17.22</v>
      </c>
      <c r="D1678" s="2">
        <f>IFERROR(__xludf.DUMMYFUNCTION("""COMPUTED_VALUE"""),16.68)</f>
        <v>16.68</v>
      </c>
      <c r="E1678" s="2">
        <f>IFERROR(__xludf.DUMMYFUNCTION("""COMPUTED_VALUE"""),17.13)</f>
        <v>17.13</v>
      </c>
      <c r="F1678" s="2">
        <f>IFERROR(__xludf.DUMMYFUNCTION("""COMPUTED_VALUE"""),8171626.0)</f>
        <v>8171626</v>
      </c>
    </row>
    <row r="1679">
      <c r="A1679" s="3">
        <f>IFERROR(__xludf.DUMMYFUNCTION("""COMPUTED_VALUE"""),42793.66666666667)</f>
        <v>42793.66667</v>
      </c>
      <c r="B1679" s="2">
        <f>IFERROR(__xludf.DUMMYFUNCTION("""COMPUTED_VALUE"""),16.54)</f>
        <v>16.54</v>
      </c>
      <c r="C1679" s="2">
        <f>IFERROR(__xludf.DUMMYFUNCTION("""COMPUTED_VALUE"""),16.56)</f>
        <v>16.56</v>
      </c>
      <c r="D1679" s="2">
        <f>IFERROR(__xludf.DUMMYFUNCTION("""COMPUTED_VALUE"""),16.13)</f>
        <v>16.13</v>
      </c>
      <c r="E1679" s="2">
        <f>IFERROR(__xludf.DUMMYFUNCTION("""COMPUTED_VALUE"""),16.42)</f>
        <v>16.42</v>
      </c>
      <c r="F1679" s="2">
        <f>IFERROR(__xludf.DUMMYFUNCTION("""COMPUTED_VALUE"""),1.146081E7)</f>
        <v>11460810</v>
      </c>
    </row>
    <row r="1680">
      <c r="A1680" s="3">
        <f>IFERROR(__xludf.DUMMYFUNCTION("""COMPUTED_VALUE"""),42794.66666666667)</f>
        <v>42794.66667</v>
      </c>
      <c r="B1680" s="2">
        <f>IFERROR(__xludf.DUMMYFUNCTION("""COMPUTED_VALUE"""),16.28)</f>
        <v>16.28</v>
      </c>
      <c r="C1680" s="2">
        <f>IFERROR(__xludf.DUMMYFUNCTION("""COMPUTED_VALUE"""),16.73)</f>
        <v>16.73</v>
      </c>
      <c r="D1680" s="2">
        <f>IFERROR(__xludf.DUMMYFUNCTION("""COMPUTED_VALUE"""),16.26)</f>
        <v>16.26</v>
      </c>
      <c r="E1680" s="2">
        <f>IFERROR(__xludf.DUMMYFUNCTION("""COMPUTED_VALUE"""),16.67)</f>
        <v>16.67</v>
      </c>
      <c r="F1680" s="2">
        <f>IFERROR(__xludf.DUMMYFUNCTION("""COMPUTED_VALUE"""),6078145.0)</f>
        <v>6078145</v>
      </c>
    </row>
    <row r="1681">
      <c r="A1681" s="3">
        <f>IFERROR(__xludf.DUMMYFUNCTION("""COMPUTED_VALUE"""),42795.66666666667)</f>
        <v>42795.66667</v>
      </c>
      <c r="B1681" s="2">
        <f>IFERROR(__xludf.DUMMYFUNCTION("""COMPUTED_VALUE"""),16.95)</f>
        <v>16.95</v>
      </c>
      <c r="C1681" s="2">
        <f>IFERROR(__xludf.DUMMYFUNCTION("""COMPUTED_VALUE"""),16.99)</f>
        <v>16.99</v>
      </c>
      <c r="D1681" s="2">
        <f>IFERROR(__xludf.DUMMYFUNCTION("""COMPUTED_VALUE"""),16.61)</f>
        <v>16.61</v>
      </c>
      <c r="E1681" s="2">
        <f>IFERROR(__xludf.DUMMYFUNCTION("""COMPUTED_VALUE"""),16.67)</f>
        <v>16.67</v>
      </c>
      <c r="F1681" s="2">
        <f>IFERROR(__xludf.DUMMYFUNCTION("""COMPUTED_VALUE"""),4809488.0)</f>
        <v>4809488</v>
      </c>
    </row>
    <row r="1682">
      <c r="A1682" s="3">
        <f>IFERROR(__xludf.DUMMYFUNCTION("""COMPUTED_VALUE"""),42796.66666666667)</f>
        <v>42796.66667</v>
      </c>
      <c r="B1682" s="2">
        <f>IFERROR(__xludf.DUMMYFUNCTION("""COMPUTED_VALUE"""),16.65)</f>
        <v>16.65</v>
      </c>
      <c r="C1682" s="2">
        <f>IFERROR(__xludf.DUMMYFUNCTION("""COMPUTED_VALUE"""),16.89)</f>
        <v>16.89</v>
      </c>
      <c r="D1682" s="2">
        <f>IFERROR(__xludf.DUMMYFUNCTION("""COMPUTED_VALUE"""),16.55)</f>
        <v>16.55</v>
      </c>
      <c r="E1682" s="2">
        <f>IFERROR(__xludf.DUMMYFUNCTION("""COMPUTED_VALUE"""),16.7)</f>
        <v>16.7</v>
      </c>
      <c r="F1682" s="2">
        <f>IFERROR(__xludf.DUMMYFUNCTION("""COMPUTED_VALUE"""),3351833.0)</f>
        <v>3351833</v>
      </c>
    </row>
    <row r="1683">
      <c r="A1683" s="3">
        <f>IFERROR(__xludf.DUMMYFUNCTION("""COMPUTED_VALUE"""),42797.66666666667)</f>
        <v>42797.66667</v>
      </c>
      <c r="B1683" s="2">
        <f>IFERROR(__xludf.DUMMYFUNCTION("""COMPUTED_VALUE"""),16.72)</f>
        <v>16.72</v>
      </c>
      <c r="C1683" s="2">
        <f>IFERROR(__xludf.DUMMYFUNCTION("""COMPUTED_VALUE"""),16.79)</f>
        <v>16.79</v>
      </c>
      <c r="D1683" s="2">
        <f>IFERROR(__xludf.DUMMYFUNCTION("""COMPUTED_VALUE"""),16.6)</f>
        <v>16.6</v>
      </c>
      <c r="E1683" s="2">
        <f>IFERROR(__xludf.DUMMYFUNCTION("""COMPUTED_VALUE"""),16.77)</f>
        <v>16.77</v>
      </c>
      <c r="F1683" s="2">
        <f>IFERROR(__xludf.DUMMYFUNCTION("""COMPUTED_VALUE"""),2929234.0)</f>
        <v>2929234</v>
      </c>
    </row>
    <row r="1684">
      <c r="A1684" s="3">
        <f>IFERROR(__xludf.DUMMYFUNCTION("""COMPUTED_VALUE"""),42800.66666666667)</f>
        <v>42800.66667</v>
      </c>
      <c r="B1684" s="2">
        <f>IFERROR(__xludf.DUMMYFUNCTION("""COMPUTED_VALUE"""),16.53)</f>
        <v>16.53</v>
      </c>
      <c r="C1684" s="2">
        <f>IFERROR(__xludf.DUMMYFUNCTION("""COMPUTED_VALUE"""),16.78)</f>
        <v>16.78</v>
      </c>
      <c r="D1684" s="2">
        <f>IFERROR(__xludf.DUMMYFUNCTION("""COMPUTED_VALUE"""),16.5)</f>
        <v>16.5</v>
      </c>
      <c r="E1684" s="2">
        <f>IFERROR(__xludf.DUMMYFUNCTION("""COMPUTED_VALUE"""),16.75)</f>
        <v>16.75</v>
      </c>
      <c r="F1684" s="2">
        <f>IFERROR(__xludf.DUMMYFUNCTION("""COMPUTED_VALUE"""),3355500.0)</f>
        <v>3355500</v>
      </c>
    </row>
    <row r="1685">
      <c r="A1685" s="3">
        <f>IFERROR(__xludf.DUMMYFUNCTION("""COMPUTED_VALUE"""),42801.66666666667)</f>
        <v>42801.66667</v>
      </c>
      <c r="B1685" s="2">
        <f>IFERROR(__xludf.DUMMYFUNCTION("""COMPUTED_VALUE"""),16.79)</f>
        <v>16.79</v>
      </c>
      <c r="C1685" s="2">
        <f>IFERROR(__xludf.DUMMYFUNCTION("""COMPUTED_VALUE"""),16.93)</f>
        <v>16.93</v>
      </c>
      <c r="D1685" s="2">
        <f>IFERROR(__xludf.DUMMYFUNCTION("""COMPUTED_VALUE"""),16.55)</f>
        <v>16.55</v>
      </c>
      <c r="E1685" s="2">
        <f>IFERROR(__xludf.DUMMYFUNCTION("""COMPUTED_VALUE"""),16.57)</f>
        <v>16.57</v>
      </c>
      <c r="F1685" s="2">
        <f>IFERROR(__xludf.DUMMYFUNCTION("""COMPUTED_VALUE"""),3459470.0)</f>
        <v>3459470</v>
      </c>
    </row>
    <row r="1686">
      <c r="A1686" s="3">
        <f>IFERROR(__xludf.DUMMYFUNCTION("""COMPUTED_VALUE"""),42802.66666666667)</f>
        <v>42802.66667</v>
      </c>
      <c r="B1686" s="2">
        <f>IFERROR(__xludf.DUMMYFUNCTION("""COMPUTED_VALUE"""),16.47)</f>
        <v>16.47</v>
      </c>
      <c r="C1686" s="2">
        <f>IFERROR(__xludf.DUMMYFUNCTION("""COMPUTED_VALUE"""),16.67)</f>
        <v>16.67</v>
      </c>
      <c r="D1686" s="2">
        <f>IFERROR(__xludf.DUMMYFUNCTION("""COMPUTED_VALUE"""),16.35)</f>
        <v>16.35</v>
      </c>
      <c r="E1686" s="2">
        <f>IFERROR(__xludf.DUMMYFUNCTION("""COMPUTED_VALUE"""),16.46)</f>
        <v>16.46</v>
      </c>
      <c r="F1686" s="2">
        <f>IFERROR(__xludf.DUMMYFUNCTION("""COMPUTED_VALUE"""),3728649.0)</f>
        <v>3728649</v>
      </c>
    </row>
    <row r="1687">
      <c r="A1687" s="3">
        <f>IFERROR(__xludf.DUMMYFUNCTION("""COMPUTED_VALUE"""),42803.66666666667)</f>
        <v>42803.66667</v>
      </c>
      <c r="B1687" s="2">
        <f>IFERROR(__xludf.DUMMYFUNCTION("""COMPUTED_VALUE"""),16.51)</f>
        <v>16.51</v>
      </c>
      <c r="C1687" s="2">
        <f>IFERROR(__xludf.DUMMYFUNCTION("""COMPUTED_VALUE"""),16.58)</f>
        <v>16.58</v>
      </c>
      <c r="D1687" s="2">
        <f>IFERROR(__xludf.DUMMYFUNCTION("""COMPUTED_VALUE"""),16.2)</f>
        <v>16.2</v>
      </c>
      <c r="E1687" s="2">
        <f>IFERROR(__xludf.DUMMYFUNCTION("""COMPUTED_VALUE"""),16.33)</f>
        <v>16.33</v>
      </c>
      <c r="F1687" s="2">
        <f>IFERROR(__xludf.DUMMYFUNCTION("""COMPUTED_VALUE"""),3879293.0)</f>
        <v>3879293</v>
      </c>
    </row>
    <row r="1688">
      <c r="A1688" s="3">
        <f>IFERROR(__xludf.DUMMYFUNCTION("""COMPUTED_VALUE"""),42804.66666666667)</f>
        <v>42804.66667</v>
      </c>
      <c r="B1688" s="2">
        <f>IFERROR(__xludf.DUMMYFUNCTION("""COMPUTED_VALUE"""),16.41)</f>
        <v>16.41</v>
      </c>
      <c r="C1688" s="2">
        <f>IFERROR(__xludf.DUMMYFUNCTION("""COMPUTED_VALUE"""),16.43)</f>
        <v>16.43</v>
      </c>
      <c r="D1688" s="2">
        <f>IFERROR(__xludf.DUMMYFUNCTION("""COMPUTED_VALUE"""),16.2)</f>
        <v>16.2</v>
      </c>
      <c r="E1688" s="2">
        <f>IFERROR(__xludf.DUMMYFUNCTION("""COMPUTED_VALUE"""),16.25)</f>
        <v>16.25</v>
      </c>
      <c r="F1688" s="2">
        <f>IFERROR(__xludf.DUMMYFUNCTION("""COMPUTED_VALUE"""),3066272.0)</f>
        <v>3066272</v>
      </c>
    </row>
    <row r="1689">
      <c r="A1689" s="3">
        <f>IFERROR(__xludf.DUMMYFUNCTION("""COMPUTED_VALUE"""),42807.66666666667)</f>
        <v>42807.66667</v>
      </c>
      <c r="B1689" s="2">
        <f>IFERROR(__xludf.DUMMYFUNCTION("""COMPUTED_VALUE"""),16.29)</f>
        <v>16.29</v>
      </c>
      <c r="C1689" s="2">
        <f>IFERROR(__xludf.DUMMYFUNCTION("""COMPUTED_VALUE"""),16.46)</f>
        <v>16.46</v>
      </c>
      <c r="D1689" s="2">
        <f>IFERROR(__xludf.DUMMYFUNCTION("""COMPUTED_VALUE"""),16.19)</f>
        <v>16.19</v>
      </c>
      <c r="E1689" s="2">
        <f>IFERROR(__xludf.DUMMYFUNCTION("""COMPUTED_VALUE"""),16.41)</f>
        <v>16.41</v>
      </c>
      <c r="F1689" s="2">
        <f>IFERROR(__xludf.DUMMYFUNCTION("""COMPUTED_VALUE"""),3022625.0)</f>
        <v>3022625</v>
      </c>
    </row>
    <row r="1690">
      <c r="A1690" s="3">
        <f>IFERROR(__xludf.DUMMYFUNCTION("""COMPUTED_VALUE"""),42808.66666666667)</f>
        <v>42808.66667</v>
      </c>
      <c r="B1690" s="2">
        <f>IFERROR(__xludf.DUMMYFUNCTION("""COMPUTED_VALUE"""),16.41)</f>
        <v>16.41</v>
      </c>
      <c r="C1690" s="2">
        <f>IFERROR(__xludf.DUMMYFUNCTION("""COMPUTED_VALUE"""),17.21)</f>
        <v>17.21</v>
      </c>
      <c r="D1690" s="2">
        <f>IFERROR(__xludf.DUMMYFUNCTION("""COMPUTED_VALUE"""),16.4)</f>
        <v>16.4</v>
      </c>
      <c r="E1690" s="2">
        <f>IFERROR(__xludf.DUMMYFUNCTION("""COMPUTED_VALUE"""),17.2)</f>
        <v>17.2</v>
      </c>
      <c r="F1690" s="2">
        <f>IFERROR(__xludf.DUMMYFUNCTION("""COMPUTED_VALUE"""),7598446.0)</f>
        <v>7598446</v>
      </c>
    </row>
    <row r="1691">
      <c r="A1691" s="3">
        <f>IFERROR(__xludf.DUMMYFUNCTION("""COMPUTED_VALUE"""),42809.66666666667)</f>
        <v>42809.66667</v>
      </c>
      <c r="B1691" s="2">
        <f>IFERROR(__xludf.DUMMYFUNCTION("""COMPUTED_VALUE"""),17.13)</f>
        <v>17.13</v>
      </c>
      <c r="C1691" s="2">
        <f>IFERROR(__xludf.DUMMYFUNCTION("""COMPUTED_VALUE"""),17.4)</f>
        <v>17.4</v>
      </c>
      <c r="D1691" s="2">
        <f>IFERROR(__xludf.DUMMYFUNCTION("""COMPUTED_VALUE"""),16.95)</f>
        <v>16.95</v>
      </c>
      <c r="E1691" s="2">
        <f>IFERROR(__xludf.DUMMYFUNCTION("""COMPUTED_VALUE"""),17.05)</f>
        <v>17.05</v>
      </c>
      <c r="F1691" s="2">
        <f>IFERROR(__xludf.DUMMYFUNCTION("""COMPUTED_VALUE"""),5330806.0)</f>
        <v>5330806</v>
      </c>
    </row>
    <row r="1692">
      <c r="A1692" s="3">
        <f>IFERROR(__xludf.DUMMYFUNCTION("""COMPUTED_VALUE"""),42810.66666666667)</f>
        <v>42810.66667</v>
      </c>
      <c r="B1692" s="2">
        <f>IFERROR(__xludf.DUMMYFUNCTION("""COMPUTED_VALUE"""),17.49)</f>
        <v>17.49</v>
      </c>
      <c r="C1692" s="2">
        <f>IFERROR(__xludf.DUMMYFUNCTION("""COMPUTED_VALUE"""),17.72)</f>
        <v>17.72</v>
      </c>
      <c r="D1692" s="2">
        <f>IFERROR(__xludf.DUMMYFUNCTION("""COMPUTED_VALUE"""),17.27)</f>
        <v>17.27</v>
      </c>
      <c r="E1692" s="2">
        <f>IFERROR(__xludf.DUMMYFUNCTION("""COMPUTED_VALUE"""),17.47)</f>
        <v>17.47</v>
      </c>
      <c r="F1692" s="2">
        <f>IFERROR(__xludf.DUMMYFUNCTION("""COMPUTED_VALUE"""),7132153.0)</f>
        <v>7132153</v>
      </c>
    </row>
    <row r="1693">
      <c r="A1693" s="3">
        <f>IFERROR(__xludf.DUMMYFUNCTION("""COMPUTED_VALUE"""),42811.66666666667)</f>
        <v>42811.66667</v>
      </c>
      <c r="B1693" s="2">
        <f>IFERROR(__xludf.DUMMYFUNCTION("""COMPUTED_VALUE"""),17.6)</f>
        <v>17.6</v>
      </c>
      <c r="C1693" s="2">
        <f>IFERROR(__xludf.DUMMYFUNCTION("""COMPUTED_VALUE"""),17.69)</f>
        <v>17.69</v>
      </c>
      <c r="D1693" s="2">
        <f>IFERROR(__xludf.DUMMYFUNCTION("""COMPUTED_VALUE"""),17.41)</f>
        <v>17.41</v>
      </c>
      <c r="E1693" s="2">
        <f>IFERROR(__xludf.DUMMYFUNCTION("""COMPUTED_VALUE"""),17.43)</f>
        <v>17.43</v>
      </c>
      <c r="F1693" s="2">
        <f>IFERROR(__xludf.DUMMYFUNCTION("""COMPUTED_VALUE"""),6497496.0)</f>
        <v>6497496</v>
      </c>
    </row>
    <row r="1694">
      <c r="A1694" s="3">
        <f>IFERROR(__xludf.DUMMYFUNCTION("""COMPUTED_VALUE"""),42814.66666666667)</f>
        <v>42814.66667</v>
      </c>
      <c r="B1694" s="2">
        <f>IFERROR(__xludf.DUMMYFUNCTION("""COMPUTED_VALUE"""),17.37)</f>
        <v>17.37</v>
      </c>
      <c r="C1694" s="2">
        <f>IFERROR(__xludf.DUMMYFUNCTION("""COMPUTED_VALUE"""),17.64)</f>
        <v>17.64</v>
      </c>
      <c r="D1694" s="2">
        <f>IFERROR(__xludf.DUMMYFUNCTION("""COMPUTED_VALUE"""),17.25)</f>
        <v>17.25</v>
      </c>
      <c r="E1694" s="2">
        <f>IFERROR(__xludf.DUMMYFUNCTION("""COMPUTED_VALUE"""),17.46)</f>
        <v>17.46</v>
      </c>
      <c r="F1694" s="2">
        <f>IFERROR(__xludf.DUMMYFUNCTION("""COMPUTED_VALUE"""),3614294.0)</f>
        <v>3614294</v>
      </c>
    </row>
    <row r="1695">
      <c r="A1695" s="3">
        <f>IFERROR(__xludf.DUMMYFUNCTION("""COMPUTED_VALUE"""),42815.66666666667)</f>
        <v>42815.66667</v>
      </c>
      <c r="B1695" s="2">
        <f>IFERROR(__xludf.DUMMYFUNCTION("""COMPUTED_VALUE"""),17.52)</f>
        <v>17.52</v>
      </c>
      <c r="C1695" s="2">
        <f>IFERROR(__xludf.DUMMYFUNCTION("""COMPUTED_VALUE"""),17.65)</f>
        <v>17.65</v>
      </c>
      <c r="D1695" s="2">
        <f>IFERROR(__xludf.DUMMYFUNCTION("""COMPUTED_VALUE"""),16.68)</f>
        <v>16.68</v>
      </c>
      <c r="E1695" s="2">
        <f>IFERROR(__xludf.DUMMYFUNCTION("""COMPUTED_VALUE"""),16.71)</f>
        <v>16.71</v>
      </c>
      <c r="F1695" s="2">
        <f>IFERROR(__xludf.DUMMYFUNCTION("""COMPUTED_VALUE"""),6908554.0)</f>
        <v>6908554</v>
      </c>
    </row>
    <row r="1696">
      <c r="A1696" s="3">
        <f>IFERROR(__xludf.DUMMYFUNCTION("""COMPUTED_VALUE"""),42816.66666666667)</f>
        <v>42816.66667</v>
      </c>
      <c r="B1696" s="2">
        <f>IFERROR(__xludf.DUMMYFUNCTION("""COMPUTED_VALUE"""),16.77)</f>
        <v>16.77</v>
      </c>
      <c r="C1696" s="2">
        <f>IFERROR(__xludf.DUMMYFUNCTION("""COMPUTED_VALUE"""),17.0)</f>
        <v>17</v>
      </c>
      <c r="D1696" s="2">
        <f>IFERROR(__xludf.DUMMYFUNCTION("""COMPUTED_VALUE"""),16.7)</f>
        <v>16.7</v>
      </c>
      <c r="E1696" s="2">
        <f>IFERROR(__xludf.DUMMYFUNCTION("""COMPUTED_VALUE"""),17.0)</f>
        <v>17</v>
      </c>
      <c r="F1696" s="2">
        <f>IFERROR(__xludf.DUMMYFUNCTION("""COMPUTED_VALUE"""),4059297.0)</f>
        <v>4059297</v>
      </c>
    </row>
    <row r="1697">
      <c r="A1697" s="3">
        <f>IFERROR(__xludf.DUMMYFUNCTION("""COMPUTED_VALUE"""),42817.66666666667)</f>
        <v>42817.66667</v>
      </c>
      <c r="B1697" s="2">
        <f>IFERROR(__xludf.DUMMYFUNCTION("""COMPUTED_VALUE"""),17.03)</f>
        <v>17.03</v>
      </c>
      <c r="C1697" s="2">
        <f>IFERROR(__xludf.DUMMYFUNCTION("""COMPUTED_VALUE"""),17.18)</f>
        <v>17.18</v>
      </c>
      <c r="D1697" s="2">
        <f>IFERROR(__xludf.DUMMYFUNCTION("""COMPUTED_VALUE"""),16.89)</f>
        <v>16.89</v>
      </c>
      <c r="E1697" s="2">
        <f>IFERROR(__xludf.DUMMYFUNCTION("""COMPUTED_VALUE"""),16.99)</f>
        <v>16.99</v>
      </c>
      <c r="F1697" s="2">
        <f>IFERROR(__xludf.DUMMYFUNCTION("""COMPUTED_VALUE"""),3320245.0)</f>
        <v>3320245</v>
      </c>
    </row>
    <row r="1698">
      <c r="A1698" s="3">
        <f>IFERROR(__xludf.DUMMYFUNCTION("""COMPUTED_VALUE"""),42818.66666666667)</f>
        <v>42818.66667</v>
      </c>
      <c r="B1698" s="2">
        <f>IFERROR(__xludf.DUMMYFUNCTION("""COMPUTED_VALUE"""),17.05)</f>
        <v>17.05</v>
      </c>
      <c r="C1698" s="2">
        <f>IFERROR(__xludf.DUMMYFUNCTION("""COMPUTED_VALUE"""),17.59)</f>
        <v>17.59</v>
      </c>
      <c r="D1698" s="2">
        <f>IFERROR(__xludf.DUMMYFUNCTION("""COMPUTED_VALUE"""),17.0)</f>
        <v>17</v>
      </c>
      <c r="E1698" s="2">
        <f>IFERROR(__xludf.DUMMYFUNCTION("""COMPUTED_VALUE"""),17.54)</f>
        <v>17.54</v>
      </c>
      <c r="F1698" s="2">
        <f>IFERROR(__xludf.DUMMYFUNCTION("""COMPUTED_VALUE"""),5647253.0)</f>
        <v>5647253</v>
      </c>
    </row>
    <row r="1699">
      <c r="A1699" s="3">
        <f>IFERROR(__xludf.DUMMYFUNCTION("""COMPUTED_VALUE"""),42821.66666666667)</f>
        <v>42821.66667</v>
      </c>
      <c r="B1699" s="2">
        <f>IFERROR(__xludf.DUMMYFUNCTION("""COMPUTED_VALUE"""),17.37)</f>
        <v>17.37</v>
      </c>
      <c r="C1699" s="2">
        <f>IFERROR(__xludf.DUMMYFUNCTION("""COMPUTED_VALUE"""),18.04)</f>
        <v>18.04</v>
      </c>
      <c r="D1699" s="2">
        <f>IFERROR(__xludf.DUMMYFUNCTION("""COMPUTED_VALUE"""),17.32)</f>
        <v>17.32</v>
      </c>
      <c r="E1699" s="2">
        <f>IFERROR(__xludf.DUMMYFUNCTION("""COMPUTED_VALUE"""),18.01)</f>
        <v>18.01</v>
      </c>
      <c r="F1699" s="2">
        <f>IFERROR(__xludf.DUMMYFUNCTION("""COMPUTED_VALUE"""),6230795.0)</f>
        <v>6230795</v>
      </c>
    </row>
    <row r="1700">
      <c r="A1700" s="3">
        <f>IFERROR(__xludf.DUMMYFUNCTION("""COMPUTED_VALUE"""),42822.66666666667)</f>
        <v>42822.66667</v>
      </c>
      <c r="B1700" s="2">
        <f>IFERROR(__xludf.DUMMYFUNCTION("""COMPUTED_VALUE"""),18.47)</f>
        <v>18.47</v>
      </c>
      <c r="C1700" s="2">
        <f>IFERROR(__xludf.DUMMYFUNCTION("""COMPUTED_VALUE"""),18.71)</f>
        <v>18.71</v>
      </c>
      <c r="D1700" s="2">
        <f>IFERROR(__xludf.DUMMYFUNCTION("""COMPUTED_VALUE"""),18.33)</f>
        <v>18.33</v>
      </c>
      <c r="E1700" s="2">
        <f>IFERROR(__xludf.DUMMYFUNCTION("""COMPUTED_VALUE"""),18.5)</f>
        <v>18.5</v>
      </c>
      <c r="F1700" s="2">
        <f>IFERROR(__xludf.DUMMYFUNCTION("""COMPUTED_VALUE"""),7987604.0)</f>
        <v>7987604</v>
      </c>
    </row>
    <row r="1701">
      <c r="A1701" s="3">
        <f>IFERROR(__xludf.DUMMYFUNCTION("""COMPUTED_VALUE"""),42823.66666666667)</f>
        <v>42823.66667</v>
      </c>
      <c r="B1701" s="2">
        <f>IFERROR(__xludf.DUMMYFUNCTION("""COMPUTED_VALUE"""),18.56)</f>
        <v>18.56</v>
      </c>
      <c r="C1701" s="2">
        <f>IFERROR(__xludf.DUMMYFUNCTION("""COMPUTED_VALUE"""),18.64)</f>
        <v>18.64</v>
      </c>
      <c r="D1701" s="2">
        <f>IFERROR(__xludf.DUMMYFUNCTION("""COMPUTED_VALUE"""),18.37)</f>
        <v>18.37</v>
      </c>
      <c r="E1701" s="2">
        <f>IFERROR(__xludf.DUMMYFUNCTION("""COMPUTED_VALUE"""),18.49)</f>
        <v>18.49</v>
      </c>
      <c r="F1701" s="2">
        <f>IFERROR(__xludf.DUMMYFUNCTION("""COMPUTED_VALUE"""),3676157.0)</f>
        <v>3676157</v>
      </c>
    </row>
    <row r="1702">
      <c r="A1702" s="3">
        <f>IFERROR(__xludf.DUMMYFUNCTION("""COMPUTED_VALUE"""),42824.66666666667)</f>
        <v>42824.66667</v>
      </c>
      <c r="B1702" s="2">
        <f>IFERROR(__xludf.DUMMYFUNCTION("""COMPUTED_VALUE"""),18.54)</f>
        <v>18.54</v>
      </c>
      <c r="C1702" s="2">
        <f>IFERROR(__xludf.DUMMYFUNCTION("""COMPUTED_VALUE"""),18.8)</f>
        <v>18.8</v>
      </c>
      <c r="D1702" s="2">
        <f>IFERROR(__xludf.DUMMYFUNCTION("""COMPUTED_VALUE"""),18.48)</f>
        <v>18.48</v>
      </c>
      <c r="E1702" s="2">
        <f>IFERROR(__xludf.DUMMYFUNCTION("""COMPUTED_VALUE"""),18.53)</f>
        <v>18.53</v>
      </c>
      <c r="F1702" s="2">
        <f>IFERROR(__xludf.DUMMYFUNCTION("""COMPUTED_VALUE"""),4148426.0)</f>
        <v>4148426</v>
      </c>
    </row>
    <row r="1703">
      <c r="A1703" s="3">
        <f>IFERROR(__xludf.DUMMYFUNCTION("""COMPUTED_VALUE"""),42825.66666666667)</f>
        <v>42825.66667</v>
      </c>
      <c r="B1703" s="2">
        <f>IFERROR(__xludf.DUMMYFUNCTION("""COMPUTED_VALUE"""),18.58)</f>
        <v>18.58</v>
      </c>
      <c r="C1703" s="2">
        <f>IFERROR(__xludf.DUMMYFUNCTION("""COMPUTED_VALUE"""),18.65)</f>
        <v>18.65</v>
      </c>
      <c r="D1703" s="2">
        <f>IFERROR(__xludf.DUMMYFUNCTION("""COMPUTED_VALUE"""),18.42)</f>
        <v>18.42</v>
      </c>
      <c r="E1703" s="2">
        <f>IFERROR(__xludf.DUMMYFUNCTION("""COMPUTED_VALUE"""),18.55)</f>
        <v>18.55</v>
      </c>
      <c r="F1703" s="2">
        <f>IFERROR(__xludf.DUMMYFUNCTION("""COMPUTED_VALUE"""),3294640.0)</f>
        <v>3294640</v>
      </c>
    </row>
    <row r="1704">
      <c r="A1704" s="3">
        <f>IFERROR(__xludf.DUMMYFUNCTION("""COMPUTED_VALUE"""),42828.66666666667)</f>
        <v>42828.66667</v>
      </c>
      <c r="B1704" s="2">
        <f>IFERROR(__xludf.DUMMYFUNCTION("""COMPUTED_VALUE"""),19.13)</f>
        <v>19.13</v>
      </c>
      <c r="C1704" s="2">
        <f>IFERROR(__xludf.DUMMYFUNCTION("""COMPUTED_VALUE"""),19.93)</f>
        <v>19.93</v>
      </c>
      <c r="D1704" s="2">
        <f>IFERROR(__xludf.DUMMYFUNCTION("""COMPUTED_VALUE"""),18.97)</f>
        <v>18.97</v>
      </c>
      <c r="E1704" s="2">
        <f>IFERROR(__xludf.DUMMYFUNCTION("""COMPUTED_VALUE"""),19.9)</f>
        <v>19.9</v>
      </c>
      <c r="F1704" s="2">
        <f>IFERROR(__xludf.DUMMYFUNCTION("""COMPUTED_VALUE"""),1.3888618E7)</f>
        <v>13888618</v>
      </c>
    </row>
    <row r="1705">
      <c r="A1705" s="3">
        <f>IFERROR(__xludf.DUMMYFUNCTION("""COMPUTED_VALUE"""),42829.66666666667)</f>
        <v>42829.66667</v>
      </c>
      <c r="B1705" s="2">
        <f>IFERROR(__xludf.DUMMYFUNCTION("""COMPUTED_VALUE"""),19.79)</f>
        <v>19.79</v>
      </c>
      <c r="C1705" s="2">
        <f>IFERROR(__xludf.DUMMYFUNCTION("""COMPUTED_VALUE"""),20.32)</f>
        <v>20.32</v>
      </c>
      <c r="D1705" s="2">
        <f>IFERROR(__xludf.DUMMYFUNCTION("""COMPUTED_VALUE"""),19.64)</f>
        <v>19.64</v>
      </c>
      <c r="E1705" s="2">
        <f>IFERROR(__xludf.DUMMYFUNCTION("""COMPUTED_VALUE"""),20.25)</f>
        <v>20.25</v>
      </c>
      <c r="F1705" s="2">
        <f>IFERROR(__xludf.DUMMYFUNCTION("""COMPUTED_VALUE"""),1.0134556E7)</f>
        <v>10134556</v>
      </c>
    </row>
    <row r="1706">
      <c r="A1706" s="3">
        <f>IFERROR(__xludf.DUMMYFUNCTION("""COMPUTED_VALUE"""),42830.66666666667)</f>
        <v>42830.66667</v>
      </c>
      <c r="B1706" s="2">
        <f>IFERROR(__xludf.DUMMYFUNCTION("""COMPUTED_VALUE"""),20.14)</f>
        <v>20.14</v>
      </c>
      <c r="C1706" s="2">
        <f>IFERROR(__xludf.DUMMYFUNCTION("""COMPUTED_VALUE"""),20.33)</f>
        <v>20.33</v>
      </c>
      <c r="D1706" s="2">
        <f>IFERROR(__xludf.DUMMYFUNCTION("""COMPUTED_VALUE"""),19.61)</f>
        <v>19.61</v>
      </c>
      <c r="E1706" s="2">
        <f>IFERROR(__xludf.DUMMYFUNCTION("""COMPUTED_VALUE"""),19.67)</f>
        <v>19.67</v>
      </c>
      <c r="F1706" s="2">
        <f>IFERROR(__xludf.DUMMYFUNCTION("""COMPUTED_VALUE"""),7880938.0)</f>
        <v>7880938</v>
      </c>
    </row>
    <row r="1707">
      <c r="A1707" s="3">
        <f>IFERROR(__xludf.DUMMYFUNCTION("""COMPUTED_VALUE"""),42831.66666666667)</f>
        <v>42831.66667</v>
      </c>
      <c r="B1707" s="2">
        <f>IFERROR(__xludf.DUMMYFUNCTION("""COMPUTED_VALUE"""),19.79)</f>
        <v>19.79</v>
      </c>
      <c r="C1707" s="2">
        <f>IFERROR(__xludf.DUMMYFUNCTION("""COMPUTED_VALUE"""),20.13)</f>
        <v>20.13</v>
      </c>
      <c r="D1707" s="2">
        <f>IFERROR(__xludf.DUMMYFUNCTION("""COMPUTED_VALUE"""),19.61)</f>
        <v>19.61</v>
      </c>
      <c r="E1707" s="2">
        <f>IFERROR(__xludf.DUMMYFUNCTION("""COMPUTED_VALUE"""),19.91)</f>
        <v>19.91</v>
      </c>
      <c r="F1707" s="2">
        <f>IFERROR(__xludf.DUMMYFUNCTION("""COMPUTED_VALUE"""),5520588.0)</f>
        <v>5520588</v>
      </c>
    </row>
    <row r="1708">
      <c r="A1708" s="3">
        <f>IFERROR(__xludf.DUMMYFUNCTION("""COMPUTED_VALUE"""),42832.66666666667)</f>
        <v>42832.66667</v>
      </c>
      <c r="B1708" s="2">
        <f>IFERROR(__xludf.DUMMYFUNCTION("""COMPUTED_VALUE"""),19.83)</f>
        <v>19.83</v>
      </c>
      <c r="C1708" s="2">
        <f>IFERROR(__xludf.DUMMYFUNCTION("""COMPUTED_VALUE"""),20.18)</f>
        <v>20.18</v>
      </c>
      <c r="D1708" s="2">
        <f>IFERROR(__xludf.DUMMYFUNCTION("""COMPUTED_VALUE"""),19.81)</f>
        <v>19.81</v>
      </c>
      <c r="E1708" s="2">
        <f>IFERROR(__xludf.DUMMYFUNCTION("""COMPUTED_VALUE"""),20.17)</f>
        <v>20.17</v>
      </c>
      <c r="F1708" s="2">
        <f>IFERROR(__xludf.DUMMYFUNCTION("""COMPUTED_VALUE"""),4579613.0)</f>
        <v>4579613</v>
      </c>
    </row>
    <row r="1709">
      <c r="A1709" s="3">
        <f>IFERROR(__xludf.DUMMYFUNCTION("""COMPUTED_VALUE"""),42835.66666666667)</f>
        <v>42835.66667</v>
      </c>
      <c r="B1709" s="2">
        <f>IFERROR(__xludf.DUMMYFUNCTION("""COMPUTED_VALUE"""),20.61)</f>
        <v>20.61</v>
      </c>
      <c r="C1709" s="2">
        <f>IFERROR(__xludf.DUMMYFUNCTION("""COMPUTED_VALUE"""),20.92)</f>
        <v>20.92</v>
      </c>
      <c r="D1709" s="2">
        <f>IFERROR(__xludf.DUMMYFUNCTION("""COMPUTED_VALUE"""),20.58)</f>
        <v>20.58</v>
      </c>
      <c r="E1709" s="2">
        <f>IFERROR(__xludf.DUMMYFUNCTION("""COMPUTED_VALUE"""),20.83)</f>
        <v>20.83</v>
      </c>
      <c r="F1709" s="2">
        <f>IFERROR(__xludf.DUMMYFUNCTION("""COMPUTED_VALUE"""),7664458.0)</f>
        <v>7664458</v>
      </c>
    </row>
    <row r="1710">
      <c r="A1710" s="3">
        <f>IFERROR(__xludf.DUMMYFUNCTION("""COMPUTED_VALUE"""),42836.66666666667)</f>
        <v>42836.66667</v>
      </c>
      <c r="B1710" s="2">
        <f>IFERROR(__xludf.DUMMYFUNCTION("""COMPUTED_VALUE"""),20.89)</f>
        <v>20.89</v>
      </c>
      <c r="C1710" s="2">
        <f>IFERROR(__xludf.DUMMYFUNCTION("""COMPUTED_VALUE"""),20.9)</f>
        <v>20.9</v>
      </c>
      <c r="D1710" s="2">
        <f>IFERROR(__xludf.DUMMYFUNCTION("""COMPUTED_VALUE"""),20.37)</f>
        <v>20.37</v>
      </c>
      <c r="E1710" s="2">
        <f>IFERROR(__xludf.DUMMYFUNCTION("""COMPUTED_VALUE"""),20.58)</f>
        <v>20.58</v>
      </c>
      <c r="F1710" s="2">
        <f>IFERROR(__xludf.DUMMYFUNCTION("""COMPUTED_VALUE"""),5724577.0)</f>
        <v>5724577</v>
      </c>
    </row>
    <row r="1711">
      <c r="A1711" s="3">
        <f>IFERROR(__xludf.DUMMYFUNCTION("""COMPUTED_VALUE"""),42837.66666666667)</f>
        <v>42837.66667</v>
      </c>
      <c r="B1711" s="2">
        <f>IFERROR(__xludf.DUMMYFUNCTION("""COMPUTED_VALUE"""),20.42)</f>
        <v>20.42</v>
      </c>
      <c r="C1711" s="2">
        <f>IFERROR(__xludf.DUMMYFUNCTION("""COMPUTED_VALUE"""),20.56)</f>
        <v>20.56</v>
      </c>
      <c r="D1711" s="2">
        <f>IFERROR(__xludf.DUMMYFUNCTION("""COMPUTED_VALUE"""),19.75)</f>
        <v>19.75</v>
      </c>
      <c r="E1711" s="2">
        <f>IFERROR(__xludf.DUMMYFUNCTION("""COMPUTED_VALUE"""),19.79)</f>
        <v>19.79</v>
      </c>
      <c r="F1711" s="2">
        <f>IFERROR(__xludf.DUMMYFUNCTION("""COMPUTED_VALUE"""),6050682.0)</f>
        <v>6050682</v>
      </c>
    </row>
    <row r="1712">
      <c r="A1712" s="3">
        <f>IFERROR(__xludf.DUMMYFUNCTION("""COMPUTED_VALUE"""),42838.66666666667)</f>
        <v>42838.66667</v>
      </c>
      <c r="B1712" s="2">
        <f>IFERROR(__xludf.DUMMYFUNCTION("""COMPUTED_VALUE"""),19.78)</f>
        <v>19.78</v>
      </c>
      <c r="C1712" s="2">
        <f>IFERROR(__xludf.DUMMYFUNCTION("""COMPUTED_VALUE"""),20.49)</f>
        <v>20.49</v>
      </c>
      <c r="D1712" s="2">
        <f>IFERROR(__xludf.DUMMYFUNCTION("""COMPUTED_VALUE"""),19.69)</f>
        <v>19.69</v>
      </c>
      <c r="E1712" s="2">
        <f>IFERROR(__xludf.DUMMYFUNCTION("""COMPUTED_VALUE"""),20.27)</f>
        <v>20.27</v>
      </c>
      <c r="F1712" s="2">
        <f>IFERROR(__xludf.DUMMYFUNCTION("""COMPUTED_VALUE"""),9284634.0)</f>
        <v>9284634</v>
      </c>
    </row>
    <row r="1713">
      <c r="A1713" s="3">
        <f>IFERROR(__xludf.DUMMYFUNCTION("""COMPUTED_VALUE"""),42842.66666666667)</f>
        <v>42842.66667</v>
      </c>
      <c r="B1713" s="2">
        <f>IFERROR(__xludf.DUMMYFUNCTION("""COMPUTED_VALUE"""),20.18)</f>
        <v>20.18</v>
      </c>
      <c r="C1713" s="2">
        <f>IFERROR(__xludf.DUMMYFUNCTION("""COMPUTED_VALUE"""),20.27)</f>
        <v>20.27</v>
      </c>
      <c r="D1713" s="2">
        <f>IFERROR(__xludf.DUMMYFUNCTION("""COMPUTED_VALUE"""),19.91)</f>
        <v>19.91</v>
      </c>
      <c r="E1713" s="2">
        <f>IFERROR(__xludf.DUMMYFUNCTION("""COMPUTED_VALUE"""),20.1)</f>
        <v>20.1</v>
      </c>
      <c r="F1713" s="2">
        <f>IFERROR(__xludf.DUMMYFUNCTION("""COMPUTED_VALUE"""),4138736.0)</f>
        <v>4138736</v>
      </c>
    </row>
    <row r="1714">
      <c r="A1714" s="3">
        <f>IFERROR(__xludf.DUMMYFUNCTION("""COMPUTED_VALUE"""),42843.66666666667)</f>
        <v>42843.66667</v>
      </c>
      <c r="B1714" s="2">
        <f>IFERROR(__xludf.DUMMYFUNCTION("""COMPUTED_VALUE"""),19.98)</f>
        <v>19.98</v>
      </c>
      <c r="C1714" s="2">
        <f>IFERROR(__xludf.DUMMYFUNCTION("""COMPUTED_VALUE"""),20.06)</f>
        <v>20.06</v>
      </c>
      <c r="D1714" s="2">
        <f>IFERROR(__xludf.DUMMYFUNCTION("""COMPUTED_VALUE"""),19.86)</f>
        <v>19.86</v>
      </c>
      <c r="E1714" s="2">
        <f>IFERROR(__xludf.DUMMYFUNCTION("""COMPUTED_VALUE"""),20.02)</f>
        <v>20.02</v>
      </c>
      <c r="F1714" s="2">
        <f>IFERROR(__xludf.DUMMYFUNCTION("""COMPUTED_VALUE"""),3035698.0)</f>
        <v>3035698</v>
      </c>
    </row>
    <row r="1715">
      <c r="A1715" s="3">
        <f>IFERROR(__xludf.DUMMYFUNCTION("""COMPUTED_VALUE"""),42844.66666666667)</f>
        <v>42844.66667</v>
      </c>
      <c r="B1715" s="2">
        <f>IFERROR(__xludf.DUMMYFUNCTION("""COMPUTED_VALUE"""),20.16)</f>
        <v>20.16</v>
      </c>
      <c r="C1715" s="2">
        <f>IFERROR(__xludf.DUMMYFUNCTION("""COMPUTED_VALUE"""),20.44)</f>
        <v>20.44</v>
      </c>
      <c r="D1715" s="2">
        <f>IFERROR(__xludf.DUMMYFUNCTION("""COMPUTED_VALUE"""),20.14)</f>
        <v>20.14</v>
      </c>
      <c r="E1715" s="2">
        <f>IFERROR(__xludf.DUMMYFUNCTION("""COMPUTED_VALUE"""),20.37)</f>
        <v>20.37</v>
      </c>
      <c r="F1715" s="2">
        <f>IFERROR(__xludf.DUMMYFUNCTION("""COMPUTED_VALUE"""),3898024.0)</f>
        <v>3898024</v>
      </c>
    </row>
    <row r="1716">
      <c r="A1716" s="3">
        <f>IFERROR(__xludf.DUMMYFUNCTION("""COMPUTED_VALUE"""),42845.66666666667)</f>
        <v>42845.66667</v>
      </c>
      <c r="B1716" s="2">
        <f>IFERROR(__xludf.DUMMYFUNCTION("""COMPUTED_VALUE"""),20.43)</f>
        <v>20.43</v>
      </c>
      <c r="C1716" s="2">
        <f>IFERROR(__xludf.DUMMYFUNCTION("""COMPUTED_VALUE"""),20.61)</f>
        <v>20.61</v>
      </c>
      <c r="D1716" s="2">
        <f>IFERROR(__xludf.DUMMYFUNCTION("""COMPUTED_VALUE"""),20.02)</f>
        <v>20.02</v>
      </c>
      <c r="E1716" s="2">
        <f>IFERROR(__xludf.DUMMYFUNCTION("""COMPUTED_VALUE"""),20.17)</f>
        <v>20.17</v>
      </c>
      <c r="F1716" s="2">
        <f>IFERROR(__xludf.DUMMYFUNCTION("""COMPUTED_VALUE"""),6149352.0)</f>
        <v>6149352</v>
      </c>
    </row>
    <row r="1717">
      <c r="A1717" s="3">
        <f>IFERROR(__xludf.DUMMYFUNCTION("""COMPUTED_VALUE"""),42846.66666666667)</f>
        <v>42846.66667</v>
      </c>
      <c r="B1717" s="2">
        <f>IFERROR(__xludf.DUMMYFUNCTION("""COMPUTED_VALUE"""),20.13)</f>
        <v>20.13</v>
      </c>
      <c r="C1717" s="2">
        <f>IFERROR(__xludf.DUMMYFUNCTION("""COMPUTED_VALUE"""),20.43)</f>
        <v>20.43</v>
      </c>
      <c r="D1717" s="2">
        <f>IFERROR(__xludf.DUMMYFUNCTION("""COMPUTED_VALUE"""),20.03)</f>
        <v>20.03</v>
      </c>
      <c r="E1717" s="2">
        <f>IFERROR(__xludf.DUMMYFUNCTION("""COMPUTED_VALUE"""),20.37)</f>
        <v>20.37</v>
      </c>
      <c r="F1717" s="2">
        <f>IFERROR(__xludf.DUMMYFUNCTION("""COMPUTED_VALUE"""),4509756.0)</f>
        <v>4509756</v>
      </c>
    </row>
    <row r="1718">
      <c r="A1718" s="3">
        <f>IFERROR(__xludf.DUMMYFUNCTION("""COMPUTED_VALUE"""),42849.66666666667)</f>
        <v>42849.66667</v>
      </c>
      <c r="B1718" s="2">
        <f>IFERROR(__xludf.DUMMYFUNCTION("""COMPUTED_VALUE"""),20.61)</f>
        <v>20.61</v>
      </c>
      <c r="C1718" s="2">
        <f>IFERROR(__xludf.DUMMYFUNCTION("""COMPUTED_VALUE"""),20.7)</f>
        <v>20.7</v>
      </c>
      <c r="D1718" s="2">
        <f>IFERROR(__xludf.DUMMYFUNCTION("""COMPUTED_VALUE"""),20.4)</f>
        <v>20.4</v>
      </c>
      <c r="E1718" s="2">
        <f>IFERROR(__xludf.DUMMYFUNCTION("""COMPUTED_VALUE"""),20.54)</f>
        <v>20.54</v>
      </c>
      <c r="F1718" s="2">
        <f>IFERROR(__xludf.DUMMYFUNCTION("""COMPUTED_VALUE"""),5083505.0)</f>
        <v>5083505</v>
      </c>
    </row>
    <row r="1719">
      <c r="A1719" s="3">
        <f>IFERROR(__xludf.DUMMYFUNCTION("""COMPUTED_VALUE"""),42850.66666666667)</f>
        <v>42850.66667</v>
      </c>
      <c r="B1719" s="2">
        <f>IFERROR(__xludf.DUMMYFUNCTION("""COMPUTED_VALUE"""),20.53)</f>
        <v>20.53</v>
      </c>
      <c r="C1719" s="2">
        <f>IFERROR(__xludf.DUMMYFUNCTION("""COMPUTED_VALUE"""),20.93)</f>
        <v>20.93</v>
      </c>
      <c r="D1719" s="2">
        <f>IFERROR(__xludf.DUMMYFUNCTION("""COMPUTED_VALUE"""),20.39)</f>
        <v>20.39</v>
      </c>
      <c r="E1719" s="2">
        <f>IFERROR(__xludf.DUMMYFUNCTION("""COMPUTED_VALUE"""),20.92)</f>
        <v>20.92</v>
      </c>
      <c r="F1719" s="2">
        <f>IFERROR(__xludf.DUMMYFUNCTION("""COMPUTED_VALUE"""),6737708.0)</f>
        <v>6737708</v>
      </c>
    </row>
    <row r="1720">
      <c r="A1720" s="3">
        <f>IFERROR(__xludf.DUMMYFUNCTION("""COMPUTED_VALUE"""),42851.66666666667)</f>
        <v>42851.66667</v>
      </c>
      <c r="B1720" s="2">
        <f>IFERROR(__xludf.DUMMYFUNCTION("""COMPUTED_VALUE"""),20.82)</f>
        <v>20.82</v>
      </c>
      <c r="C1720" s="2">
        <f>IFERROR(__xludf.DUMMYFUNCTION("""COMPUTED_VALUE"""),20.97)</f>
        <v>20.97</v>
      </c>
      <c r="D1720" s="2">
        <f>IFERROR(__xludf.DUMMYFUNCTION("""COMPUTED_VALUE"""),20.6)</f>
        <v>20.6</v>
      </c>
      <c r="E1720" s="2">
        <f>IFERROR(__xludf.DUMMYFUNCTION("""COMPUTED_VALUE"""),20.68)</f>
        <v>20.68</v>
      </c>
      <c r="F1720" s="2">
        <f>IFERROR(__xludf.DUMMYFUNCTION("""COMPUTED_VALUE"""),4695044.0)</f>
        <v>4695044</v>
      </c>
    </row>
    <row r="1721">
      <c r="A1721" s="3">
        <f>IFERROR(__xludf.DUMMYFUNCTION("""COMPUTED_VALUE"""),42852.66666666667)</f>
        <v>42852.66667</v>
      </c>
      <c r="B1721" s="2">
        <f>IFERROR(__xludf.DUMMYFUNCTION("""COMPUTED_VALUE"""),20.78)</f>
        <v>20.78</v>
      </c>
      <c r="C1721" s="2">
        <f>IFERROR(__xludf.DUMMYFUNCTION("""COMPUTED_VALUE"""),20.87)</f>
        <v>20.87</v>
      </c>
      <c r="D1721" s="2">
        <f>IFERROR(__xludf.DUMMYFUNCTION("""COMPUTED_VALUE"""),20.5)</f>
        <v>20.5</v>
      </c>
      <c r="E1721" s="2">
        <f>IFERROR(__xludf.DUMMYFUNCTION("""COMPUTED_VALUE"""),20.58)</f>
        <v>20.58</v>
      </c>
      <c r="F1721" s="2">
        <f>IFERROR(__xludf.DUMMYFUNCTION("""COMPUTED_VALUE"""),3468569.0)</f>
        <v>3468569</v>
      </c>
    </row>
    <row r="1722">
      <c r="A1722" s="3">
        <f>IFERROR(__xludf.DUMMYFUNCTION("""COMPUTED_VALUE"""),42853.66666666667)</f>
        <v>42853.66667</v>
      </c>
      <c r="B1722" s="2">
        <f>IFERROR(__xludf.DUMMYFUNCTION("""COMPUTED_VALUE"""),20.66)</f>
        <v>20.66</v>
      </c>
      <c r="C1722" s="2">
        <f>IFERROR(__xludf.DUMMYFUNCTION("""COMPUTED_VALUE"""),20.99)</f>
        <v>20.99</v>
      </c>
      <c r="D1722" s="2">
        <f>IFERROR(__xludf.DUMMYFUNCTION("""COMPUTED_VALUE"""),20.53)</f>
        <v>20.53</v>
      </c>
      <c r="E1722" s="2">
        <f>IFERROR(__xludf.DUMMYFUNCTION("""COMPUTED_VALUE"""),20.94)</f>
        <v>20.94</v>
      </c>
      <c r="F1722" s="2">
        <f>IFERROR(__xludf.DUMMYFUNCTION("""COMPUTED_VALUE"""),4505478.0)</f>
        <v>4505478</v>
      </c>
    </row>
    <row r="1723">
      <c r="A1723" s="3">
        <f>IFERROR(__xludf.DUMMYFUNCTION("""COMPUTED_VALUE"""),42856.66666666667)</f>
        <v>42856.66667</v>
      </c>
      <c r="B1723" s="2">
        <f>IFERROR(__xludf.DUMMYFUNCTION("""COMPUTED_VALUE"""),20.99)</f>
        <v>20.99</v>
      </c>
      <c r="C1723" s="2">
        <f>IFERROR(__xludf.DUMMYFUNCTION("""COMPUTED_VALUE"""),21.82)</f>
        <v>21.82</v>
      </c>
      <c r="D1723" s="2">
        <f>IFERROR(__xludf.DUMMYFUNCTION("""COMPUTED_VALUE"""),20.99)</f>
        <v>20.99</v>
      </c>
      <c r="E1723" s="2">
        <f>IFERROR(__xludf.DUMMYFUNCTION("""COMPUTED_VALUE"""),21.52)</f>
        <v>21.52</v>
      </c>
      <c r="F1723" s="2">
        <f>IFERROR(__xludf.DUMMYFUNCTION("""COMPUTED_VALUE"""),8829565.0)</f>
        <v>8829565</v>
      </c>
    </row>
    <row r="1724">
      <c r="A1724" s="3">
        <f>IFERROR(__xludf.DUMMYFUNCTION("""COMPUTED_VALUE"""),42857.66666666667)</f>
        <v>42857.66667</v>
      </c>
      <c r="B1724" s="2">
        <f>IFERROR(__xludf.DUMMYFUNCTION("""COMPUTED_VALUE"""),21.6)</f>
        <v>21.6</v>
      </c>
      <c r="C1724" s="2">
        <f>IFERROR(__xludf.DUMMYFUNCTION("""COMPUTED_VALUE"""),21.84)</f>
        <v>21.84</v>
      </c>
      <c r="D1724" s="2">
        <f>IFERROR(__xludf.DUMMYFUNCTION("""COMPUTED_VALUE"""),21.1)</f>
        <v>21.1</v>
      </c>
      <c r="E1724" s="2">
        <f>IFERROR(__xludf.DUMMYFUNCTION("""COMPUTED_VALUE"""),21.26)</f>
        <v>21.26</v>
      </c>
      <c r="F1724" s="2">
        <f>IFERROR(__xludf.DUMMYFUNCTION("""COMPUTED_VALUE"""),5382777.0)</f>
        <v>5382777</v>
      </c>
    </row>
    <row r="1725">
      <c r="A1725" s="3">
        <f>IFERROR(__xludf.DUMMYFUNCTION("""COMPUTED_VALUE"""),42858.66666666667)</f>
        <v>42858.66667</v>
      </c>
      <c r="B1725" s="2">
        <f>IFERROR(__xludf.DUMMYFUNCTION("""COMPUTED_VALUE"""),21.18)</f>
        <v>21.18</v>
      </c>
      <c r="C1725" s="2">
        <f>IFERROR(__xludf.DUMMYFUNCTION("""COMPUTED_VALUE"""),21.44)</f>
        <v>21.44</v>
      </c>
      <c r="D1725" s="2">
        <f>IFERROR(__xludf.DUMMYFUNCTION("""COMPUTED_VALUE"""),20.7)</f>
        <v>20.7</v>
      </c>
      <c r="E1725" s="2">
        <f>IFERROR(__xludf.DUMMYFUNCTION("""COMPUTED_VALUE"""),20.73)</f>
        <v>20.73</v>
      </c>
      <c r="F1725" s="2">
        <f>IFERROR(__xludf.DUMMYFUNCTION("""COMPUTED_VALUE"""),7133365.0)</f>
        <v>7133365</v>
      </c>
    </row>
    <row r="1726">
      <c r="A1726" s="3">
        <f>IFERROR(__xludf.DUMMYFUNCTION("""COMPUTED_VALUE"""),42859.66666666667)</f>
        <v>42859.66667</v>
      </c>
      <c r="B1726" s="2">
        <f>IFERROR(__xludf.DUMMYFUNCTION("""COMPUTED_VALUE"""),20.5)</f>
        <v>20.5</v>
      </c>
      <c r="C1726" s="2">
        <f>IFERROR(__xludf.DUMMYFUNCTION("""COMPUTED_VALUE"""),20.52)</f>
        <v>20.52</v>
      </c>
      <c r="D1726" s="2">
        <f>IFERROR(__xludf.DUMMYFUNCTION("""COMPUTED_VALUE"""),19.38)</f>
        <v>19.38</v>
      </c>
      <c r="E1726" s="2">
        <f>IFERROR(__xludf.DUMMYFUNCTION("""COMPUTED_VALUE"""),19.7)</f>
        <v>19.7</v>
      </c>
      <c r="F1726" s="2">
        <f>IFERROR(__xludf.DUMMYFUNCTION("""COMPUTED_VALUE"""),1.4152008E7)</f>
        <v>14152008</v>
      </c>
    </row>
    <row r="1727">
      <c r="A1727" s="3">
        <f>IFERROR(__xludf.DUMMYFUNCTION("""COMPUTED_VALUE"""),42860.66666666667)</f>
        <v>42860.66667</v>
      </c>
      <c r="B1727" s="2">
        <f>IFERROR(__xludf.DUMMYFUNCTION("""COMPUTED_VALUE"""),19.87)</f>
        <v>19.87</v>
      </c>
      <c r="C1727" s="2">
        <f>IFERROR(__xludf.DUMMYFUNCTION("""COMPUTED_VALUE"""),20.57)</f>
        <v>20.57</v>
      </c>
      <c r="D1727" s="2">
        <f>IFERROR(__xludf.DUMMYFUNCTION("""COMPUTED_VALUE"""),19.79)</f>
        <v>19.79</v>
      </c>
      <c r="E1727" s="2">
        <f>IFERROR(__xludf.DUMMYFUNCTION("""COMPUTED_VALUE"""),20.56)</f>
        <v>20.56</v>
      </c>
      <c r="F1727" s="2">
        <f>IFERROR(__xludf.DUMMYFUNCTION("""COMPUTED_VALUE"""),8177347.0)</f>
        <v>8177347</v>
      </c>
    </row>
    <row r="1728">
      <c r="A1728" s="3">
        <f>IFERROR(__xludf.DUMMYFUNCTION("""COMPUTED_VALUE"""),42863.66666666667)</f>
        <v>42863.66667</v>
      </c>
      <c r="B1728" s="2">
        <f>IFERROR(__xludf.DUMMYFUNCTION("""COMPUTED_VALUE"""),20.73)</f>
        <v>20.73</v>
      </c>
      <c r="C1728" s="2">
        <f>IFERROR(__xludf.DUMMYFUNCTION("""COMPUTED_VALUE"""),20.92)</f>
        <v>20.92</v>
      </c>
      <c r="D1728" s="2">
        <f>IFERROR(__xludf.DUMMYFUNCTION("""COMPUTED_VALUE"""),20.39)</f>
        <v>20.39</v>
      </c>
      <c r="E1728" s="2">
        <f>IFERROR(__xludf.DUMMYFUNCTION("""COMPUTED_VALUE"""),20.48)</f>
        <v>20.48</v>
      </c>
      <c r="F1728" s="2">
        <f>IFERROR(__xludf.DUMMYFUNCTION("""COMPUTED_VALUE"""),7006471.0)</f>
        <v>7006471</v>
      </c>
    </row>
    <row r="1729">
      <c r="A1729" s="3">
        <f>IFERROR(__xludf.DUMMYFUNCTION("""COMPUTED_VALUE"""),42864.66666666667)</f>
        <v>42864.66667</v>
      </c>
      <c r="B1729" s="2">
        <f>IFERROR(__xludf.DUMMYFUNCTION("""COMPUTED_VALUE"""),20.63)</f>
        <v>20.63</v>
      </c>
      <c r="C1729" s="2">
        <f>IFERROR(__xludf.DUMMYFUNCTION("""COMPUTED_VALUE"""),21.47)</f>
        <v>21.47</v>
      </c>
      <c r="D1729" s="2">
        <f>IFERROR(__xludf.DUMMYFUNCTION("""COMPUTED_VALUE"""),20.61)</f>
        <v>20.61</v>
      </c>
      <c r="E1729" s="2">
        <f>IFERROR(__xludf.DUMMYFUNCTION("""COMPUTED_VALUE"""),21.42)</f>
        <v>21.42</v>
      </c>
      <c r="F1729" s="2">
        <f>IFERROR(__xludf.DUMMYFUNCTION("""COMPUTED_VALUE"""),9676537.0)</f>
        <v>9676537</v>
      </c>
    </row>
    <row r="1730">
      <c r="A1730" s="3">
        <f>IFERROR(__xludf.DUMMYFUNCTION("""COMPUTED_VALUE"""),42865.66666666667)</f>
        <v>42865.66667</v>
      </c>
      <c r="B1730" s="2">
        <f>IFERROR(__xludf.DUMMYFUNCTION("""COMPUTED_VALUE"""),21.44)</f>
        <v>21.44</v>
      </c>
      <c r="C1730" s="2">
        <f>IFERROR(__xludf.DUMMYFUNCTION("""COMPUTED_VALUE"""),21.7)</f>
        <v>21.7</v>
      </c>
      <c r="D1730" s="2">
        <f>IFERROR(__xludf.DUMMYFUNCTION("""COMPUTED_VALUE"""),21.21)</f>
        <v>21.21</v>
      </c>
      <c r="E1730" s="2">
        <f>IFERROR(__xludf.DUMMYFUNCTION("""COMPUTED_VALUE"""),21.68)</f>
        <v>21.68</v>
      </c>
      <c r="F1730" s="2">
        <f>IFERROR(__xludf.DUMMYFUNCTION("""COMPUTED_VALUE"""),5741607.0)</f>
        <v>5741607</v>
      </c>
    </row>
    <row r="1731">
      <c r="A1731" s="3">
        <f>IFERROR(__xludf.DUMMYFUNCTION("""COMPUTED_VALUE"""),42866.66666666667)</f>
        <v>42866.66667</v>
      </c>
      <c r="B1731" s="2">
        <f>IFERROR(__xludf.DUMMYFUNCTION("""COMPUTED_VALUE"""),21.56)</f>
        <v>21.56</v>
      </c>
      <c r="C1731" s="2">
        <f>IFERROR(__xludf.DUMMYFUNCTION("""COMPUTED_VALUE"""),21.73)</f>
        <v>21.73</v>
      </c>
      <c r="D1731" s="2">
        <f>IFERROR(__xludf.DUMMYFUNCTION("""COMPUTED_VALUE"""),21.31)</f>
        <v>21.31</v>
      </c>
      <c r="E1731" s="2">
        <f>IFERROR(__xludf.DUMMYFUNCTION("""COMPUTED_VALUE"""),21.54)</f>
        <v>21.54</v>
      </c>
      <c r="F1731" s="2">
        <f>IFERROR(__xludf.DUMMYFUNCTION("""COMPUTED_VALUE"""),4753819.0)</f>
        <v>4753819</v>
      </c>
    </row>
    <row r="1732">
      <c r="A1732" s="3">
        <f>IFERROR(__xludf.DUMMYFUNCTION("""COMPUTED_VALUE"""),42867.66666666667)</f>
        <v>42867.66667</v>
      </c>
      <c r="B1732" s="2">
        <f>IFERROR(__xludf.DUMMYFUNCTION("""COMPUTED_VALUE"""),21.7)</f>
        <v>21.7</v>
      </c>
      <c r="C1732" s="2">
        <f>IFERROR(__xludf.DUMMYFUNCTION("""COMPUTED_VALUE"""),21.8)</f>
        <v>21.8</v>
      </c>
      <c r="D1732" s="2">
        <f>IFERROR(__xludf.DUMMYFUNCTION("""COMPUTED_VALUE"""),21.44)</f>
        <v>21.44</v>
      </c>
      <c r="E1732" s="2">
        <f>IFERROR(__xludf.DUMMYFUNCTION("""COMPUTED_VALUE"""),21.65)</f>
        <v>21.65</v>
      </c>
      <c r="F1732" s="2">
        <f>IFERROR(__xludf.DUMMYFUNCTION("""COMPUTED_VALUE"""),4121612.0)</f>
        <v>4121612</v>
      </c>
    </row>
    <row r="1733">
      <c r="A1733" s="3">
        <f>IFERROR(__xludf.DUMMYFUNCTION("""COMPUTED_VALUE"""),42870.66666666667)</f>
        <v>42870.66667</v>
      </c>
      <c r="B1733" s="2">
        <f>IFERROR(__xludf.DUMMYFUNCTION("""COMPUTED_VALUE"""),21.23)</f>
        <v>21.23</v>
      </c>
      <c r="C1733" s="2">
        <f>IFERROR(__xludf.DUMMYFUNCTION("""COMPUTED_VALUE"""),21.35)</f>
        <v>21.35</v>
      </c>
      <c r="D1733" s="2">
        <f>IFERROR(__xludf.DUMMYFUNCTION("""COMPUTED_VALUE"""),20.84)</f>
        <v>20.84</v>
      </c>
      <c r="E1733" s="2">
        <f>IFERROR(__xludf.DUMMYFUNCTION("""COMPUTED_VALUE"""),21.06)</f>
        <v>21.06</v>
      </c>
      <c r="F1733" s="2">
        <f>IFERROR(__xludf.DUMMYFUNCTION("""COMPUTED_VALUE"""),7622004.0)</f>
        <v>7622004</v>
      </c>
    </row>
    <row r="1734">
      <c r="A1734" s="3">
        <f>IFERROR(__xludf.DUMMYFUNCTION("""COMPUTED_VALUE"""),42871.66666666667)</f>
        <v>42871.66667</v>
      </c>
      <c r="B1734" s="2">
        <f>IFERROR(__xludf.DUMMYFUNCTION("""COMPUTED_VALUE"""),21.17)</f>
        <v>21.17</v>
      </c>
      <c r="C1734" s="2">
        <f>IFERROR(__xludf.DUMMYFUNCTION("""COMPUTED_VALUE"""),21.34)</f>
        <v>21.34</v>
      </c>
      <c r="D1734" s="2">
        <f>IFERROR(__xludf.DUMMYFUNCTION("""COMPUTED_VALUE"""),21.01)</f>
        <v>21.01</v>
      </c>
      <c r="E1734" s="2">
        <f>IFERROR(__xludf.DUMMYFUNCTION("""COMPUTED_VALUE"""),21.13)</f>
        <v>21.13</v>
      </c>
      <c r="F1734" s="2">
        <f>IFERROR(__xludf.DUMMYFUNCTION("""COMPUTED_VALUE"""),4152484.0)</f>
        <v>4152484</v>
      </c>
    </row>
    <row r="1735">
      <c r="A1735" s="3">
        <f>IFERROR(__xludf.DUMMYFUNCTION("""COMPUTED_VALUE"""),42872.66666666667)</f>
        <v>42872.66667</v>
      </c>
      <c r="B1735" s="2">
        <f>IFERROR(__xludf.DUMMYFUNCTION("""COMPUTED_VALUE"""),20.96)</f>
        <v>20.96</v>
      </c>
      <c r="C1735" s="2">
        <f>IFERROR(__xludf.DUMMYFUNCTION("""COMPUTED_VALUE"""),20.98)</f>
        <v>20.98</v>
      </c>
      <c r="D1735" s="2">
        <f>IFERROR(__xludf.DUMMYFUNCTION("""COMPUTED_VALUE"""),20.37)</f>
        <v>20.37</v>
      </c>
      <c r="E1735" s="2">
        <f>IFERROR(__xludf.DUMMYFUNCTION("""COMPUTED_VALUE"""),20.41)</f>
        <v>20.41</v>
      </c>
      <c r="F1735" s="2">
        <f>IFERROR(__xludf.DUMMYFUNCTION("""COMPUTED_VALUE"""),6711940.0)</f>
        <v>6711940</v>
      </c>
    </row>
    <row r="1736">
      <c r="A1736" s="3">
        <f>IFERROR(__xludf.DUMMYFUNCTION("""COMPUTED_VALUE"""),42873.66666666667)</f>
        <v>42873.66667</v>
      </c>
      <c r="B1736" s="2">
        <f>IFERROR(__xludf.DUMMYFUNCTION("""COMPUTED_VALUE"""),20.47)</f>
        <v>20.47</v>
      </c>
      <c r="C1736" s="2">
        <f>IFERROR(__xludf.DUMMYFUNCTION("""COMPUTED_VALUE"""),20.93)</f>
        <v>20.93</v>
      </c>
      <c r="D1736" s="2">
        <f>IFERROR(__xludf.DUMMYFUNCTION("""COMPUTED_VALUE"""),20.35)</f>
        <v>20.35</v>
      </c>
      <c r="E1736" s="2">
        <f>IFERROR(__xludf.DUMMYFUNCTION("""COMPUTED_VALUE"""),20.87)</f>
        <v>20.87</v>
      </c>
      <c r="F1736" s="2">
        <f>IFERROR(__xludf.DUMMYFUNCTION("""COMPUTED_VALUE"""),5653801.0)</f>
        <v>5653801</v>
      </c>
    </row>
    <row r="1737">
      <c r="A1737" s="3">
        <f>IFERROR(__xludf.DUMMYFUNCTION("""COMPUTED_VALUE"""),42874.66666666667)</f>
        <v>42874.66667</v>
      </c>
      <c r="B1737" s="2">
        <f>IFERROR(__xludf.DUMMYFUNCTION("""COMPUTED_VALUE"""),21.03)</f>
        <v>21.03</v>
      </c>
      <c r="C1737" s="2">
        <f>IFERROR(__xludf.DUMMYFUNCTION("""COMPUTED_VALUE"""),21.1)</f>
        <v>21.1</v>
      </c>
      <c r="D1737" s="2">
        <f>IFERROR(__xludf.DUMMYFUNCTION("""COMPUTED_VALUE"""),20.68)</f>
        <v>20.68</v>
      </c>
      <c r="E1737" s="2">
        <f>IFERROR(__xludf.DUMMYFUNCTION("""COMPUTED_VALUE"""),20.72)</f>
        <v>20.72</v>
      </c>
      <c r="F1737" s="2">
        <f>IFERROR(__xludf.DUMMYFUNCTION("""COMPUTED_VALUE"""),4687572.0)</f>
        <v>4687572</v>
      </c>
    </row>
    <row r="1738">
      <c r="A1738" s="3">
        <f>IFERROR(__xludf.DUMMYFUNCTION("""COMPUTED_VALUE"""),42877.66666666667)</f>
        <v>42877.66667</v>
      </c>
      <c r="B1738" s="2">
        <f>IFERROR(__xludf.DUMMYFUNCTION("""COMPUTED_VALUE"""),20.85)</f>
        <v>20.85</v>
      </c>
      <c r="C1738" s="2">
        <f>IFERROR(__xludf.DUMMYFUNCTION("""COMPUTED_VALUE"""),20.96)</f>
        <v>20.96</v>
      </c>
      <c r="D1738" s="2">
        <f>IFERROR(__xludf.DUMMYFUNCTION("""COMPUTED_VALUE"""),20.45)</f>
        <v>20.45</v>
      </c>
      <c r="E1738" s="2">
        <f>IFERROR(__xludf.DUMMYFUNCTION("""COMPUTED_VALUE"""),20.69)</f>
        <v>20.69</v>
      </c>
      <c r="F1738" s="2">
        <f>IFERROR(__xludf.DUMMYFUNCTION("""COMPUTED_VALUE"""),4329178.0)</f>
        <v>4329178</v>
      </c>
    </row>
    <row r="1739">
      <c r="A1739" s="3">
        <f>IFERROR(__xludf.DUMMYFUNCTION("""COMPUTED_VALUE"""),42878.66666666667)</f>
        <v>42878.66667</v>
      </c>
      <c r="B1739" s="2">
        <f>IFERROR(__xludf.DUMMYFUNCTION("""COMPUTED_VALUE"""),20.7)</f>
        <v>20.7</v>
      </c>
      <c r="C1739" s="2">
        <f>IFERROR(__xludf.DUMMYFUNCTION("""COMPUTED_VALUE"""),20.72)</f>
        <v>20.72</v>
      </c>
      <c r="D1739" s="2">
        <f>IFERROR(__xludf.DUMMYFUNCTION("""COMPUTED_VALUE"""),20.23)</f>
        <v>20.23</v>
      </c>
      <c r="E1739" s="2">
        <f>IFERROR(__xludf.DUMMYFUNCTION("""COMPUTED_VALUE"""),20.26)</f>
        <v>20.26</v>
      </c>
      <c r="F1739" s="2">
        <f>IFERROR(__xludf.DUMMYFUNCTION("""COMPUTED_VALUE"""),4318354.0)</f>
        <v>4318354</v>
      </c>
    </row>
    <row r="1740">
      <c r="A1740" s="3">
        <f>IFERROR(__xludf.DUMMYFUNCTION("""COMPUTED_VALUE"""),42879.66666666667)</f>
        <v>42879.66667</v>
      </c>
      <c r="B1740" s="2">
        <f>IFERROR(__xludf.DUMMYFUNCTION("""COMPUTED_VALUE"""),20.43)</f>
        <v>20.43</v>
      </c>
      <c r="C1740" s="2">
        <f>IFERROR(__xludf.DUMMYFUNCTION("""COMPUTED_VALUE"""),20.73)</f>
        <v>20.73</v>
      </c>
      <c r="D1740" s="2">
        <f>IFERROR(__xludf.DUMMYFUNCTION("""COMPUTED_VALUE"""),20.36)</f>
        <v>20.36</v>
      </c>
      <c r="E1740" s="2">
        <f>IFERROR(__xludf.DUMMYFUNCTION("""COMPUTED_VALUE"""),20.68)</f>
        <v>20.68</v>
      </c>
      <c r="F1740" s="2">
        <f>IFERROR(__xludf.DUMMYFUNCTION("""COMPUTED_VALUE"""),5041692.0)</f>
        <v>5041692</v>
      </c>
    </row>
    <row r="1741">
      <c r="A1741" s="3">
        <f>IFERROR(__xludf.DUMMYFUNCTION("""COMPUTED_VALUE"""),42880.66666666667)</f>
        <v>42880.66667</v>
      </c>
      <c r="B1741" s="2">
        <f>IFERROR(__xludf.DUMMYFUNCTION("""COMPUTED_VALUE"""),20.73)</f>
        <v>20.73</v>
      </c>
      <c r="C1741" s="2">
        <f>IFERROR(__xludf.DUMMYFUNCTION("""COMPUTED_VALUE"""),21.13)</f>
        <v>21.13</v>
      </c>
      <c r="D1741" s="2">
        <f>IFERROR(__xludf.DUMMYFUNCTION("""COMPUTED_VALUE"""),20.52)</f>
        <v>20.52</v>
      </c>
      <c r="E1741" s="2">
        <f>IFERROR(__xludf.DUMMYFUNCTION("""COMPUTED_VALUE"""),21.12)</f>
        <v>21.12</v>
      </c>
      <c r="F1741" s="2">
        <f>IFERROR(__xludf.DUMMYFUNCTION("""COMPUTED_VALUE"""),5013963.0)</f>
        <v>5013963</v>
      </c>
    </row>
    <row r="1742">
      <c r="A1742" s="3">
        <f>IFERROR(__xludf.DUMMYFUNCTION("""COMPUTED_VALUE"""),42881.66666666667)</f>
        <v>42881.66667</v>
      </c>
      <c r="B1742" s="2">
        <f>IFERROR(__xludf.DUMMYFUNCTION("""COMPUTED_VALUE"""),21.15)</f>
        <v>21.15</v>
      </c>
      <c r="C1742" s="2">
        <f>IFERROR(__xludf.DUMMYFUNCTION("""COMPUTED_VALUE"""),21.7)</f>
        <v>21.7</v>
      </c>
      <c r="D1742" s="2">
        <f>IFERROR(__xludf.DUMMYFUNCTION("""COMPUTED_VALUE"""),21.09)</f>
        <v>21.09</v>
      </c>
      <c r="E1742" s="2">
        <f>IFERROR(__xludf.DUMMYFUNCTION("""COMPUTED_VALUE"""),21.68)</f>
        <v>21.68</v>
      </c>
      <c r="F1742" s="2">
        <f>IFERROR(__xludf.DUMMYFUNCTION("""COMPUTED_VALUE"""),7802199.0)</f>
        <v>7802199</v>
      </c>
    </row>
    <row r="1743">
      <c r="A1743" s="3">
        <f>IFERROR(__xludf.DUMMYFUNCTION("""COMPUTED_VALUE"""),42885.66666666667)</f>
        <v>42885.66667</v>
      </c>
      <c r="B1743" s="2">
        <f>IFERROR(__xludf.DUMMYFUNCTION("""COMPUTED_VALUE"""),21.73)</f>
        <v>21.73</v>
      </c>
      <c r="C1743" s="2">
        <f>IFERROR(__xludf.DUMMYFUNCTION("""COMPUTED_VALUE"""),22.42)</f>
        <v>22.42</v>
      </c>
      <c r="D1743" s="2">
        <f>IFERROR(__xludf.DUMMYFUNCTION("""COMPUTED_VALUE"""),21.72)</f>
        <v>21.72</v>
      </c>
      <c r="E1743" s="2">
        <f>IFERROR(__xludf.DUMMYFUNCTION("""COMPUTED_VALUE"""),22.34)</f>
        <v>22.34</v>
      </c>
      <c r="F1743" s="2">
        <f>IFERROR(__xludf.DUMMYFUNCTION("""COMPUTED_VALUE"""),7782916.0)</f>
        <v>7782916</v>
      </c>
    </row>
    <row r="1744">
      <c r="A1744" s="3">
        <f>IFERROR(__xludf.DUMMYFUNCTION("""COMPUTED_VALUE"""),42886.66666666667)</f>
        <v>42886.66667</v>
      </c>
      <c r="B1744" s="2">
        <f>IFERROR(__xludf.DUMMYFUNCTION("""COMPUTED_VALUE"""),22.51)</f>
        <v>22.51</v>
      </c>
      <c r="C1744" s="2">
        <f>IFERROR(__xludf.DUMMYFUNCTION("""COMPUTED_VALUE"""),22.86)</f>
        <v>22.86</v>
      </c>
      <c r="D1744" s="2">
        <f>IFERROR(__xludf.DUMMYFUNCTION("""COMPUTED_VALUE"""),22.34)</f>
        <v>22.34</v>
      </c>
      <c r="E1744" s="2">
        <f>IFERROR(__xludf.DUMMYFUNCTION("""COMPUTED_VALUE"""),22.73)</f>
        <v>22.73</v>
      </c>
      <c r="F1744" s="2">
        <f>IFERROR(__xludf.DUMMYFUNCTION("""COMPUTED_VALUE"""),9963444.0)</f>
        <v>9963444</v>
      </c>
    </row>
    <row r="1745">
      <c r="A1745" s="3">
        <f>IFERROR(__xludf.DUMMYFUNCTION("""COMPUTED_VALUE"""),42887.66666666667)</f>
        <v>42887.66667</v>
      </c>
      <c r="B1745" s="2">
        <f>IFERROR(__xludf.DUMMYFUNCTION("""COMPUTED_VALUE"""),22.93)</f>
        <v>22.93</v>
      </c>
      <c r="C1745" s="2">
        <f>IFERROR(__xludf.DUMMYFUNCTION("""COMPUTED_VALUE"""),22.99)</f>
        <v>22.99</v>
      </c>
      <c r="D1745" s="2">
        <f>IFERROR(__xludf.DUMMYFUNCTION("""COMPUTED_VALUE"""),22.49)</f>
        <v>22.49</v>
      </c>
      <c r="E1745" s="2">
        <f>IFERROR(__xludf.DUMMYFUNCTION("""COMPUTED_VALUE"""),22.69)</f>
        <v>22.69</v>
      </c>
      <c r="F1745" s="2">
        <f>IFERROR(__xludf.DUMMYFUNCTION("""COMPUTED_VALUE"""),7607996.0)</f>
        <v>7607996</v>
      </c>
    </row>
    <row r="1746">
      <c r="A1746" s="3">
        <f>IFERROR(__xludf.DUMMYFUNCTION("""COMPUTED_VALUE"""),42888.66666666667)</f>
        <v>42888.66667</v>
      </c>
      <c r="B1746" s="2">
        <f>IFERROR(__xludf.DUMMYFUNCTION("""COMPUTED_VALUE"""),22.65)</f>
        <v>22.65</v>
      </c>
      <c r="C1746" s="2">
        <f>IFERROR(__xludf.DUMMYFUNCTION("""COMPUTED_VALUE"""),22.86)</f>
        <v>22.86</v>
      </c>
      <c r="D1746" s="2">
        <f>IFERROR(__xludf.DUMMYFUNCTION("""COMPUTED_VALUE"""),22.4)</f>
        <v>22.4</v>
      </c>
      <c r="E1746" s="2">
        <f>IFERROR(__xludf.DUMMYFUNCTION("""COMPUTED_VALUE"""),22.66)</f>
        <v>22.66</v>
      </c>
      <c r="F1746" s="2">
        <f>IFERROR(__xludf.DUMMYFUNCTION("""COMPUTED_VALUE"""),5590239.0)</f>
        <v>5590239</v>
      </c>
    </row>
    <row r="1747">
      <c r="A1747" s="3">
        <f>IFERROR(__xludf.DUMMYFUNCTION("""COMPUTED_VALUE"""),42891.66666666667)</f>
        <v>42891.66667</v>
      </c>
      <c r="B1747" s="2">
        <f>IFERROR(__xludf.DUMMYFUNCTION("""COMPUTED_VALUE"""),22.57)</f>
        <v>22.57</v>
      </c>
      <c r="C1747" s="2">
        <f>IFERROR(__xludf.DUMMYFUNCTION("""COMPUTED_VALUE"""),23.23)</f>
        <v>23.23</v>
      </c>
      <c r="D1747" s="2">
        <f>IFERROR(__xludf.DUMMYFUNCTION("""COMPUTED_VALUE"""),22.28)</f>
        <v>22.28</v>
      </c>
      <c r="E1747" s="2">
        <f>IFERROR(__xludf.DUMMYFUNCTION("""COMPUTED_VALUE"""),23.15)</f>
        <v>23.15</v>
      </c>
      <c r="F1747" s="2">
        <f>IFERROR(__xludf.DUMMYFUNCTION("""COMPUTED_VALUE"""),6784368.0)</f>
        <v>6784368</v>
      </c>
    </row>
    <row r="1748">
      <c r="A1748" s="3">
        <f>IFERROR(__xludf.DUMMYFUNCTION("""COMPUTED_VALUE"""),42892.66666666667)</f>
        <v>42892.66667</v>
      </c>
      <c r="B1748" s="2">
        <f>IFERROR(__xludf.DUMMYFUNCTION("""COMPUTED_VALUE"""),22.98)</f>
        <v>22.98</v>
      </c>
      <c r="C1748" s="2">
        <f>IFERROR(__xludf.DUMMYFUNCTION("""COMPUTED_VALUE"""),23.97)</f>
        <v>23.97</v>
      </c>
      <c r="D1748" s="2">
        <f>IFERROR(__xludf.DUMMYFUNCTION("""COMPUTED_VALUE"""),22.66)</f>
        <v>22.66</v>
      </c>
      <c r="E1748" s="2">
        <f>IFERROR(__xludf.DUMMYFUNCTION("""COMPUTED_VALUE"""),23.52)</f>
        <v>23.52</v>
      </c>
      <c r="F1748" s="2">
        <f>IFERROR(__xludf.DUMMYFUNCTION("""COMPUTED_VALUE"""),1.1086798E7)</f>
        <v>11086798</v>
      </c>
    </row>
    <row r="1749">
      <c r="A1749" s="3">
        <f>IFERROR(__xludf.DUMMYFUNCTION("""COMPUTED_VALUE"""),42893.66666666667)</f>
        <v>42893.66667</v>
      </c>
      <c r="B1749" s="2">
        <f>IFERROR(__xludf.DUMMYFUNCTION("""COMPUTED_VALUE"""),23.76)</f>
        <v>23.76</v>
      </c>
      <c r="C1749" s="2">
        <f>IFERROR(__xludf.DUMMYFUNCTION("""COMPUTED_VALUE"""),24.03)</f>
        <v>24.03</v>
      </c>
      <c r="D1749" s="2">
        <f>IFERROR(__xludf.DUMMYFUNCTION("""COMPUTED_VALUE"""),23.68)</f>
        <v>23.68</v>
      </c>
      <c r="E1749" s="2">
        <f>IFERROR(__xludf.DUMMYFUNCTION("""COMPUTED_VALUE"""),23.98)</f>
        <v>23.98</v>
      </c>
      <c r="F1749" s="2">
        <f>IFERROR(__xludf.DUMMYFUNCTION("""COMPUTED_VALUE"""),9397959.0)</f>
        <v>9397959</v>
      </c>
    </row>
    <row r="1750">
      <c r="A1750" s="3">
        <f>IFERROR(__xludf.DUMMYFUNCTION("""COMPUTED_VALUE"""),42894.66666666667)</f>
        <v>42894.66667</v>
      </c>
      <c r="B1750" s="2">
        <f>IFERROR(__xludf.DUMMYFUNCTION("""COMPUTED_VALUE"""),24.25)</f>
        <v>24.25</v>
      </c>
      <c r="C1750" s="2">
        <f>IFERROR(__xludf.DUMMYFUNCTION("""COMPUTED_VALUE"""),24.79)</f>
        <v>24.79</v>
      </c>
      <c r="D1750" s="2">
        <f>IFERROR(__xludf.DUMMYFUNCTION("""COMPUTED_VALUE"""),24.01)</f>
        <v>24.01</v>
      </c>
      <c r="E1750" s="2">
        <f>IFERROR(__xludf.DUMMYFUNCTION("""COMPUTED_VALUE"""),24.67)</f>
        <v>24.67</v>
      </c>
      <c r="F1750" s="2">
        <f>IFERROR(__xludf.DUMMYFUNCTION("""COMPUTED_VALUE"""),9061496.0)</f>
        <v>9061496</v>
      </c>
    </row>
    <row r="1751">
      <c r="A1751" s="3">
        <f>IFERROR(__xludf.DUMMYFUNCTION("""COMPUTED_VALUE"""),42895.66666666667)</f>
        <v>42895.66667</v>
      </c>
      <c r="B1751" s="2">
        <f>IFERROR(__xludf.DUMMYFUNCTION("""COMPUTED_VALUE"""),24.96)</f>
        <v>24.96</v>
      </c>
      <c r="C1751" s="2">
        <f>IFERROR(__xludf.DUMMYFUNCTION("""COMPUTED_VALUE"""),25.12)</f>
        <v>25.12</v>
      </c>
      <c r="D1751" s="2">
        <f>IFERROR(__xludf.DUMMYFUNCTION("""COMPUTED_VALUE"""),23.65)</f>
        <v>23.65</v>
      </c>
      <c r="E1751" s="2">
        <f>IFERROR(__xludf.DUMMYFUNCTION("""COMPUTED_VALUE"""),23.82)</f>
        <v>23.82</v>
      </c>
      <c r="F1751" s="2">
        <f>IFERROR(__xludf.DUMMYFUNCTION("""COMPUTED_VALUE"""),1.7261435E7)</f>
        <v>17261435</v>
      </c>
    </row>
    <row r="1752">
      <c r="A1752" s="3">
        <f>IFERROR(__xludf.DUMMYFUNCTION("""COMPUTED_VALUE"""),42898.66666666667)</f>
        <v>42898.66667</v>
      </c>
      <c r="B1752" s="2">
        <f>IFERROR(__xludf.DUMMYFUNCTION("""COMPUTED_VALUE"""),23.87)</f>
        <v>23.87</v>
      </c>
      <c r="C1752" s="2">
        <f>IFERROR(__xludf.DUMMYFUNCTION("""COMPUTED_VALUE"""),24.3)</f>
        <v>24.3</v>
      </c>
      <c r="D1752" s="2">
        <f>IFERROR(__xludf.DUMMYFUNCTION("""COMPUTED_VALUE"""),23.37)</f>
        <v>23.37</v>
      </c>
      <c r="E1752" s="2">
        <f>IFERROR(__xludf.DUMMYFUNCTION("""COMPUTED_VALUE"""),23.93)</f>
        <v>23.93</v>
      </c>
      <c r="F1752" s="2">
        <f>IFERROR(__xludf.DUMMYFUNCTION("""COMPUTED_VALUE"""),1.051766E7)</f>
        <v>10517660</v>
      </c>
    </row>
    <row r="1753">
      <c r="A1753" s="3">
        <f>IFERROR(__xludf.DUMMYFUNCTION("""COMPUTED_VALUE"""),42899.66666666667)</f>
        <v>42899.66667</v>
      </c>
      <c r="B1753" s="2">
        <f>IFERROR(__xludf.DUMMYFUNCTION("""COMPUTED_VALUE"""),24.51)</f>
        <v>24.51</v>
      </c>
      <c r="C1753" s="2">
        <f>IFERROR(__xludf.DUMMYFUNCTION("""COMPUTED_VALUE"""),25.07)</f>
        <v>25.07</v>
      </c>
      <c r="D1753" s="2">
        <f>IFERROR(__xludf.DUMMYFUNCTION("""COMPUTED_VALUE"""),24.44)</f>
        <v>24.44</v>
      </c>
      <c r="E1753" s="2">
        <f>IFERROR(__xludf.DUMMYFUNCTION("""COMPUTED_VALUE"""),25.06)</f>
        <v>25.06</v>
      </c>
      <c r="F1753" s="2">
        <f>IFERROR(__xludf.DUMMYFUNCTION("""COMPUTED_VALUE"""),1.180792E7)</f>
        <v>11807920</v>
      </c>
    </row>
    <row r="1754">
      <c r="A1754" s="3">
        <f>IFERROR(__xludf.DUMMYFUNCTION("""COMPUTED_VALUE"""),42900.66666666667)</f>
        <v>42900.66667</v>
      </c>
      <c r="B1754" s="2">
        <f>IFERROR(__xludf.DUMMYFUNCTION("""COMPUTED_VALUE"""),25.41)</f>
        <v>25.41</v>
      </c>
      <c r="C1754" s="2">
        <f>IFERROR(__xludf.DUMMYFUNCTION("""COMPUTED_VALUE"""),25.62)</f>
        <v>25.62</v>
      </c>
      <c r="D1754" s="2">
        <f>IFERROR(__xludf.DUMMYFUNCTION("""COMPUTED_VALUE"""),25.09)</f>
        <v>25.09</v>
      </c>
      <c r="E1754" s="2">
        <f>IFERROR(__xludf.DUMMYFUNCTION("""COMPUTED_VALUE"""),25.38)</f>
        <v>25.38</v>
      </c>
      <c r="F1754" s="2">
        <f>IFERROR(__xludf.DUMMYFUNCTION("""COMPUTED_VALUE"""),1.2818429E7)</f>
        <v>12818429</v>
      </c>
    </row>
    <row r="1755">
      <c r="A1755" s="3">
        <f>IFERROR(__xludf.DUMMYFUNCTION("""COMPUTED_VALUE"""),42901.66666666667)</f>
        <v>42901.66667</v>
      </c>
      <c r="B1755" s="2">
        <f>IFERROR(__xludf.DUMMYFUNCTION("""COMPUTED_VALUE"""),24.83)</f>
        <v>24.83</v>
      </c>
      <c r="C1755" s="2">
        <f>IFERROR(__xludf.DUMMYFUNCTION("""COMPUTED_VALUE"""),25.03)</f>
        <v>25.03</v>
      </c>
      <c r="D1755" s="2">
        <f>IFERROR(__xludf.DUMMYFUNCTION("""COMPUTED_VALUE"""),24.43)</f>
        <v>24.43</v>
      </c>
      <c r="E1755" s="2">
        <f>IFERROR(__xludf.DUMMYFUNCTION("""COMPUTED_VALUE"""),25.02)</f>
        <v>25.02</v>
      </c>
      <c r="F1755" s="2">
        <f>IFERROR(__xludf.DUMMYFUNCTION("""COMPUTED_VALUE"""),1.0426469E7)</f>
        <v>10426469</v>
      </c>
    </row>
    <row r="1756">
      <c r="A1756" s="3">
        <f>IFERROR(__xludf.DUMMYFUNCTION("""COMPUTED_VALUE"""),42902.66666666667)</f>
        <v>42902.66667</v>
      </c>
      <c r="B1756" s="2">
        <f>IFERROR(__xludf.DUMMYFUNCTION("""COMPUTED_VALUE"""),25.2)</f>
        <v>25.2</v>
      </c>
      <c r="C1756" s="2">
        <f>IFERROR(__xludf.DUMMYFUNCTION("""COMPUTED_VALUE"""),25.2)</f>
        <v>25.2</v>
      </c>
      <c r="D1756" s="2">
        <f>IFERROR(__xludf.DUMMYFUNCTION("""COMPUTED_VALUE"""),24.67)</f>
        <v>24.67</v>
      </c>
      <c r="E1756" s="2">
        <f>IFERROR(__xludf.DUMMYFUNCTION("""COMPUTED_VALUE"""),24.76)</f>
        <v>24.76</v>
      </c>
      <c r="F1756" s="2">
        <f>IFERROR(__xludf.DUMMYFUNCTION("""COMPUTED_VALUE"""),6730973.0)</f>
        <v>6730973</v>
      </c>
    </row>
    <row r="1757">
      <c r="A1757" s="3">
        <f>IFERROR(__xludf.DUMMYFUNCTION("""COMPUTED_VALUE"""),42905.66666666667)</f>
        <v>42905.66667</v>
      </c>
      <c r="B1757" s="2">
        <f>IFERROR(__xludf.DUMMYFUNCTION("""COMPUTED_VALUE"""),25.0)</f>
        <v>25</v>
      </c>
      <c r="C1757" s="2">
        <f>IFERROR(__xludf.DUMMYFUNCTION("""COMPUTED_VALUE"""),25.11)</f>
        <v>25.11</v>
      </c>
      <c r="D1757" s="2">
        <f>IFERROR(__xludf.DUMMYFUNCTION("""COMPUTED_VALUE"""),24.52)</f>
        <v>24.52</v>
      </c>
      <c r="E1757" s="2">
        <f>IFERROR(__xludf.DUMMYFUNCTION("""COMPUTED_VALUE"""),24.65)</f>
        <v>24.65</v>
      </c>
      <c r="F1757" s="2">
        <f>IFERROR(__xludf.DUMMYFUNCTION("""COMPUTED_VALUE"""),6549332.0)</f>
        <v>6549332</v>
      </c>
    </row>
    <row r="1758">
      <c r="A1758" s="3">
        <f>IFERROR(__xludf.DUMMYFUNCTION("""COMPUTED_VALUE"""),42906.66666666667)</f>
        <v>42906.66667</v>
      </c>
      <c r="B1758" s="2">
        <f>IFERROR(__xludf.DUMMYFUNCTION("""COMPUTED_VALUE"""),25.11)</f>
        <v>25.11</v>
      </c>
      <c r="C1758" s="2">
        <f>IFERROR(__xludf.DUMMYFUNCTION("""COMPUTED_VALUE"""),25.26)</f>
        <v>25.26</v>
      </c>
      <c r="D1758" s="2">
        <f>IFERROR(__xludf.DUMMYFUNCTION("""COMPUTED_VALUE"""),24.65)</f>
        <v>24.65</v>
      </c>
      <c r="E1758" s="2">
        <f>IFERROR(__xludf.DUMMYFUNCTION("""COMPUTED_VALUE"""),24.82)</f>
        <v>24.82</v>
      </c>
      <c r="F1758" s="2">
        <f>IFERROR(__xludf.DUMMYFUNCTION("""COMPUTED_VALUE"""),7438701.0)</f>
        <v>7438701</v>
      </c>
    </row>
    <row r="1759">
      <c r="A1759" s="3">
        <f>IFERROR(__xludf.DUMMYFUNCTION("""COMPUTED_VALUE"""),42907.66666666667)</f>
        <v>42907.66667</v>
      </c>
      <c r="B1759" s="2">
        <f>IFERROR(__xludf.DUMMYFUNCTION("""COMPUTED_VALUE"""),24.96)</f>
        <v>24.96</v>
      </c>
      <c r="C1759" s="2">
        <f>IFERROR(__xludf.DUMMYFUNCTION("""COMPUTED_VALUE"""),25.13)</f>
        <v>25.13</v>
      </c>
      <c r="D1759" s="2">
        <f>IFERROR(__xludf.DUMMYFUNCTION("""COMPUTED_VALUE"""),24.53)</f>
        <v>24.53</v>
      </c>
      <c r="E1759" s="2">
        <f>IFERROR(__xludf.DUMMYFUNCTION("""COMPUTED_VALUE"""),25.09)</f>
        <v>25.09</v>
      </c>
      <c r="F1759" s="2">
        <f>IFERROR(__xludf.DUMMYFUNCTION("""COMPUTED_VALUE"""),4923210.0)</f>
        <v>4923210</v>
      </c>
    </row>
    <row r="1760">
      <c r="A1760" s="3">
        <f>IFERROR(__xludf.DUMMYFUNCTION("""COMPUTED_VALUE"""),42908.66666666667)</f>
        <v>42908.66667</v>
      </c>
      <c r="B1760" s="2">
        <f>IFERROR(__xludf.DUMMYFUNCTION("""COMPUTED_VALUE"""),25.2)</f>
        <v>25.2</v>
      </c>
      <c r="C1760" s="2">
        <f>IFERROR(__xludf.DUMMYFUNCTION("""COMPUTED_VALUE"""),25.67)</f>
        <v>25.67</v>
      </c>
      <c r="D1760" s="2">
        <f>IFERROR(__xludf.DUMMYFUNCTION("""COMPUTED_VALUE"""),24.9)</f>
        <v>24.9</v>
      </c>
      <c r="E1760" s="2">
        <f>IFERROR(__xludf.DUMMYFUNCTION("""COMPUTED_VALUE"""),25.51)</f>
        <v>25.51</v>
      </c>
      <c r="F1760" s="2">
        <f>IFERROR(__xludf.DUMMYFUNCTION("""COMPUTED_VALUE"""),7529778.0)</f>
        <v>7529778</v>
      </c>
    </row>
    <row r="1761">
      <c r="A1761" s="3">
        <f>IFERROR(__xludf.DUMMYFUNCTION("""COMPUTED_VALUE"""),42909.66666666667)</f>
        <v>42909.66667</v>
      </c>
      <c r="B1761" s="2">
        <f>IFERROR(__xludf.DUMMYFUNCTION("""COMPUTED_VALUE"""),25.5)</f>
        <v>25.5</v>
      </c>
      <c r="C1761" s="2">
        <f>IFERROR(__xludf.DUMMYFUNCTION("""COMPUTED_VALUE"""),25.8)</f>
        <v>25.8</v>
      </c>
      <c r="D1761" s="2">
        <f>IFERROR(__xludf.DUMMYFUNCTION("""COMPUTED_VALUE"""),25.29)</f>
        <v>25.29</v>
      </c>
      <c r="E1761" s="2">
        <f>IFERROR(__xludf.DUMMYFUNCTION("""COMPUTED_VALUE"""),25.56)</f>
        <v>25.56</v>
      </c>
      <c r="F1761" s="2">
        <f>IFERROR(__xludf.DUMMYFUNCTION("""COMPUTED_VALUE"""),6445758.0)</f>
        <v>6445758</v>
      </c>
    </row>
    <row r="1762">
      <c r="A1762" s="3">
        <f>IFERROR(__xludf.DUMMYFUNCTION("""COMPUTED_VALUE"""),42912.66666666667)</f>
        <v>42912.66667</v>
      </c>
      <c r="B1762" s="2">
        <f>IFERROR(__xludf.DUMMYFUNCTION("""COMPUTED_VALUE"""),25.78)</f>
        <v>25.78</v>
      </c>
      <c r="C1762" s="2">
        <f>IFERROR(__xludf.DUMMYFUNCTION("""COMPUTED_VALUE"""),25.8)</f>
        <v>25.8</v>
      </c>
      <c r="D1762" s="2">
        <f>IFERROR(__xludf.DUMMYFUNCTION("""COMPUTED_VALUE"""),24.87)</f>
        <v>24.87</v>
      </c>
      <c r="E1762" s="2">
        <f>IFERROR(__xludf.DUMMYFUNCTION("""COMPUTED_VALUE"""),25.17)</f>
        <v>25.17</v>
      </c>
      <c r="F1762" s="2">
        <f>IFERROR(__xludf.DUMMYFUNCTION("""COMPUTED_VALUE"""),6604099.0)</f>
        <v>6604099</v>
      </c>
    </row>
    <row r="1763">
      <c r="A1763" s="3">
        <f>IFERROR(__xludf.DUMMYFUNCTION("""COMPUTED_VALUE"""),42913.66666666667)</f>
        <v>42913.66667</v>
      </c>
      <c r="B1763" s="2">
        <f>IFERROR(__xludf.DUMMYFUNCTION("""COMPUTED_VALUE"""),25.09)</f>
        <v>25.09</v>
      </c>
      <c r="C1763" s="2">
        <f>IFERROR(__xludf.DUMMYFUNCTION("""COMPUTED_VALUE"""),25.09)</f>
        <v>25.09</v>
      </c>
      <c r="D1763" s="2">
        <f>IFERROR(__xludf.DUMMYFUNCTION("""COMPUTED_VALUE"""),24.13)</f>
        <v>24.13</v>
      </c>
      <c r="E1763" s="2">
        <f>IFERROR(__xludf.DUMMYFUNCTION("""COMPUTED_VALUE"""),24.16)</f>
        <v>24.16</v>
      </c>
      <c r="F1763" s="2">
        <f>IFERROR(__xludf.DUMMYFUNCTION("""COMPUTED_VALUE"""),6996399.0)</f>
        <v>6996399</v>
      </c>
    </row>
    <row r="1764">
      <c r="A1764" s="3">
        <f>IFERROR(__xludf.DUMMYFUNCTION("""COMPUTED_VALUE"""),42914.66666666667)</f>
        <v>42914.66667</v>
      </c>
      <c r="B1764" s="2">
        <f>IFERROR(__xludf.DUMMYFUNCTION("""COMPUTED_VALUE"""),24.45)</f>
        <v>24.45</v>
      </c>
      <c r="C1764" s="2">
        <f>IFERROR(__xludf.DUMMYFUNCTION("""COMPUTED_VALUE"""),24.78)</f>
        <v>24.78</v>
      </c>
      <c r="D1764" s="2">
        <f>IFERROR(__xludf.DUMMYFUNCTION("""COMPUTED_VALUE"""),24.17)</f>
        <v>24.17</v>
      </c>
      <c r="E1764" s="2">
        <f>IFERROR(__xludf.DUMMYFUNCTION("""COMPUTED_VALUE"""),24.75)</f>
        <v>24.75</v>
      </c>
      <c r="F1764" s="2">
        <f>IFERROR(__xludf.DUMMYFUNCTION("""COMPUTED_VALUE"""),6302463.0)</f>
        <v>6302463</v>
      </c>
    </row>
    <row r="1765">
      <c r="A1765" s="3">
        <f>IFERROR(__xludf.DUMMYFUNCTION("""COMPUTED_VALUE"""),42915.66666666667)</f>
        <v>42915.66667</v>
      </c>
      <c r="B1765" s="2">
        <f>IFERROR(__xludf.DUMMYFUNCTION("""COMPUTED_VALUE"""),24.71)</f>
        <v>24.71</v>
      </c>
      <c r="C1765" s="2">
        <f>IFERROR(__xludf.DUMMYFUNCTION("""COMPUTED_VALUE"""),24.73)</f>
        <v>24.73</v>
      </c>
      <c r="D1765" s="2">
        <f>IFERROR(__xludf.DUMMYFUNCTION("""COMPUTED_VALUE"""),23.61)</f>
        <v>23.61</v>
      </c>
      <c r="E1765" s="2">
        <f>IFERROR(__xludf.DUMMYFUNCTION("""COMPUTED_VALUE"""),24.05)</f>
        <v>24.05</v>
      </c>
      <c r="F1765" s="2">
        <f>IFERROR(__xludf.DUMMYFUNCTION("""COMPUTED_VALUE"""),8221038.0)</f>
        <v>8221038</v>
      </c>
    </row>
    <row r="1766">
      <c r="A1766" s="3">
        <f>IFERROR(__xludf.DUMMYFUNCTION("""COMPUTED_VALUE"""),42916.66666666667)</f>
        <v>42916.66667</v>
      </c>
      <c r="B1766" s="2">
        <f>IFERROR(__xludf.DUMMYFUNCTION("""COMPUTED_VALUE"""),24.25)</f>
        <v>24.25</v>
      </c>
      <c r="C1766" s="2">
        <f>IFERROR(__xludf.DUMMYFUNCTION("""COMPUTED_VALUE"""),24.45)</f>
        <v>24.45</v>
      </c>
      <c r="D1766" s="2">
        <f>IFERROR(__xludf.DUMMYFUNCTION("""COMPUTED_VALUE"""),23.97)</f>
        <v>23.97</v>
      </c>
      <c r="E1766" s="2">
        <f>IFERROR(__xludf.DUMMYFUNCTION("""COMPUTED_VALUE"""),24.11)</f>
        <v>24.11</v>
      </c>
      <c r="F1766" s="2">
        <f>IFERROR(__xludf.DUMMYFUNCTION("""COMPUTED_VALUE"""),5848521.0)</f>
        <v>5848521</v>
      </c>
    </row>
    <row r="1767">
      <c r="A1767" s="3">
        <f>IFERROR(__xludf.DUMMYFUNCTION("""COMPUTED_VALUE"""),42919.66666666667)</f>
        <v>42919.66667</v>
      </c>
      <c r="B1767" s="2">
        <f>IFERROR(__xludf.DUMMYFUNCTION("""COMPUTED_VALUE"""),24.68)</f>
        <v>24.68</v>
      </c>
      <c r="C1767" s="2">
        <f>IFERROR(__xludf.DUMMYFUNCTION("""COMPUTED_VALUE"""),24.76)</f>
        <v>24.76</v>
      </c>
      <c r="D1767" s="2">
        <f>IFERROR(__xludf.DUMMYFUNCTION("""COMPUTED_VALUE"""),23.43)</f>
        <v>23.43</v>
      </c>
      <c r="E1767" s="2">
        <f>IFERROR(__xludf.DUMMYFUNCTION("""COMPUTED_VALUE"""),23.51)</f>
        <v>23.51</v>
      </c>
      <c r="F1767" s="2">
        <f>IFERROR(__xludf.DUMMYFUNCTION("""COMPUTED_VALUE"""),6305401.0)</f>
        <v>6305401</v>
      </c>
    </row>
    <row r="1768">
      <c r="A1768" s="3">
        <f>IFERROR(__xludf.DUMMYFUNCTION("""COMPUTED_VALUE"""),42921.66666666667)</f>
        <v>42921.66667</v>
      </c>
      <c r="B1768" s="2">
        <f>IFERROR(__xludf.DUMMYFUNCTION("""COMPUTED_VALUE"""),23.15)</f>
        <v>23.15</v>
      </c>
      <c r="C1768" s="2">
        <f>IFERROR(__xludf.DUMMYFUNCTION("""COMPUTED_VALUE"""),23.15)</f>
        <v>23.15</v>
      </c>
      <c r="D1768" s="2">
        <f>IFERROR(__xludf.DUMMYFUNCTION("""COMPUTED_VALUE"""),21.76)</f>
        <v>21.76</v>
      </c>
      <c r="E1768" s="2">
        <f>IFERROR(__xludf.DUMMYFUNCTION("""COMPUTED_VALUE"""),21.81)</f>
        <v>21.81</v>
      </c>
      <c r="F1768" s="2">
        <f>IFERROR(__xludf.DUMMYFUNCTION("""COMPUTED_VALUE"""),1.7046701E7)</f>
        <v>17046701</v>
      </c>
    </row>
    <row r="1769">
      <c r="A1769" s="3">
        <f>IFERROR(__xludf.DUMMYFUNCTION("""COMPUTED_VALUE"""),42922.66666666667)</f>
        <v>42922.66667</v>
      </c>
      <c r="B1769" s="2">
        <f>IFERROR(__xludf.DUMMYFUNCTION("""COMPUTED_VALUE"""),21.15)</f>
        <v>21.15</v>
      </c>
      <c r="C1769" s="2">
        <f>IFERROR(__xludf.DUMMYFUNCTION("""COMPUTED_VALUE"""),21.39)</f>
        <v>21.39</v>
      </c>
      <c r="D1769" s="2">
        <f>IFERROR(__xludf.DUMMYFUNCTION("""COMPUTED_VALUE"""),20.42)</f>
        <v>20.42</v>
      </c>
      <c r="E1769" s="2">
        <f>IFERROR(__xludf.DUMMYFUNCTION("""COMPUTED_VALUE"""),20.59)</f>
        <v>20.59</v>
      </c>
      <c r="F1769" s="2">
        <f>IFERROR(__xludf.DUMMYFUNCTION("""COMPUTED_VALUE"""),1.9324495E7)</f>
        <v>19324495</v>
      </c>
    </row>
    <row r="1770">
      <c r="A1770" s="3">
        <f>IFERROR(__xludf.DUMMYFUNCTION("""COMPUTED_VALUE"""),42923.66666666667)</f>
        <v>42923.66667</v>
      </c>
      <c r="B1770" s="2">
        <f>IFERROR(__xludf.DUMMYFUNCTION("""COMPUTED_VALUE"""),20.9)</f>
        <v>20.9</v>
      </c>
      <c r="C1770" s="2">
        <f>IFERROR(__xludf.DUMMYFUNCTION("""COMPUTED_VALUE"""),21.13)</f>
        <v>21.13</v>
      </c>
      <c r="D1770" s="2">
        <f>IFERROR(__xludf.DUMMYFUNCTION("""COMPUTED_VALUE"""),20.49)</f>
        <v>20.49</v>
      </c>
      <c r="E1770" s="2">
        <f>IFERROR(__xludf.DUMMYFUNCTION("""COMPUTED_VALUE"""),20.88)</f>
        <v>20.88</v>
      </c>
      <c r="F1770" s="2">
        <f>IFERROR(__xludf.DUMMYFUNCTION("""COMPUTED_VALUE"""),1.4176915E7)</f>
        <v>14176915</v>
      </c>
    </row>
    <row r="1771">
      <c r="A1771" s="3">
        <f>IFERROR(__xludf.DUMMYFUNCTION("""COMPUTED_VALUE"""),42926.66666666667)</f>
        <v>42926.66667</v>
      </c>
      <c r="B1771" s="2">
        <f>IFERROR(__xludf.DUMMYFUNCTION("""COMPUTED_VALUE"""),20.86)</f>
        <v>20.86</v>
      </c>
      <c r="C1771" s="2">
        <f>IFERROR(__xludf.DUMMYFUNCTION("""COMPUTED_VALUE"""),21.2)</f>
        <v>21.2</v>
      </c>
      <c r="D1771" s="2">
        <f>IFERROR(__xludf.DUMMYFUNCTION("""COMPUTED_VALUE"""),20.21)</f>
        <v>20.21</v>
      </c>
      <c r="E1771" s="2">
        <f>IFERROR(__xludf.DUMMYFUNCTION("""COMPUTED_VALUE"""),21.07)</f>
        <v>21.07</v>
      </c>
      <c r="F1771" s="2">
        <f>IFERROR(__xludf.DUMMYFUNCTION("""COMPUTED_VALUE"""),1.3820889E7)</f>
        <v>13820889</v>
      </c>
    </row>
    <row r="1772">
      <c r="A1772" s="3">
        <f>IFERROR(__xludf.DUMMYFUNCTION("""COMPUTED_VALUE"""),42927.66666666667)</f>
        <v>42927.66667</v>
      </c>
      <c r="B1772" s="2">
        <f>IFERROR(__xludf.DUMMYFUNCTION("""COMPUTED_VALUE"""),21.07)</f>
        <v>21.07</v>
      </c>
      <c r="C1772" s="2">
        <f>IFERROR(__xludf.DUMMYFUNCTION("""COMPUTED_VALUE"""),21.82)</f>
        <v>21.82</v>
      </c>
      <c r="D1772" s="2">
        <f>IFERROR(__xludf.DUMMYFUNCTION("""COMPUTED_VALUE"""),20.95)</f>
        <v>20.95</v>
      </c>
      <c r="E1772" s="2">
        <f>IFERROR(__xludf.DUMMYFUNCTION("""COMPUTED_VALUE"""),21.81)</f>
        <v>21.81</v>
      </c>
      <c r="F1772" s="2">
        <f>IFERROR(__xludf.DUMMYFUNCTION("""COMPUTED_VALUE"""),1.1559402E7)</f>
        <v>11559402</v>
      </c>
    </row>
    <row r="1773">
      <c r="A1773" s="3">
        <f>IFERROR(__xludf.DUMMYFUNCTION("""COMPUTED_VALUE"""),42928.66666666667)</f>
        <v>42928.66667</v>
      </c>
      <c r="B1773" s="2">
        <f>IFERROR(__xludf.DUMMYFUNCTION("""COMPUTED_VALUE"""),22.03)</f>
        <v>22.03</v>
      </c>
      <c r="C1773" s="2">
        <f>IFERROR(__xludf.DUMMYFUNCTION("""COMPUTED_VALUE"""),22.21)</f>
        <v>22.21</v>
      </c>
      <c r="D1773" s="2">
        <f>IFERROR(__xludf.DUMMYFUNCTION("""COMPUTED_VALUE"""),21.63)</f>
        <v>21.63</v>
      </c>
      <c r="E1773" s="2">
        <f>IFERROR(__xludf.DUMMYFUNCTION("""COMPUTED_VALUE"""),21.97)</f>
        <v>21.97</v>
      </c>
      <c r="F1773" s="2">
        <f>IFERROR(__xludf.DUMMYFUNCTION("""COMPUTED_VALUE"""),1.0346127E7)</f>
        <v>10346127</v>
      </c>
    </row>
    <row r="1774">
      <c r="A1774" s="3">
        <f>IFERROR(__xludf.DUMMYFUNCTION("""COMPUTED_VALUE"""),42929.66666666667)</f>
        <v>42929.66667</v>
      </c>
      <c r="B1774" s="2">
        <f>IFERROR(__xludf.DUMMYFUNCTION("""COMPUTED_VALUE"""),22.01)</f>
        <v>22.01</v>
      </c>
      <c r="C1774" s="2">
        <f>IFERROR(__xludf.DUMMYFUNCTION("""COMPUTED_VALUE"""),22.11)</f>
        <v>22.11</v>
      </c>
      <c r="D1774" s="2">
        <f>IFERROR(__xludf.DUMMYFUNCTION("""COMPUTED_VALUE"""),21.33)</f>
        <v>21.33</v>
      </c>
      <c r="E1774" s="2">
        <f>IFERROR(__xludf.DUMMYFUNCTION("""COMPUTED_VALUE"""),21.56)</f>
        <v>21.56</v>
      </c>
      <c r="F1774" s="2">
        <f>IFERROR(__xludf.DUMMYFUNCTION("""COMPUTED_VALUE"""),8594466.0)</f>
        <v>8594466</v>
      </c>
    </row>
    <row r="1775">
      <c r="A1775" s="3">
        <f>IFERROR(__xludf.DUMMYFUNCTION("""COMPUTED_VALUE"""),42930.66666666667)</f>
        <v>42930.66667</v>
      </c>
      <c r="B1775" s="2">
        <f>IFERROR(__xludf.DUMMYFUNCTION("""COMPUTED_VALUE"""),21.55)</f>
        <v>21.55</v>
      </c>
      <c r="C1775" s="2">
        <f>IFERROR(__xludf.DUMMYFUNCTION("""COMPUTED_VALUE"""),21.89)</f>
        <v>21.89</v>
      </c>
      <c r="D1775" s="2">
        <f>IFERROR(__xludf.DUMMYFUNCTION("""COMPUTED_VALUE"""),21.41)</f>
        <v>21.41</v>
      </c>
      <c r="E1775" s="2">
        <f>IFERROR(__xludf.DUMMYFUNCTION("""COMPUTED_VALUE"""),21.85)</f>
        <v>21.85</v>
      </c>
      <c r="F1775" s="2">
        <f>IFERROR(__xludf.DUMMYFUNCTION("""COMPUTED_VALUE"""),5625211.0)</f>
        <v>5625211</v>
      </c>
    </row>
    <row r="1776">
      <c r="A1776" s="3">
        <f>IFERROR(__xludf.DUMMYFUNCTION("""COMPUTED_VALUE"""),42933.66666666667)</f>
        <v>42933.66667</v>
      </c>
      <c r="B1776" s="2">
        <f>IFERROR(__xludf.DUMMYFUNCTION("""COMPUTED_VALUE"""),21.7)</f>
        <v>21.7</v>
      </c>
      <c r="C1776" s="2">
        <f>IFERROR(__xludf.DUMMYFUNCTION("""COMPUTED_VALUE"""),21.81)</f>
        <v>21.81</v>
      </c>
      <c r="D1776" s="2">
        <f>IFERROR(__xludf.DUMMYFUNCTION("""COMPUTED_VALUE"""),20.9)</f>
        <v>20.9</v>
      </c>
      <c r="E1776" s="2">
        <f>IFERROR(__xludf.DUMMYFUNCTION("""COMPUTED_VALUE"""),21.3)</f>
        <v>21.3</v>
      </c>
      <c r="F1776" s="2">
        <f>IFERROR(__xludf.DUMMYFUNCTION("""COMPUTED_VALUE"""),9876912.0)</f>
        <v>9876912</v>
      </c>
    </row>
    <row r="1777">
      <c r="A1777" s="3">
        <f>IFERROR(__xludf.DUMMYFUNCTION("""COMPUTED_VALUE"""),42934.66666666667)</f>
        <v>42934.66667</v>
      </c>
      <c r="B1777" s="2">
        <f>IFERROR(__xludf.DUMMYFUNCTION("""COMPUTED_VALUE"""),21.17)</f>
        <v>21.17</v>
      </c>
      <c r="C1777" s="2">
        <f>IFERROR(__xludf.DUMMYFUNCTION("""COMPUTED_VALUE"""),21.94)</f>
        <v>21.94</v>
      </c>
      <c r="D1777" s="2">
        <f>IFERROR(__xludf.DUMMYFUNCTION("""COMPUTED_VALUE"""),21.04)</f>
        <v>21.04</v>
      </c>
      <c r="E1777" s="2">
        <f>IFERROR(__xludf.DUMMYFUNCTION("""COMPUTED_VALUE"""),21.88)</f>
        <v>21.88</v>
      </c>
      <c r="F1777" s="2">
        <f>IFERROR(__xludf.DUMMYFUNCTION("""COMPUTED_VALUE"""),6373720.0)</f>
        <v>6373720</v>
      </c>
    </row>
    <row r="1778">
      <c r="A1778" s="3">
        <f>IFERROR(__xludf.DUMMYFUNCTION("""COMPUTED_VALUE"""),42935.66666666667)</f>
        <v>42935.66667</v>
      </c>
      <c r="B1778" s="2">
        <f>IFERROR(__xludf.DUMMYFUNCTION("""COMPUTED_VALUE"""),21.88)</f>
        <v>21.88</v>
      </c>
      <c r="C1778" s="2">
        <f>IFERROR(__xludf.DUMMYFUNCTION("""COMPUTED_VALUE"""),22.11)</f>
        <v>22.11</v>
      </c>
      <c r="D1778" s="2">
        <f>IFERROR(__xludf.DUMMYFUNCTION("""COMPUTED_VALUE"""),21.55)</f>
        <v>21.55</v>
      </c>
      <c r="E1778" s="2">
        <f>IFERROR(__xludf.DUMMYFUNCTION("""COMPUTED_VALUE"""),21.68)</f>
        <v>21.68</v>
      </c>
      <c r="F1778" s="2">
        <f>IFERROR(__xludf.DUMMYFUNCTION("""COMPUTED_VALUE"""),6357014.0)</f>
        <v>6357014</v>
      </c>
    </row>
    <row r="1779">
      <c r="A1779" s="3">
        <f>IFERROR(__xludf.DUMMYFUNCTION("""COMPUTED_VALUE"""),42936.66666666667)</f>
        <v>42936.66667</v>
      </c>
      <c r="B1779" s="2">
        <f>IFERROR(__xludf.DUMMYFUNCTION("""COMPUTED_VALUE"""),21.79)</f>
        <v>21.79</v>
      </c>
      <c r="C1779" s="2">
        <f>IFERROR(__xludf.DUMMYFUNCTION("""COMPUTED_VALUE"""),22.01)</f>
        <v>22.01</v>
      </c>
      <c r="D1779" s="2">
        <f>IFERROR(__xludf.DUMMYFUNCTION("""COMPUTED_VALUE"""),21.61)</f>
        <v>21.61</v>
      </c>
      <c r="E1779" s="2">
        <f>IFERROR(__xludf.DUMMYFUNCTION("""COMPUTED_VALUE"""),21.99)</f>
        <v>21.99</v>
      </c>
      <c r="F1779" s="2">
        <f>IFERROR(__xludf.DUMMYFUNCTION("""COMPUTED_VALUE"""),5166188.0)</f>
        <v>5166188</v>
      </c>
    </row>
    <row r="1780">
      <c r="A1780" s="3">
        <f>IFERROR(__xludf.DUMMYFUNCTION("""COMPUTED_VALUE"""),42937.66666666667)</f>
        <v>42937.66667</v>
      </c>
      <c r="B1780" s="2">
        <f>IFERROR(__xludf.DUMMYFUNCTION("""COMPUTED_VALUE"""),21.96)</f>
        <v>21.96</v>
      </c>
      <c r="C1780" s="2">
        <f>IFERROR(__xludf.DUMMYFUNCTION("""COMPUTED_VALUE"""),22.08)</f>
        <v>22.08</v>
      </c>
      <c r="D1780" s="2">
        <f>IFERROR(__xludf.DUMMYFUNCTION("""COMPUTED_VALUE"""),21.72)</f>
        <v>21.72</v>
      </c>
      <c r="E1780" s="2">
        <f>IFERROR(__xludf.DUMMYFUNCTION("""COMPUTED_VALUE"""),21.89)</f>
        <v>21.89</v>
      </c>
      <c r="F1780" s="2">
        <f>IFERROR(__xludf.DUMMYFUNCTION("""COMPUTED_VALUE"""),4901606.0)</f>
        <v>4901606</v>
      </c>
    </row>
    <row r="1781">
      <c r="A1781" s="3">
        <f>IFERROR(__xludf.DUMMYFUNCTION("""COMPUTED_VALUE"""),42940.66666666667)</f>
        <v>42940.66667</v>
      </c>
      <c r="B1781" s="2">
        <f>IFERROR(__xludf.DUMMYFUNCTION("""COMPUTED_VALUE"""),22.02)</f>
        <v>22.02</v>
      </c>
      <c r="C1781" s="2">
        <f>IFERROR(__xludf.DUMMYFUNCTION("""COMPUTED_VALUE"""),22.89)</f>
        <v>22.89</v>
      </c>
      <c r="D1781" s="2">
        <f>IFERROR(__xludf.DUMMYFUNCTION("""COMPUTED_VALUE"""),22.0)</f>
        <v>22</v>
      </c>
      <c r="E1781" s="2">
        <f>IFERROR(__xludf.DUMMYFUNCTION("""COMPUTED_VALUE"""),22.83)</f>
        <v>22.83</v>
      </c>
      <c r="F1781" s="2">
        <f>IFERROR(__xludf.DUMMYFUNCTION("""COMPUTED_VALUE"""),8637082.0)</f>
        <v>8637082</v>
      </c>
    </row>
    <row r="1782">
      <c r="A1782" s="3">
        <f>IFERROR(__xludf.DUMMYFUNCTION("""COMPUTED_VALUE"""),42941.66666666667)</f>
        <v>42941.66667</v>
      </c>
      <c r="B1782" s="2">
        <f>IFERROR(__xludf.DUMMYFUNCTION("""COMPUTED_VALUE"""),23.0)</f>
        <v>23</v>
      </c>
      <c r="C1782" s="2">
        <f>IFERROR(__xludf.DUMMYFUNCTION("""COMPUTED_VALUE"""),23.04)</f>
        <v>23.04</v>
      </c>
      <c r="D1782" s="2">
        <f>IFERROR(__xludf.DUMMYFUNCTION("""COMPUTED_VALUE"""),22.28)</f>
        <v>22.28</v>
      </c>
      <c r="E1782" s="2">
        <f>IFERROR(__xludf.DUMMYFUNCTION("""COMPUTED_VALUE"""),22.64)</f>
        <v>22.64</v>
      </c>
      <c r="F1782" s="2">
        <f>IFERROR(__xludf.DUMMYFUNCTION("""COMPUTED_VALUE"""),6989197.0)</f>
        <v>6989197</v>
      </c>
    </row>
    <row r="1783">
      <c r="A1783" s="3">
        <f>IFERROR(__xludf.DUMMYFUNCTION("""COMPUTED_VALUE"""),42942.66666666667)</f>
        <v>42942.66667</v>
      </c>
      <c r="B1783" s="2">
        <f>IFERROR(__xludf.DUMMYFUNCTION("""COMPUTED_VALUE"""),22.69)</f>
        <v>22.69</v>
      </c>
      <c r="C1783" s="2">
        <f>IFERROR(__xludf.DUMMYFUNCTION("""COMPUTED_VALUE"""),23.03)</f>
        <v>23.03</v>
      </c>
      <c r="D1783" s="2">
        <f>IFERROR(__xludf.DUMMYFUNCTION("""COMPUTED_VALUE"""),22.54)</f>
        <v>22.54</v>
      </c>
      <c r="E1783" s="2">
        <f>IFERROR(__xludf.DUMMYFUNCTION("""COMPUTED_VALUE"""),22.92)</f>
        <v>22.92</v>
      </c>
      <c r="F1783" s="2">
        <f>IFERROR(__xludf.DUMMYFUNCTION("""COMPUTED_VALUE"""),4820790.0)</f>
        <v>4820790</v>
      </c>
    </row>
    <row r="1784">
      <c r="A1784" s="3">
        <f>IFERROR(__xludf.DUMMYFUNCTION("""COMPUTED_VALUE"""),42943.66666666667)</f>
        <v>42943.66667</v>
      </c>
      <c r="B1784" s="2">
        <f>IFERROR(__xludf.DUMMYFUNCTION("""COMPUTED_VALUE"""),23.07)</f>
        <v>23.07</v>
      </c>
      <c r="C1784" s="2">
        <f>IFERROR(__xludf.DUMMYFUNCTION("""COMPUTED_VALUE"""),23.17)</f>
        <v>23.17</v>
      </c>
      <c r="D1784" s="2">
        <f>IFERROR(__xludf.DUMMYFUNCTION("""COMPUTED_VALUE"""),21.75)</f>
        <v>21.75</v>
      </c>
      <c r="E1784" s="2">
        <f>IFERROR(__xludf.DUMMYFUNCTION("""COMPUTED_VALUE"""),22.3)</f>
        <v>22.3</v>
      </c>
      <c r="F1784" s="2">
        <f>IFERROR(__xludf.DUMMYFUNCTION("""COMPUTED_VALUE"""),8302405.0)</f>
        <v>8302405</v>
      </c>
    </row>
    <row r="1785">
      <c r="A1785" s="3">
        <f>IFERROR(__xludf.DUMMYFUNCTION("""COMPUTED_VALUE"""),42944.66666666667)</f>
        <v>42944.66667</v>
      </c>
      <c r="B1785" s="2">
        <f>IFERROR(__xludf.DUMMYFUNCTION("""COMPUTED_VALUE"""),22.46)</f>
        <v>22.46</v>
      </c>
      <c r="C1785" s="2">
        <f>IFERROR(__xludf.DUMMYFUNCTION("""COMPUTED_VALUE"""),22.64)</f>
        <v>22.64</v>
      </c>
      <c r="D1785" s="2">
        <f>IFERROR(__xludf.DUMMYFUNCTION("""COMPUTED_VALUE"""),22.17)</f>
        <v>22.17</v>
      </c>
      <c r="E1785" s="2">
        <f>IFERROR(__xludf.DUMMYFUNCTION("""COMPUTED_VALUE"""),22.34)</f>
        <v>22.34</v>
      </c>
      <c r="F1785" s="2">
        <f>IFERROR(__xludf.DUMMYFUNCTION("""COMPUTED_VALUE"""),4880414.0)</f>
        <v>4880414</v>
      </c>
    </row>
    <row r="1786">
      <c r="A1786" s="3">
        <f>IFERROR(__xludf.DUMMYFUNCTION("""COMPUTED_VALUE"""),42947.66666666667)</f>
        <v>42947.66667</v>
      </c>
      <c r="B1786" s="2">
        <f>IFERROR(__xludf.DUMMYFUNCTION("""COMPUTED_VALUE"""),22.37)</f>
        <v>22.37</v>
      </c>
      <c r="C1786" s="2">
        <f>IFERROR(__xludf.DUMMYFUNCTION("""COMPUTED_VALUE"""),22.77)</f>
        <v>22.77</v>
      </c>
      <c r="D1786" s="2">
        <f>IFERROR(__xludf.DUMMYFUNCTION("""COMPUTED_VALUE"""),21.4)</f>
        <v>21.4</v>
      </c>
      <c r="E1786" s="2">
        <f>IFERROR(__xludf.DUMMYFUNCTION("""COMPUTED_VALUE"""),21.56)</f>
        <v>21.56</v>
      </c>
      <c r="F1786" s="2">
        <f>IFERROR(__xludf.DUMMYFUNCTION("""COMPUTED_VALUE"""),8535136.0)</f>
        <v>8535136</v>
      </c>
    </row>
    <row r="1787">
      <c r="A1787" s="3">
        <f>IFERROR(__xludf.DUMMYFUNCTION("""COMPUTED_VALUE"""),42948.66666666667)</f>
        <v>42948.66667</v>
      </c>
      <c r="B1787" s="2">
        <f>IFERROR(__xludf.DUMMYFUNCTION("""COMPUTED_VALUE"""),21.53)</f>
        <v>21.53</v>
      </c>
      <c r="C1787" s="2">
        <f>IFERROR(__xludf.DUMMYFUNCTION("""COMPUTED_VALUE"""),21.63)</f>
        <v>21.63</v>
      </c>
      <c r="D1787" s="2">
        <f>IFERROR(__xludf.DUMMYFUNCTION("""COMPUTED_VALUE"""),21.08)</f>
        <v>21.08</v>
      </c>
      <c r="E1787" s="2">
        <f>IFERROR(__xludf.DUMMYFUNCTION("""COMPUTED_VALUE"""),21.3)</f>
        <v>21.3</v>
      </c>
      <c r="F1787" s="2">
        <f>IFERROR(__xludf.DUMMYFUNCTION("""COMPUTED_VALUE"""),8303102.0)</f>
        <v>8303102</v>
      </c>
    </row>
    <row r="1788">
      <c r="A1788" s="3">
        <f>IFERROR(__xludf.DUMMYFUNCTION("""COMPUTED_VALUE"""),42949.66666666667)</f>
        <v>42949.66667</v>
      </c>
      <c r="B1788" s="2">
        <f>IFERROR(__xludf.DUMMYFUNCTION("""COMPUTED_VALUE"""),21.26)</f>
        <v>21.26</v>
      </c>
      <c r="C1788" s="2">
        <f>IFERROR(__xludf.DUMMYFUNCTION("""COMPUTED_VALUE"""),21.81)</f>
        <v>21.81</v>
      </c>
      <c r="D1788" s="2">
        <f>IFERROR(__xludf.DUMMYFUNCTION("""COMPUTED_VALUE"""),20.75)</f>
        <v>20.75</v>
      </c>
      <c r="E1788" s="2">
        <f>IFERROR(__xludf.DUMMYFUNCTION("""COMPUTED_VALUE"""),21.73)</f>
        <v>21.73</v>
      </c>
      <c r="F1788" s="2">
        <f>IFERROR(__xludf.DUMMYFUNCTION("""COMPUTED_VALUE"""),1.3091462E7)</f>
        <v>13091462</v>
      </c>
    </row>
    <row r="1789">
      <c r="A1789" s="3">
        <f>IFERROR(__xludf.DUMMYFUNCTION("""COMPUTED_VALUE"""),42950.66666666667)</f>
        <v>42950.66667</v>
      </c>
      <c r="B1789" s="2">
        <f>IFERROR(__xludf.DUMMYFUNCTION("""COMPUTED_VALUE"""),23.02)</f>
        <v>23.02</v>
      </c>
      <c r="C1789" s="2">
        <f>IFERROR(__xludf.DUMMYFUNCTION("""COMPUTED_VALUE"""),23.33)</f>
        <v>23.33</v>
      </c>
      <c r="D1789" s="2">
        <f>IFERROR(__xludf.DUMMYFUNCTION("""COMPUTED_VALUE"""),22.88)</f>
        <v>22.88</v>
      </c>
      <c r="E1789" s="2">
        <f>IFERROR(__xludf.DUMMYFUNCTION("""COMPUTED_VALUE"""),23.14)</f>
        <v>23.14</v>
      </c>
      <c r="F1789" s="2">
        <f>IFERROR(__xludf.DUMMYFUNCTION("""COMPUTED_VALUE"""),1.3535033E7)</f>
        <v>13535033</v>
      </c>
    </row>
    <row r="1790">
      <c r="A1790" s="3">
        <f>IFERROR(__xludf.DUMMYFUNCTION("""COMPUTED_VALUE"""),42951.66666666667)</f>
        <v>42951.66667</v>
      </c>
      <c r="B1790" s="2">
        <f>IFERROR(__xludf.DUMMYFUNCTION("""COMPUTED_VALUE"""),23.13)</f>
        <v>23.13</v>
      </c>
      <c r="C1790" s="2">
        <f>IFERROR(__xludf.DUMMYFUNCTION("""COMPUTED_VALUE"""),23.82)</f>
        <v>23.82</v>
      </c>
      <c r="D1790" s="2">
        <f>IFERROR(__xludf.DUMMYFUNCTION("""COMPUTED_VALUE"""),22.89)</f>
        <v>22.89</v>
      </c>
      <c r="E1790" s="2">
        <f>IFERROR(__xludf.DUMMYFUNCTION("""COMPUTED_VALUE"""),23.79)</f>
        <v>23.79</v>
      </c>
      <c r="F1790" s="2">
        <f>IFERROR(__xludf.DUMMYFUNCTION("""COMPUTED_VALUE"""),9268909.0)</f>
        <v>9268909</v>
      </c>
    </row>
    <row r="1791">
      <c r="A1791" s="3">
        <f>IFERROR(__xludf.DUMMYFUNCTION("""COMPUTED_VALUE"""),42954.66666666667)</f>
        <v>42954.66667</v>
      </c>
      <c r="B1791" s="2">
        <f>IFERROR(__xludf.DUMMYFUNCTION("""COMPUTED_VALUE"""),23.82)</f>
        <v>23.82</v>
      </c>
      <c r="C1791" s="2">
        <f>IFERROR(__xludf.DUMMYFUNCTION("""COMPUTED_VALUE"""),23.97)</f>
        <v>23.97</v>
      </c>
      <c r="D1791" s="2">
        <f>IFERROR(__xludf.DUMMYFUNCTION("""COMPUTED_VALUE"""),23.52)</f>
        <v>23.52</v>
      </c>
      <c r="E1791" s="2">
        <f>IFERROR(__xludf.DUMMYFUNCTION("""COMPUTED_VALUE"""),23.68)</f>
        <v>23.68</v>
      </c>
      <c r="F1791" s="2">
        <f>IFERROR(__xludf.DUMMYFUNCTION("""COMPUTED_VALUE"""),6324480.0)</f>
        <v>6324480</v>
      </c>
    </row>
    <row r="1792">
      <c r="A1792" s="3">
        <f>IFERROR(__xludf.DUMMYFUNCTION("""COMPUTED_VALUE"""),42955.66666666667)</f>
        <v>42955.66667</v>
      </c>
      <c r="B1792" s="2">
        <f>IFERROR(__xludf.DUMMYFUNCTION("""COMPUTED_VALUE"""),23.84)</f>
        <v>23.84</v>
      </c>
      <c r="C1792" s="2">
        <f>IFERROR(__xludf.DUMMYFUNCTION("""COMPUTED_VALUE"""),24.57)</f>
        <v>24.57</v>
      </c>
      <c r="D1792" s="2">
        <f>IFERROR(__xludf.DUMMYFUNCTION("""COMPUTED_VALUE"""),23.83)</f>
        <v>23.83</v>
      </c>
      <c r="E1792" s="2">
        <f>IFERROR(__xludf.DUMMYFUNCTION("""COMPUTED_VALUE"""),24.35)</f>
        <v>24.35</v>
      </c>
      <c r="F1792" s="2">
        <f>IFERROR(__xludf.DUMMYFUNCTION("""COMPUTED_VALUE"""),7449837.0)</f>
        <v>7449837</v>
      </c>
    </row>
    <row r="1793">
      <c r="A1793" s="3">
        <f>IFERROR(__xludf.DUMMYFUNCTION("""COMPUTED_VALUE"""),42956.66666666667)</f>
        <v>42956.66667</v>
      </c>
      <c r="B1793" s="2">
        <f>IFERROR(__xludf.DUMMYFUNCTION("""COMPUTED_VALUE"""),24.07)</f>
        <v>24.07</v>
      </c>
      <c r="C1793" s="2">
        <f>IFERROR(__xludf.DUMMYFUNCTION("""COMPUTED_VALUE"""),24.67)</f>
        <v>24.67</v>
      </c>
      <c r="D1793" s="2">
        <f>IFERROR(__xludf.DUMMYFUNCTION("""COMPUTED_VALUE"""),23.93)</f>
        <v>23.93</v>
      </c>
      <c r="E1793" s="2">
        <f>IFERROR(__xludf.DUMMYFUNCTION("""COMPUTED_VALUE"""),24.24)</f>
        <v>24.24</v>
      </c>
      <c r="F1793" s="2">
        <f>IFERROR(__xludf.DUMMYFUNCTION("""COMPUTED_VALUE"""),6892096.0)</f>
        <v>6892096</v>
      </c>
    </row>
    <row r="1794">
      <c r="A1794" s="3">
        <f>IFERROR(__xludf.DUMMYFUNCTION("""COMPUTED_VALUE"""),42957.66666666667)</f>
        <v>42957.66667</v>
      </c>
      <c r="B1794" s="2">
        <f>IFERROR(__xludf.DUMMYFUNCTION("""COMPUTED_VALUE"""),24.11)</f>
        <v>24.11</v>
      </c>
      <c r="C1794" s="2">
        <f>IFERROR(__xludf.DUMMYFUNCTION("""COMPUTED_VALUE"""),24.44)</f>
        <v>24.44</v>
      </c>
      <c r="D1794" s="2">
        <f>IFERROR(__xludf.DUMMYFUNCTION("""COMPUTED_VALUE"""),23.64)</f>
        <v>23.64</v>
      </c>
      <c r="E1794" s="2">
        <f>IFERROR(__xludf.DUMMYFUNCTION("""COMPUTED_VALUE"""),23.69)</f>
        <v>23.69</v>
      </c>
      <c r="F1794" s="2">
        <f>IFERROR(__xludf.DUMMYFUNCTION("""COMPUTED_VALUE"""),7092858.0)</f>
        <v>7092858</v>
      </c>
    </row>
    <row r="1795">
      <c r="A1795" s="3">
        <f>IFERROR(__xludf.DUMMYFUNCTION("""COMPUTED_VALUE"""),42958.66666666667)</f>
        <v>42958.66667</v>
      </c>
      <c r="B1795" s="2">
        <f>IFERROR(__xludf.DUMMYFUNCTION("""COMPUTED_VALUE"""),23.8)</f>
        <v>23.8</v>
      </c>
      <c r="C1795" s="2">
        <f>IFERROR(__xludf.DUMMYFUNCTION("""COMPUTED_VALUE"""),24.08)</f>
        <v>24.08</v>
      </c>
      <c r="D1795" s="2">
        <f>IFERROR(__xludf.DUMMYFUNCTION("""COMPUTED_VALUE"""),23.57)</f>
        <v>23.57</v>
      </c>
      <c r="E1795" s="2">
        <f>IFERROR(__xludf.DUMMYFUNCTION("""COMPUTED_VALUE"""),23.86)</f>
        <v>23.86</v>
      </c>
      <c r="F1795" s="2">
        <f>IFERROR(__xludf.DUMMYFUNCTION("""COMPUTED_VALUE"""),4365783.0)</f>
        <v>4365783</v>
      </c>
    </row>
    <row r="1796">
      <c r="A1796" s="3">
        <f>IFERROR(__xludf.DUMMYFUNCTION("""COMPUTED_VALUE"""),42961.66666666667)</f>
        <v>42961.66667</v>
      </c>
      <c r="B1796" s="2">
        <f>IFERROR(__xludf.DUMMYFUNCTION("""COMPUTED_VALUE"""),24.31)</f>
        <v>24.31</v>
      </c>
      <c r="C1796" s="2">
        <f>IFERROR(__xludf.DUMMYFUNCTION("""COMPUTED_VALUE"""),24.51)</f>
        <v>24.51</v>
      </c>
      <c r="D1796" s="2">
        <f>IFERROR(__xludf.DUMMYFUNCTION("""COMPUTED_VALUE"""),24.17)</f>
        <v>24.17</v>
      </c>
      <c r="E1796" s="2">
        <f>IFERROR(__xludf.DUMMYFUNCTION("""COMPUTED_VALUE"""),24.25)</f>
        <v>24.25</v>
      </c>
      <c r="F1796" s="2">
        <f>IFERROR(__xludf.DUMMYFUNCTION("""COMPUTED_VALUE"""),4519186.0)</f>
        <v>4519186</v>
      </c>
    </row>
    <row r="1797">
      <c r="A1797" s="3">
        <f>IFERROR(__xludf.DUMMYFUNCTION("""COMPUTED_VALUE"""),42962.66666666667)</f>
        <v>42962.66667</v>
      </c>
      <c r="B1797" s="2">
        <f>IFERROR(__xludf.DUMMYFUNCTION("""COMPUTED_VALUE"""),24.35)</f>
        <v>24.35</v>
      </c>
      <c r="C1797" s="2">
        <f>IFERROR(__xludf.DUMMYFUNCTION("""COMPUTED_VALUE"""),24.37)</f>
        <v>24.37</v>
      </c>
      <c r="D1797" s="2">
        <f>IFERROR(__xludf.DUMMYFUNCTION("""COMPUTED_VALUE"""),23.96)</f>
        <v>23.96</v>
      </c>
      <c r="E1797" s="2">
        <f>IFERROR(__xludf.DUMMYFUNCTION("""COMPUTED_VALUE"""),24.16)</f>
        <v>24.16</v>
      </c>
      <c r="F1797" s="2">
        <f>IFERROR(__xludf.DUMMYFUNCTION("""COMPUTED_VALUE"""),3085088.0)</f>
        <v>3085088</v>
      </c>
    </row>
    <row r="1798">
      <c r="A1798" s="3">
        <f>IFERROR(__xludf.DUMMYFUNCTION("""COMPUTED_VALUE"""),42963.66666666667)</f>
        <v>42963.66667</v>
      </c>
      <c r="B1798" s="2">
        <f>IFERROR(__xludf.DUMMYFUNCTION("""COMPUTED_VALUE"""),24.2)</f>
        <v>24.2</v>
      </c>
      <c r="C1798" s="2">
        <f>IFERROR(__xludf.DUMMYFUNCTION("""COMPUTED_VALUE"""),24.43)</f>
        <v>24.43</v>
      </c>
      <c r="D1798" s="2">
        <f>IFERROR(__xludf.DUMMYFUNCTION("""COMPUTED_VALUE"""),24.17)</f>
        <v>24.17</v>
      </c>
      <c r="E1798" s="2">
        <f>IFERROR(__xludf.DUMMYFUNCTION("""COMPUTED_VALUE"""),24.19)</f>
        <v>24.19</v>
      </c>
      <c r="F1798" s="2">
        <f>IFERROR(__xludf.DUMMYFUNCTION("""COMPUTED_VALUE"""),3413773.0)</f>
        <v>3413773</v>
      </c>
    </row>
    <row r="1799">
      <c r="A1799" s="3">
        <f>IFERROR(__xludf.DUMMYFUNCTION("""COMPUTED_VALUE"""),42964.66666666667)</f>
        <v>42964.66667</v>
      </c>
      <c r="B1799" s="2">
        <f>IFERROR(__xludf.DUMMYFUNCTION("""COMPUTED_VALUE"""),24.08)</f>
        <v>24.08</v>
      </c>
      <c r="C1799" s="2">
        <f>IFERROR(__xludf.DUMMYFUNCTION("""COMPUTED_VALUE"""),24.22)</f>
        <v>24.22</v>
      </c>
      <c r="D1799" s="2">
        <f>IFERROR(__xludf.DUMMYFUNCTION("""COMPUTED_VALUE"""),23.44)</f>
        <v>23.44</v>
      </c>
      <c r="E1799" s="2">
        <f>IFERROR(__xludf.DUMMYFUNCTION("""COMPUTED_VALUE"""),23.46)</f>
        <v>23.46</v>
      </c>
      <c r="F1799" s="2">
        <f>IFERROR(__xludf.DUMMYFUNCTION("""COMPUTED_VALUE"""),5027660.0)</f>
        <v>5027660</v>
      </c>
    </row>
    <row r="1800">
      <c r="A1800" s="3">
        <f>IFERROR(__xludf.DUMMYFUNCTION("""COMPUTED_VALUE"""),42965.66666666667)</f>
        <v>42965.66667</v>
      </c>
      <c r="B1800" s="2">
        <f>IFERROR(__xludf.DUMMYFUNCTION("""COMPUTED_VALUE"""),23.53)</f>
        <v>23.53</v>
      </c>
      <c r="C1800" s="2">
        <f>IFERROR(__xludf.DUMMYFUNCTION("""COMPUTED_VALUE"""),23.6)</f>
        <v>23.6</v>
      </c>
      <c r="D1800" s="2">
        <f>IFERROR(__xludf.DUMMYFUNCTION("""COMPUTED_VALUE"""),23.05)</f>
        <v>23.05</v>
      </c>
      <c r="E1800" s="2">
        <f>IFERROR(__xludf.DUMMYFUNCTION("""COMPUTED_VALUE"""),23.16)</f>
        <v>23.16</v>
      </c>
      <c r="F1800" s="2">
        <f>IFERROR(__xludf.DUMMYFUNCTION("""COMPUTED_VALUE"""),5408183.0)</f>
        <v>5408183</v>
      </c>
    </row>
    <row r="1801">
      <c r="A1801" s="3">
        <f>IFERROR(__xludf.DUMMYFUNCTION("""COMPUTED_VALUE"""),42968.66666666667)</f>
        <v>42968.66667</v>
      </c>
      <c r="B1801" s="2">
        <f>IFERROR(__xludf.DUMMYFUNCTION("""COMPUTED_VALUE"""),23.05)</f>
        <v>23.05</v>
      </c>
      <c r="C1801" s="2">
        <f>IFERROR(__xludf.DUMMYFUNCTION("""COMPUTED_VALUE"""),23.05)</f>
        <v>23.05</v>
      </c>
      <c r="D1801" s="2">
        <f>IFERROR(__xludf.DUMMYFUNCTION("""COMPUTED_VALUE"""),22.12)</f>
        <v>22.12</v>
      </c>
      <c r="E1801" s="2">
        <f>IFERROR(__xludf.DUMMYFUNCTION("""COMPUTED_VALUE"""),22.52)</f>
        <v>22.52</v>
      </c>
      <c r="F1801" s="2">
        <f>IFERROR(__xludf.DUMMYFUNCTION("""COMPUTED_VALUE"""),6495424.0)</f>
        <v>6495424</v>
      </c>
    </row>
    <row r="1802">
      <c r="A1802" s="3">
        <f>IFERROR(__xludf.DUMMYFUNCTION("""COMPUTED_VALUE"""),42969.66666666667)</f>
        <v>42969.66667</v>
      </c>
      <c r="B1802" s="2">
        <f>IFERROR(__xludf.DUMMYFUNCTION("""COMPUTED_VALUE"""),22.74)</f>
        <v>22.74</v>
      </c>
      <c r="C1802" s="2">
        <f>IFERROR(__xludf.DUMMYFUNCTION("""COMPUTED_VALUE"""),22.82)</f>
        <v>22.82</v>
      </c>
      <c r="D1802" s="2">
        <f>IFERROR(__xludf.DUMMYFUNCTION("""COMPUTED_VALUE"""),22.49)</f>
        <v>22.49</v>
      </c>
      <c r="E1802" s="2">
        <f>IFERROR(__xludf.DUMMYFUNCTION("""COMPUTED_VALUE"""),22.76)</f>
        <v>22.76</v>
      </c>
      <c r="F1802" s="2">
        <f>IFERROR(__xludf.DUMMYFUNCTION("""COMPUTED_VALUE"""),4321966.0)</f>
        <v>4321966</v>
      </c>
    </row>
    <row r="1803">
      <c r="A1803" s="3">
        <f>IFERROR(__xludf.DUMMYFUNCTION("""COMPUTED_VALUE"""),42970.66666666667)</f>
        <v>42970.66667</v>
      </c>
      <c r="B1803" s="2">
        <f>IFERROR(__xludf.DUMMYFUNCTION("""COMPUTED_VALUE"""),22.6)</f>
        <v>22.6</v>
      </c>
      <c r="C1803" s="2">
        <f>IFERROR(__xludf.DUMMYFUNCTION("""COMPUTED_VALUE"""),23.57)</f>
        <v>23.57</v>
      </c>
      <c r="D1803" s="2">
        <f>IFERROR(__xludf.DUMMYFUNCTION("""COMPUTED_VALUE"""),22.55)</f>
        <v>22.55</v>
      </c>
      <c r="E1803" s="2">
        <f>IFERROR(__xludf.DUMMYFUNCTION("""COMPUTED_VALUE"""),23.52)</f>
        <v>23.52</v>
      </c>
      <c r="F1803" s="2">
        <f>IFERROR(__xludf.DUMMYFUNCTION("""COMPUTED_VALUE"""),4954504.0)</f>
        <v>4954504</v>
      </c>
    </row>
    <row r="1804">
      <c r="A1804" s="3">
        <f>IFERROR(__xludf.DUMMYFUNCTION("""COMPUTED_VALUE"""),42971.66666666667)</f>
        <v>42971.66667</v>
      </c>
      <c r="B1804" s="2">
        <f>IFERROR(__xludf.DUMMYFUNCTION("""COMPUTED_VALUE"""),23.5)</f>
        <v>23.5</v>
      </c>
      <c r="C1804" s="2">
        <f>IFERROR(__xludf.DUMMYFUNCTION("""COMPUTED_VALUE"""),23.78)</f>
        <v>23.78</v>
      </c>
      <c r="D1804" s="2">
        <f>IFERROR(__xludf.DUMMYFUNCTION("""COMPUTED_VALUE"""),23.32)</f>
        <v>23.32</v>
      </c>
      <c r="E1804" s="2">
        <f>IFERROR(__xludf.DUMMYFUNCTION("""COMPUTED_VALUE"""),23.53)</f>
        <v>23.53</v>
      </c>
      <c r="F1804" s="2">
        <f>IFERROR(__xludf.DUMMYFUNCTION("""COMPUTED_VALUE"""),4584687.0)</f>
        <v>4584687</v>
      </c>
    </row>
    <row r="1805">
      <c r="A1805" s="3">
        <f>IFERROR(__xludf.DUMMYFUNCTION("""COMPUTED_VALUE"""),42972.66666666667)</f>
        <v>42972.66667</v>
      </c>
      <c r="B1805" s="2">
        <f>IFERROR(__xludf.DUMMYFUNCTION("""COMPUTED_VALUE"""),23.62)</f>
        <v>23.62</v>
      </c>
      <c r="C1805" s="2">
        <f>IFERROR(__xludf.DUMMYFUNCTION("""COMPUTED_VALUE"""),23.71)</f>
        <v>23.71</v>
      </c>
      <c r="D1805" s="2">
        <f>IFERROR(__xludf.DUMMYFUNCTION("""COMPUTED_VALUE"""),23.15)</f>
        <v>23.15</v>
      </c>
      <c r="E1805" s="2">
        <f>IFERROR(__xludf.DUMMYFUNCTION("""COMPUTED_VALUE"""),23.2)</f>
        <v>23.2</v>
      </c>
      <c r="F1805" s="2">
        <f>IFERROR(__xludf.DUMMYFUNCTION("""COMPUTED_VALUE"""),3483956.0)</f>
        <v>3483956</v>
      </c>
    </row>
    <row r="1806">
      <c r="A1806" s="3">
        <f>IFERROR(__xludf.DUMMYFUNCTION("""COMPUTED_VALUE"""),42975.66666666667)</f>
        <v>42975.66667</v>
      </c>
      <c r="B1806" s="2">
        <f>IFERROR(__xludf.DUMMYFUNCTION("""COMPUTED_VALUE"""),23.15)</f>
        <v>23.15</v>
      </c>
      <c r="C1806" s="2">
        <f>IFERROR(__xludf.DUMMYFUNCTION("""COMPUTED_VALUE"""),23.16)</f>
        <v>23.16</v>
      </c>
      <c r="D1806" s="2">
        <f>IFERROR(__xludf.DUMMYFUNCTION("""COMPUTED_VALUE"""),22.65)</f>
        <v>22.65</v>
      </c>
      <c r="E1806" s="2">
        <f>IFERROR(__xludf.DUMMYFUNCTION("""COMPUTED_VALUE"""),23.04)</f>
        <v>23.04</v>
      </c>
      <c r="F1806" s="2">
        <f>IFERROR(__xludf.DUMMYFUNCTION("""COMPUTED_VALUE"""),3763956.0)</f>
        <v>3763956</v>
      </c>
    </row>
    <row r="1807">
      <c r="A1807" s="3">
        <f>IFERROR(__xludf.DUMMYFUNCTION("""COMPUTED_VALUE"""),42976.66666666667)</f>
        <v>42976.66667</v>
      </c>
      <c r="B1807" s="2">
        <f>IFERROR(__xludf.DUMMYFUNCTION("""COMPUTED_VALUE"""),22.63)</f>
        <v>22.63</v>
      </c>
      <c r="C1807" s="2">
        <f>IFERROR(__xludf.DUMMYFUNCTION("""COMPUTED_VALUE"""),23.27)</f>
        <v>23.27</v>
      </c>
      <c r="D1807" s="2">
        <f>IFERROR(__xludf.DUMMYFUNCTION("""COMPUTED_VALUE"""),22.58)</f>
        <v>22.58</v>
      </c>
      <c r="E1807" s="2">
        <f>IFERROR(__xludf.DUMMYFUNCTION("""COMPUTED_VALUE"""),23.16)</f>
        <v>23.16</v>
      </c>
      <c r="F1807" s="2">
        <f>IFERROR(__xludf.DUMMYFUNCTION("""COMPUTED_VALUE"""),4073675.0)</f>
        <v>4073675</v>
      </c>
    </row>
    <row r="1808">
      <c r="A1808" s="3">
        <f>IFERROR(__xludf.DUMMYFUNCTION("""COMPUTED_VALUE"""),42977.66666666667)</f>
        <v>42977.66667</v>
      </c>
      <c r="B1808" s="2">
        <f>IFERROR(__xludf.DUMMYFUNCTION("""COMPUTED_VALUE"""),23.31)</f>
        <v>23.31</v>
      </c>
      <c r="C1808" s="2">
        <f>IFERROR(__xludf.DUMMYFUNCTION("""COMPUTED_VALUE"""),23.56)</f>
        <v>23.56</v>
      </c>
      <c r="D1808" s="2">
        <f>IFERROR(__xludf.DUMMYFUNCTION("""COMPUTED_VALUE"""),23.13)</f>
        <v>23.13</v>
      </c>
      <c r="E1808" s="2">
        <f>IFERROR(__xludf.DUMMYFUNCTION("""COMPUTED_VALUE"""),23.55)</f>
        <v>23.55</v>
      </c>
      <c r="F1808" s="2">
        <f>IFERROR(__xludf.DUMMYFUNCTION("""COMPUTED_VALUE"""),3412943.0)</f>
        <v>3412943</v>
      </c>
    </row>
    <row r="1809">
      <c r="A1809" s="3">
        <f>IFERROR(__xludf.DUMMYFUNCTION("""COMPUTED_VALUE"""),42978.66666666667)</f>
        <v>42978.66667</v>
      </c>
      <c r="B1809" s="2">
        <f>IFERROR(__xludf.DUMMYFUNCTION("""COMPUTED_VALUE"""),23.57)</f>
        <v>23.57</v>
      </c>
      <c r="C1809" s="2">
        <f>IFERROR(__xludf.DUMMYFUNCTION("""COMPUTED_VALUE"""),23.9)</f>
        <v>23.9</v>
      </c>
      <c r="D1809" s="2">
        <f>IFERROR(__xludf.DUMMYFUNCTION("""COMPUTED_VALUE"""),23.52)</f>
        <v>23.52</v>
      </c>
      <c r="E1809" s="2">
        <f>IFERROR(__xludf.DUMMYFUNCTION("""COMPUTED_VALUE"""),23.73)</f>
        <v>23.73</v>
      </c>
      <c r="F1809" s="2">
        <f>IFERROR(__xludf.DUMMYFUNCTION("""COMPUTED_VALUE"""),4072795.0)</f>
        <v>4072795</v>
      </c>
    </row>
    <row r="1810">
      <c r="A1810" s="3">
        <f>IFERROR(__xludf.DUMMYFUNCTION("""COMPUTED_VALUE"""),42979.66666666667)</f>
        <v>42979.66667</v>
      </c>
      <c r="B1810" s="2">
        <f>IFERROR(__xludf.DUMMYFUNCTION("""COMPUTED_VALUE"""),23.74)</f>
        <v>23.74</v>
      </c>
      <c r="C1810" s="2">
        <f>IFERROR(__xludf.DUMMYFUNCTION("""COMPUTED_VALUE"""),23.84)</f>
        <v>23.84</v>
      </c>
      <c r="D1810" s="2">
        <f>IFERROR(__xludf.DUMMYFUNCTION("""COMPUTED_VALUE"""),23.58)</f>
        <v>23.58</v>
      </c>
      <c r="E1810" s="2">
        <f>IFERROR(__xludf.DUMMYFUNCTION("""COMPUTED_VALUE"""),23.69)</f>
        <v>23.69</v>
      </c>
      <c r="F1810" s="2">
        <f>IFERROR(__xludf.DUMMYFUNCTION("""COMPUTED_VALUE"""),3049546.0)</f>
        <v>3049546</v>
      </c>
    </row>
    <row r="1811">
      <c r="A1811" s="3">
        <f>IFERROR(__xludf.DUMMYFUNCTION("""COMPUTED_VALUE"""),42983.66666666667)</f>
        <v>42983.66667</v>
      </c>
      <c r="B1811" s="2">
        <f>IFERROR(__xludf.DUMMYFUNCTION("""COMPUTED_VALUE"""),23.59)</f>
        <v>23.59</v>
      </c>
      <c r="C1811" s="2">
        <f>IFERROR(__xludf.DUMMYFUNCTION("""COMPUTED_VALUE"""),23.7)</f>
        <v>23.7</v>
      </c>
      <c r="D1811" s="2">
        <f>IFERROR(__xludf.DUMMYFUNCTION("""COMPUTED_VALUE"""),23.06)</f>
        <v>23.06</v>
      </c>
      <c r="E1811" s="2">
        <f>IFERROR(__xludf.DUMMYFUNCTION("""COMPUTED_VALUE"""),23.31)</f>
        <v>23.31</v>
      </c>
      <c r="F1811" s="2">
        <f>IFERROR(__xludf.DUMMYFUNCTION("""COMPUTED_VALUE"""),3848382.0)</f>
        <v>3848382</v>
      </c>
    </row>
    <row r="1812">
      <c r="A1812" s="3">
        <f>IFERROR(__xludf.DUMMYFUNCTION("""COMPUTED_VALUE"""),42984.66666666667)</f>
        <v>42984.66667</v>
      </c>
      <c r="B1812" s="2">
        <f>IFERROR(__xludf.DUMMYFUNCTION("""COMPUTED_VALUE"""),23.3)</f>
        <v>23.3</v>
      </c>
      <c r="C1812" s="2">
        <f>IFERROR(__xludf.DUMMYFUNCTION("""COMPUTED_VALUE"""),23.4)</f>
        <v>23.4</v>
      </c>
      <c r="D1812" s="2">
        <f>IFERROR(__xludf.DUMMYFUNCTION("""COMPUTED_VALUE"""),22.77)</f>
        <v>22.77</v>
      </c>
      <c r="E1812" s="2">
        <f>IFERROR(__xludf.DUMMYFUNCTION("""COMPUTED_VALUE"""),22.97)</f>
        <v>22.97</v>
      </c>
      <c r="F1812" s="2">
        <f>IFERROR(__xludf.DUMMYFUNCTION("""COMPUTED_VALUE"""),4091351.0)</f>
        <v>4091351</v>
      </c>
    </row>
    <row r="1813">
      <c r="A1813" s="3">
        <f>IFERROR(__xludf.DUMMYFUNCTION("""COMPUTED_VALUE"""),42985.66666666667)</f>
        <v>42985.66667</v>
      </c>
      <c r="B1813" s="2">
        <f>IFERROR(__xludf.DUMMYFUNCTION("""COMPUTED_VALUE"""),23.07)</f>
        <v>23.07</v>
      </c>
      <c r="C1813" s="2">
        <f>IFERROR(__xludf.DUMMYFUNCTION("""COMPUTED_VALUE"""),23.5)</f>
        <v>23.5</v>
      </c>
      <c r="D1813" s="2">
        <f>IFERROR(__xludf.DUMMYFUNCTION("""COMPUTED_VALUE"""),22.9)</f>
        <v>22.9</v>
      </c>
      <c r="E1813" s="2">
        <f>IFERROR(__xludf.DUMMYFUNCTION("""COMPUTED_VALUE"""),23.37)</f>
        <v>23.37</v>
      </c>
      <c r="F1813" s="2">
        <f>IFERROR(__xludf.DUMMYFUNCTION("""COMPUTED_VALUE"""),4239213.0)</f>
        <v>4239213</v>
      </c>
    </row>
    <row r="1814">
      <c r="A1814" s="3">
        <f>IFERROR(__xludf.DUMMYFUNCTION("""COMPUTED_VALUE"""),42986.66666666667)</f>
        <v>42986.66667</v>
      </c>
      <c r="B1814" s="2">
        <f>IFERROR(__xludf.DUMMYFUNCTION("""COMPUTED_VALUE"""),23.27)</f>
        <v>23.27</v>
      </c>
      <c r="C1814" s="2">
        <f>IFERROR(__xludf.DUMMYFUNCTION("""COMPUTED_VALUE"""),23.32)</f>
        <v>23.32</v>
      </c>
      <c r="D1814" s="2">
        <f>IFERROR(__xludf.DUMMYFUNCTION("""COMPUTED_VALUE"""),22.82)</f>
        <v>22.82</v>
      </c>
      <c r="E1814" s="2">
        <f>IFERROR(__xludf.DUMMYFUNCTION("""COMPUTED_VALUE"""),22.89)</f>
        <v>22.89</v>
      </c>
      <c r="F1814" s="2">
        <f>IFERROR(__xludf.DUMMYFUNCTION("""COMPUTED_VALUE"""),3263508.0)</f>
        <v>3263508</v>
      </c>
    </row>
    <row r="1815">
      <c r="A1815" s="3">
        <f>IFERROR(__xludf.DUMMYFUNCTION("""COMPUTED_VALUE"""),42989.66666666667)</f>
        <v>42989.66667</v>
      </c>
      <c r="B1815" s="2">
        <f>IFERROR(__xludf.DUMMYFUNCTION("""COMPUTED_VALUE"""),23.42)</f>
        <v>23.42</v>
      </c>
      <c r="C1815" s="2">
        <f>IFERROR(__xludf.DUMMYFUNCTION("""COMPUTED_VALUE"""),24.25)</f>
        <v>24.25</v>
      </c>
      <c r="D1815" s="2">
        <f>IFERROR(__xludf.DUMMYFUNCTION("""COMPUTED_VALUE"""),23.33)</f>
        <v>23.33</v>
      </c>
      <c r="E1815" s="2">
        <f>IFERROR(__xludf.DUMMYFUNCTION("""COMPUTED_VALUE"""),24.25)</f>
        <v>24.25</v>
      </c>
      <c r="F1815" s="2">
        <f>IFERROR(__xludf.DUMMYFUNCTION("""COMPUTED_VALUE"""),7667055.0)</f>
        <v>7667055</v>
      </c>
    </row>
    <row r="1816">
      <c r="A1816" s="3">
        <f>IFERROR(__xludf.DUMMYFUNCTION("""COMPUTED_VALUE"""),42990.66666666667)</f>
        <v>42990.66667</v>
      </c>
      <c r="B1816" s="2">
        <f>IFERROR(__xludf.DUMMYFUNCTION("""COMPUTED_VALUE"""),24.3)</f>
        <v>24.3</v>
      </c>
      <c r="C1816" s="2">
        <f>IFERROR(__xludf.DUMMYFUNCTION("""COMPUTED_VALUE"""),24.58)</f>
        <v>24.58</v>
      </c>
      <c r="D1816" s="2">
        <f>IFERROR(__xludf.DUMMYFUNCTION("""COMPUTED_VALUE"""),24.03)</f>
        <v>24.03</v>
      </c>
      <c r="E1816" s="2">
        <f>IFERROR(__xludf.DUMMYFUNCTION("""COMPUTED_VALUE"""),24.18)</f>
        <v>24.18</v>
      </c>
      <c r="F1816" s="2">
        <f>IFERROR(__xludf.DUMMYFUNCTION("""COMPUTED_VALUE"""),5972907.0)</f>
        <v>5972907</v>
      </c>
    </row>
    <row r="1817">
      <c r="A1817" s="3">
        <f>IFERROR(__xludf.DUMMYFUNCTION("""COMPUTED_VALUE"""),42991.66666666667)</f>
        <v>42991.66667</v>
      </c>
      <c r="B1817" s="2">
        <f>IFERROR(__xludf.DUMMYFUNCTION("""COMPUTED_VALUE"""),24.25)</f>
        <v>24.25</v>
      </c>
      <c r="C1817" s="2">
        <f>IFERROR(__xludf.DUMMYFUNCTION("""COMPUTED_VALUE"""),24.54)</f>
        <v>24.54</v>
      </c>
      <c r="D1817" s="2">
        <f>IFERROR(__xludf.DUMMYFUNCTION("""COMPUTED_VALUE"""),23.97)</f>
        <v>23.97</v>
      </c>
      <c r="E1817" s="2">
        <f>IFERROR(__xludf.DUMMYFUNCTION("""COMPUTED_VALUE"""),24.42)</f>
        <v>24.42</v>
      </c>
      <c r="F1817" s="2">
        <f>IFERROR(__xludf.DUMMYFUNCTION("""COMPUTED_VALUE"""),4185231.0)</f>
        <v>4185231</v>
      </c>
    </row>
    <row r="1818">
      <c r="A1818" s="3">
        <f>IFERROR(__xludf.DUMMYFUNCTION("""COMPUTED_VALUE"""),42992.66666666667)</f>
        <v>42992.66667</v>
      </c>
      <c r="B1818" s="2">
        <f>IFERROR(__xludf.DUMMYFUNCTION("""COMPUTED_VALUE"""),24.29)</f>
        <v>24.29</v>
      </c>
      <c r="C1818" s="2">
        <f>IFERROR(__xludf.DUMMYFUNCTION("""COMPUTED_VALUE"""),25.2)</f>
        <v>25.2</v>
      </c>
      <c r="D1818" s="2">
        <f>IFERROR(__xludf.DUMMYFUNCTION("""COMPUTED_VALUE"""),24.18)</f>
        <v>24.18</v>
      </c>
      <c r="E1818" s="2">
        <f>IFERROR(__xludf.DUMMYFUNCTION("""COMPUTED_VALUE"""),25.18)</f>
        <v>25.18</v>
      </c>
      <c r="F1818" s="2">
        <f>IFERROR(__xludf.DUMMYFUNCTION("""COMPUTED_VALUE"""),7202524.0)</f>
        <v>7202524</v>
      </c>
    </row>
    <row r="1819">
      <c r="A1819" s="3">
        <f>IFERROR(__xludf.DUMMYFUNCTION("""COMPUTED_VALUE"""),42993.66666666667)</f>
        <v>42993.66667</v>
      </c>
      <c r="B1819" s="2">
        <f>IFERROR(__xludf.DUMMYFUNCTION("""COMPUTED_VALUE"""),24.97)</f>
        <v>24.97</v>
      </c>
      <c r="C1819" s="2">
        <f>IFERROR(__xludf.DUMMYFUNCTION("""COMPUTED_VALUE"""),25.33)</f>
        <v>25.33</v>
      </c>
      <c r="D1819" s="2">
        <f>IFERROR(__xludf.DUMMYFUNCTION("""COMPUTED_VALUE"""),24.85)</f>
        <v>24.85</v>
      </c>
      <c r="E1819" s="2">
        <f>IFERROR(__xludf.DUMMYFUNCTION("""COMPUTED_VALUE"""),25.32)</f>
        <v>25.32</v>
      </c>
      <c r="F1819" s="2">
        <f>IFERROR(__xludf.DUMMYFUNCTION("""COMPUTED_VALUE"""),5420496.0)</f>
        <v>5420496</v>
      </c>
    </row>
    <row r="1820">
      <c r="A1820" s="3">
        <f>IFERROR(__xludf.DUMMYFUNCTION("""COMPUTED_VALUE"""),42996.66666666667)</f>
        <v>42996.66667</v>
      </c>
      <c r="B1820" s="2">
        <f>IFERROR(__xludf.DUMMYFUNCTION("""COMPUTED_VALUE"""),25.35)</f>
        <v>25.35</v>
      </c>
      <c r="C1820" s="2">
        <f>IFERROR(__xludf.DUMMYFUNCTION("""COMPUTED_VALUE"""),25.97)</f>
        <v>25.97</v>
      </c>
      <c r="D1820" s="2">
        <f>IFERROR(__xludf.DUMMYFUNCTION("""COMPUTED_VALUE"""),25.18)</f>
        <v>25.18</v>
      </c>
      <c r="E1820" s="2">
        <f>IFERROR(__xludf.DUMMYFUNCTION("""COMPUTED_VALUE"""),25.67)</f>
        <v>25.67</v>
      </c>
      <c r="F1820" s="2">
        <f>IFERROR(__xludf.DUMMYFUNCTION("""COMPUTED_VALUE"""),7187980.0)</f>
        <v>7187980</v>
      </c>
    </row>
    <row r="1821">
      <c r="A1821" s="3">
        <f>IFERROR(__xludf.DUMMYFUNCTION("""COMPUTED_VALUE"""),42997.66666666667)</f>
        <v>42997.66667</v>
      </c>
      <c r="B1821" s="2">
        <f>IFERROR(__xludf.DUMMYFUNCTION("""COMPUTED_VALUE"""),25.33)</f>
        <v>25.33</v>
      </c>
      <c r="C1821" s="2">
        <f>IFERROR(__xludf.DUMMYFUNCTION("""COMPUTED_VALUE"""),25.49)</f>
        <v>25.49</v>
      </c>
      <c r="D1821" s="2">
        <f>IFERROR(__xludf.DUMMYFUNCTION("""COMPUTED_VALUE"""),24.9)</f>
        <v>24.9</v>
      </c>
      <c r="E1821" s="2">
        <f>IFERROR(__xludf.DUMMYFUNCTION("""COMPUTED_VALUE"""),25.01)</f>
        <v>25.01</v>
      </c>
      <c r="F1821" s="2">
        <f>IFERROR(__xludf.DUMMYFUNCTION("""COMPUTED_VALUE"""),6451886.0)</f>
        <v>6451886</v>
      </c>
    </row>
    <row r="1822">
      <c r="A1822" s="3">
        <f>IFERROR(__xludf.DUMMYFUNCTION("""COMPUTED_VALUE"""),42998.66666666667)</f>
        <v>42998.66667</v>
      </c>
      <c r="B1822" s="2">
        <f>IFERROR(__xludf.DUMMYFUNCTION("""COMPUTED_VALUE"""),24.87)</f>
        <v>24.87</v>
      </c>
      <c r="C1822" s="2">
        <f>IFERROR(__xludf.DUMMYFUNCTION("""COMPUTED_VALUE"""),25.22)</f>
        <v>25.22</v>
      </c>
      <c r="D1822" s="2">
        <f>IFERROR(__xludf.DUMMYFUNCTION("""COMPUTED_VALUE"""),24.74)</f>
        <v>24.74</v>
      </c>
      <c r="E1822" s="2">
        <f>IFERROR(__xludf.DUMMYFUNCTION("""COMPUTED_VALUE"""),24.93)</f>
        <v>24.93</v>
      </c>
      <c r="F1822" s="2">
        <f>IFERROR(__xludf.DUMMYFUNCTION("""COMPUTED_VALUE"""),4919052.0)</f>
        <v>4919052</v>
      </c>
    </row>
    <row r="1823">
      <c r="A1823" s="3">
        <f>IFERROR(__xludf.DUMMYFUNCTION("""COMPUTED_VALUE"""),42999.66666666667)</f>
        <v>42999.66667</v>
      </c>
      <c r="B1823" s="2">
        <f>IFERROR(__xludf.DUMMYFUNCTION("""COMPUTED_VALUE"""),24.99)</f>
        <v>24.99</v>
      </c>
      <c r="C1823" s="2">
        <f>IFERROR(__xludf.DUMMYFUNCTION("""COMPUTED_VALUE"""),25.12)</f>
        <v>25.12</v>
      </c>
      <c r="D1823" s="2">
        <f>IFERROR(__xludf.DUMMYFUNCTION("""COMPUTED_VALUE"""),24.3)</f>
        <v>24.3</v>
      </c>
      <c r="E1823" s="2">
        <f>IFERROR(__xludf.DUMMYFUNCTION("""COMPUTED_VALUE"""),24.43)</f>
        <v>24.43</v>
      </c>
      <c r="F1823" s="2">
        <f>IFERROR(__xludf.DUMMYFUNCTION("""COMPUTED_VALUE"""),4618190.0)</f>
        <v>4618190</v>
      </c>
    </row>
    <row r="1824">
      <c r="A1824" s="3">
        <f>IFERROR(__xludf.DUMMYFUNCTION("""COMPUTED_VALUE"""),43000.66666666667)</f>
        <v>43000.66667</v>
      </c>
      <c r="B1824" s="2">
        <f>IFERROR(__xludf.DUMMYFUNCTION("""COMPUTED_VALUE"""),24.43)</f>
        <v>24.43</v>
      </c>
      <c r="C1824" s="2">
        <f>IFERROR(__xludf.DUMMYFUNCTION("""COMPUTED_VALUE"""),24.66)</f>
        <v>24.66</v>
      </c>
      <c r="D1824" s="2">
        <f>IFERROR(__xludf.DUMMYFUNCTION("""COMPUTED_VALUE"""),23.39)</f>
        <v>23.39</v>
      </c>
      <c r="E1824" s="2">
        <f>IFERROR(__xludf.DUMMYFUNCTION("""COMPUTED_VALUE"""),23.41)</f>
        <v>23.41</v>
      </c>
      <c r="F1824" s="2">
        <f>IFERROR(__xludf.DUMMYFUNCTION("""COMPUTED_VALUE"""),8159418.0)</f>
        <v>8159418</v>
      </c>
    </row>
    <row r="1825">
      <c r="A1825" s="3">
        <f>IFERROR(__xludf.DUMMYFUNCTION("""COMPUTED_VALUE"""),43003.66666666667)</f>
        <v>43003.66667</v>
      </c>
      <c r="B1825" s="2">
        <f>IFERROR(__xludf.DUMMYFUNCTION("""COMPUTED_VALUE"""),23.54)</f>
        <v>23.54</v>
      </c>
      <c r="C1825" s="2">
        <f>IFERROR(__xludf.DUMMYFUNCTION("""COMPUTED_VALUE"""),23.83)</f>
        <v>23.83</v>
      </c>
      <c r="D1825" s="2">
        <f>IFERROR(__xludf.DUMMYFUNCTION("""COMPUTED_VALUE"""),22.86)</f>
        <v>22.86</v>
      </c>
      <c r="E1825" s="2">
        <f>IFERROR(__xludf.DUMMYFUNCTION("""COMPUTED_VALUE"""),23.0)</f>
        <v>23</v>
      </c>
      <c r="F1825" s="2">
        <f>IFERROR(__xludf.DUMMYFUNCTION("""COMPUTED_VALUE"""),7605946.0)</f>
        <v>7605946</v>
      </c>
    </row>
    <row r="1826">
      <c r="A1826" s="3">
        <f>IFERROR(__xludf.DUMMYFUNCTION("""COMPUTED_VALUE"""),43004.66666666667)</f>
        <v>43004.66667</v>
      </c>
      <c r="B1826" s="2">
        <f>IFERROR(__xludf.DUMMYFUNCTION("""COMPUTED_VALUE"""),23.4)</f>
        <v>23.4</v>
      </c>
      <c r="C1826" s="2">
        <f>IFERROR(__xludf.DUMMYFUNCTION("""COMPUTED_VALUE"""),23.42)</f>
        <v>23.42</v>
      </c>
      <c r="D1826" s="2">
        <f>IFERROR(__xludf.DUMMYFUNCTION("""COMPUTED_VALUE"""),22.73)</f>
        <v>22.73</v>
      </c>
      <c r="E1826" s="2">
        <f>IFERROR(__xludf.DUMMYFUNCTION("""COMPUTED_VALUE"""),23.02)</f>
        <v>23.02</v>
      </c>
      <c r="F1826" s="2">
        <f>IFERROR(__xludf.DUMMYFUNCTION("""COMPUTED_VALUE"""),7156274.0)</f>
        <v>7156274</v>
      </c>
    </row>
    <row r="1827">
      <c r="A1827" s="3">
        <f>IFERROR(__xludf.DUMMYFUNCTION("""COMPUTED_VALUE"""),43005.66666666667)</f>
        <v>43005.66667</v>
      </c>
      <c r="B1827" s="2">
        <f>IFERROR(__xludf.DUMMYFUNCTION("""COMPUTED_VALUE"""),23.33)</f>
        <v>23.33</v>
      </c>
      <c r="C1827" s="2">
        <f>IFERROR(__xludf.DUMMYFUNCTION("""COMPUTED_VALUE"""),23.43)</f>
        <v>23.43</v>
      </c>
      <c r="D1827" s="2">
        <f>IFERROR(__xludf.DUMMYFUNCTION("""COMPUTED_VALUE"""),22.7)</f>
        <v>22.7</v>
      </c>
      <c r="E1827" s="2">
        <f>IFERROR(__xludf.DUMMYFUNCTION("""COMPUTED_VALUE"""),22.73)</f>
        <v>22.73</v>
      </c>
      <c r="F1827" s="2">
        <f>IFERROR(__xludf.DUMMYFUNCTION("""COMPUTED_VALUE"""),6060330.0)</f>
        <v>6060330</v>
      </c>
    </row>
    <row r="1828">
      <c r="A1828" s="3">
        <f>IFERROR(__xludf.DUMMYFUNCTION("""COMPUTED_VALUE"""),43006.66666666667)</f>
        <v>43006.66667</v>
      </c>
      <c r="B1828" s="2">
        <f>IFERROR(__xludf.DUMMYFUNCTION("""COMPUTED_VALUE"""),22.66)</f>
        <v>22.66</v>
      </c>
      <c r="C1828" s="2">
        <f>IFERROR(__xludf.DUMMYFUNCTION("""COMPUTED_VALUE"""),22.85)</f>
        <v>22.85</v>
      </c>
      <c r="D1828" s="2">
        <f>IFERROR(__xludf.DUMMYFUNCTION("""COMPUTED_VALUE"""),22.36)</f>
        <v>22.36</v>
      </c>
      <c r="E1828" s="2">
        <f>IFERROR(__xludf.DUMMYFUNCTION("""COMPUTED_VALUE"""),22.64)</f>
        <v>22.64</v>
      </c>
      <c r="F1828" s="2">
        <f>IFERROR(__xludf.DUMMYFUNCTION("""COMPUTED_VALUE"""),5319617.0)</f>
        <v>5319617</v>
      </c>
    </row>
    <row r="1829">
      <c r="A1829" s="3">
        <f>IFERROR(__xludf.DUMMYFUNCTION("""COMPUTED_VALUE"""),43007.66666666667)</f>
        <v>43007.66667</v>
      </c>
      <c r="B1829" s="2">
        <f>IFERROR(__xludf.DUMMYFUNCTION("""COMPUTED_VALUE"""),22.79)</f>
        <v>22.79</v>
      </c>
      <c r="C1829" s="2">
        <f>IFERROR(__xludf.DUMMYFUNCTION("""COMPUTED_VALUE"""),22.98)</f>
        <v>22.98</v>
      </c>
      <c r="D1829" s="2">
        <f>IFERROR(__xludf.DUMMYFUNCTION("""COMPUTED_VALUE"""),22.57)</f>
        <v>22.57</v>
      </c>
      <c r="E1829" s="2">
        <f>IFERROR(__xludf.DUMMYFUNCTION("""COMPUTED_VALUE"""),22.74)</f>
        <v>22.74</v>
      </c>
      <c r="F1829" s="2">
        <f>IFERROR(__xludf.DUMMYFUNCTION("""COMPUTED_VALUE"""),5107082.0)</f>
        <v>5107082</v>
      </c>
    </row>
    <row r="1830">
      <c r="A1830" s="3">
        <f>IFERROR(__xludf.DUMMYFUNCTION("""COMPUTED_VALUE"""),43010.66666666667)</f>
        <v>43010.66667</v>
      </c>
      <c r="B1830" s="2">
        <f>IFERROR(__xludf.DUMMYFUNCTION("""COMPUTED_VALUE"""),22.83)</f>
        <v>22.83</v>
      </c>
      <c r="C1830" s="2">
        <f>IFERROR(__xludf.DUMMYFUNCTION("""COMPUTED_VALUE"""),22.91)</f>
        <v>22.91</v>
      </c>
      <c r="D1830" s="2">
        <f>IFERROR(__xludf.DUMMYFUNCTION("""COMPUTED_VALUE"""),22.37)</f>
        <v>22.37</v>
      </c>
      <c r="E1830" s="2">
        <f>IFERROR(__xludf.DUMMYFUNCTION("""COMPUTED_VALUE"""),22.77)</f>
        <v>22.77</v>
      </c>
      <c r="F1830" s="2">
        <f>IFERROR(__xludf.DUMMYFUNCTION("""COMPUTED_VALUE"""),5286774.0)</f>
        <v>5286774</v>
      </c>
    </row>
    <row r="1831">
      <c r="A1831" s="3">
        <f>IFERROR(__xludf.DUMMYFUNCTION("""COMPUTED_VALUE"""),43011.66666666667)</f>
        <v>43011.66667</v>
      </c>
      <c r="B1831" s="2">
        <f>IFERROR(__xludf.DUMMYFUNCTION("""COMPUTED_VALUE"""),22.39)</f>
        <v>22.39</v>
      </c>
      <c r="C1831" s="2">
        <f>IFERROR(__xludf.DUMMYFUNCTION("""COMPUTED_VALUE"""),23.24)</f>
        <v>23.24</v>
      </c>
      <c r="D1831" s="2">
        <f>IFERROR(__xludf.DUMMYFUNCTION("""COMPUTED_VALUE"""),22.09)</f>
        <v>22.09</v>
      </c>
      <c r="E1831" s="2">
        <f>IFERROR(__xludf.DUMMYFUNCTION("""COMPUTED_VALUE"""),23.21)</f>
        <v>23.21</v>
      </c>
      <c r="F1831" s="2">
        <f>IFERROR(__xludf.DUMMYFUNCTION("""COMPUTED_VALUE"""),1.0153596E7)</f>
        <v>10153596</v>
      </c>
    </row>
    <row r="1832">
      <c r="A1832" s="3">
        <f>IFERROR(__xludf.DUMMYFUNCTION("""COMPUTED_VALUE"""),43012.66666666667)</f>
        <v>43012.66667</v>
      </c>
      <c r="B1832" s="2">
        <f>IFERROR(__xludf.DUMMYFUNCTION("""COMPUTED_VALUE"""),23.42)</f>
        <v>23.42</v>
      </c>
      <c r="C1832" s="2">
        <f>IFERROR(__xludf.DUMMYFUNCTION("""COMPUTED_VALUE"""),23.91)</f>
        <v>23.91</v>
      </c>
      <c r="D1832" s="2">
        <f>IFERROR(__xludf.DUMMYFUNCTION("""COMPUTED_VALUE"""),23.31)</f>
        <v>23.31</v>
      </c>
      <c r="E1832" s="2">
        <f>IFERROR(__xludf.DUMMYFUNCTION("""COMPUTED_VALUE"""),23.67)</f>
        <v>23.67</v>
      </c>
      <c r="F1832" s="2">
        <f>IFERROR(__xludf.DUMMYFUNCTION("""COMPUTED_VALUE"""),8163543.0)</f>
        <v>8163543</v>
      </c>
    </row>
    <row r="1833">
      <c r="A1833" s="3">
        <f>IFERROR(__xludf.DUMMYFUNCTION("""COMPUTED_VALUE"""),43013.66666666667)</f>
        <v>43013.66667</v>
      </c>
      <c r="B1833" s="2">
        <f>IFERROR(__xludf.DUMMYFUNCTION("""COMPUTED_VALUE"""),23.73)</f>
        <v>23.73</v>
      </c>
      <c r="C1833" s="2">
        <f>IFERROR(__xludf.DUMMYFUNCTION("""COMPUTED_VALUE"""),23.83)</f>
        <v>23.83</v>
      </c>
      <c r="D1833" s="2">
        <f>IFERROR(__xludf.DUMMYFUNCTION("""COMPUTED_VALUE"""),23.42)</f>
        <v>23.42</v>
      </c>
      <c r="E1833" s="2">
        <f>IFERROR(__xludf.DUMMYFUNCTION("""COMPUTED_VALUE"""),23.69)</f>
        <v>23.69</v>
      </c>
      <c r="F1833" s="2">
        <f>IFERROR(__xludf.DUMMYFUNCTION("""COMPUTED_VALUE"""),4171675.0)</f>
        <v>4171675</v>
      </c>
    </row>
    <row r="1834">
      <c r="A1834" s="3">
        <f>IFERROR(__xludf.DUMMYFUNCTION("""COMPUTED_VALUE"""),43014.66666666667)</f>
        <v>43014.66667</v>
      </c>
      <c r="B1834" s="2">
        <f>IFERROR(__xludf.DUMMYFUNCTION("""COMPUTED_VALUE"""),23.54)</f>
        <v>23.54</v>
      </c>
      <c r="C1834" s="2">
        <f>IFERROR(__xludf.DUMMYFUNCTION("""COMPUTED_VALUE"""),24.01)</f>
        <v>24.01</v>
      </c>
      <c r="D1834" s="2">
        <f>IFERROR(__xludf.DUMMYFUNCTION("""COMPUTED_VALUE"""),23.48)</f>
        <v>23.48</v>
      </c>
      <c r="E1834" s="2">
        <f>IFERROR(__xludf.DUMMYFUNCTION("""COMPUTED_VALUE"""),23.79)</f>
        <v>23.79</v>
      </c>
      <c r="F1834" s="2">
        <f>IFERROR(__xludf.DUMMYFUNCTION("""COMPUTED_VALUE"""),4297474.0)</f>
        <v>4297474</v>
      </c>
    </row>
    <row r="1835">
      <c r="A1835" s="3">
        <f>IFERROR(__xludf.DUMMYFUNCTION("""COMPUTED_VALUE"""),43017.66666666667)</f>
        <v>43017.66667</v>
      </c>
      <c r="B1835" s="2">
        <f>IFERROR(__xludf.DUMMYFUNCTION("""COMPUTED_VALUE"""),23.31)</f>
        <v>23.31</v>
      </c>
      <c r="C1835" s="2">
        <f>IFERROR(__xludf.DUMMYFUNCTION("""COMPUTED_VALUE"""),23.45)</f>
        <v>23.45</v>
      </c>
      <c r="D1835" s="2">
        <f>IFERROR(__xludf.DUMMYFUNCTION("""COMPUTED_VALUE"""),22.84)</f>
        <v>22.84</v>
      </c>
      <c r="E1835" s="2">
        <f>IFERROR(__xludf.DUMMYFUNCTION("""COMPUTED_VALUE"""),22.86)</f>
        <v>22.86</v>
      </c>
      <c r="F1835" s="2">
        <f>IFERROR(__xludf.DUMMYFUNCTION("""COMPUTED_VALUE"""),7493654.0)</f>
        <v>7493654</v>
      </c>
    </row>
    <row r="1836">
      <c r="A1836" s="3">
        <f>IFERROR(__xludf.DUMMYFUNCTION("""COMPUTED_VALUE"""),43018.66666666667)</f>
        <v>43018.66667</v>
      </c>
      <c r="B1836" s="2">
        <f>IFERROR(__xludf.DUMMYFUNCTION("""COMPUTED_VALUE"""),23.12)</f>
        <v>23.12</v>
      </c>
      <c r="C1836" s="2">
        <f>IFERROR(__xludf.DUMMYFUNCTION("""COMPUTED_VALUE"""),23.71)</f>
        <v>23.71</v>
      </c>
      <c r="D1836" s="2">
        <f>IFERROR(__xludf.DUMMYFUNCTION("""COMPUTED_VALUE"""),23.04)</f>
        <v>23.04</v>
      </c>
      <c r="E1836" s="2">
        <f>IFERROR(__xludf.DUMMYFUNCTION("""COMPUTED_VALUE"""),23.71)</f>
        <v>23.71</v>
      </c>
      <c r="F1836" s="2">
        <f>IFERROR(__xludf.DUMMYFUNCTION("""COMPUTED_VALUE"""),6978495.0)</f>
        <v>6978495</v>
      </c>
    </row>
    <row r="1837">
      <c r="A1837" s="3">
        <f>IFERROR(__xludf.DUMMYFUNCTION("""COMPUTED_VALUE"""),43019.66666666667)</f>
        <v>43019.66667</v>
      </c>
      <c r="B1837" s="2">
        <f>IFERROR(__xludf.DUMMYFUNCTION("""COMPUTED_VALUE"""),23.59)</f>
        <v>23.59</v>
      </c>
      <c r="C1837" s="2">
        <f>IFERROR(__xludf.DUMMYFUNCTION("""COMPUTED_VALUE"""),23.84)</f>
        <v>23.84</v>
      </c>
      <c r="D1837" s="2">
        <f>IFERROR(__xludf.DUMMYFUNCTION("""COMPUTED_VALUE"""),23.41)</f>
        <v>23.41</v>
      </c>
      <c r="E1837" s="2">
        <f>IFERROR(__xludf.DUMMYFUNCTION("""COMPUTED_VALUE"""),23.64)</f>
        <v>23.64</v>
      </c>
      <c r="F1837" s="2">
        <f>IFERROR(__xludf.DUMMYFUNCTION("""COMPUTED_VALUE"""),4500831.0)</f>
        <v>4500831</v>
      </c>
    </row>
    <row r="1838">
      <c r="A1838" s="3">
        <f>IFERROR(__xludf.DUMMYFUNCTION("""COMPUTED_VALUE"""),43020.66666666667)</f>
        <v>43020.66667</v>
      </c>
      <c r="B1838" s="2">
        <f>IFERROR(__xludf.DUMMYFUNCTION("""COMPUTED_VALUE"""),23.53)</f>
        <v>23.53</v>
      </c>
      <c r="C1838" s="2">
        <f>IFERROR(__xludf.DUMMYFUNCTION("""COMPUTED_VALUE"""),23.99)</f>
        <v>23.99</v>
      </c>
      <c r="D1838" s="2">
        <f>IFERROR(__xludf.DUMMYFUNCTION("""COMPUTED_VALUE"""),23.51)</f>
        <v>23.51</v>
      </c>
      <c r="E1838" s="2">
        <f>IFERROR(__xludf.DUMMYFUNCTION("""COMPUTED_VALUE"""),23.71)</f>
        <v>23.71</v>
      </c>
      <c r="F1838" s="2">
        <f>IFERROR(__xludf.DUMMYFUNCTION("""COMPUTED_VALUE"""),4087048.0)</f>
        <v>4087048</v>
      </c>
    </row>
    <row r="1839">
      <c r="A1839" s="3">
        <f>IFERROR(__xludf.DUMMYFUNCTION("""COMPUTED_VALUE"""),43021.66666666667)</f>
        <v>43021.66667</v>
      </c>
      <c r="B1839" s="2">
        <f>IFERROR(__xludf.DUMMYFUNCTION("""COMPUTED_VALUE"""),23.8)</f>
        <v>23.8</v>
      </c>
      <c r="C1839" s="2">
        <f>IFERROR(__xludf.DUMMYFUNCTION("""COMPUTED_VALUE"""),23.9)</f>
        <v>23.9</v>
      </c>
      <c r="D1839" s="2">
        <f>IFERROR(__xludf.DUMMYFUNCTION("""COMPUTED_VALUE"""),23.58)</f>
        <v>23.58</v>
      </c>
      <c r="E1839" s="2">
        <f>IFERROR(__xludf.DUMMYFUNCTION("""COMPUTED_VALUE"""),23.7)</f>
        <v>23.7</v>
      </c>
      <c r="F1839" s="2">
        <f>IFERROR(__xludf.DUMMYFUNCTION("""COMPUTED_VALUE"""),3540533.0)</f>
        <v>3540533</v>
      </c>
    </row>
    <row r="1840">
      <c r="A1840" s="3">
        <f>IFERROR(__xludf.DUMMYFUNCTION("""COMPUTED_VALUE"""),43024.66666666667)</f>
        <v>43024.66667</v>
      </c>
      <c r="B1840" s="2">
        <f>IFERROR(__xludf.DUMMYFUNCTION("""COMPUTED_VALUE"""),23.58)</f>
        <v>23.58</v>
      </c>
      <c r="C1840" s="2">
        <f>IFERROR(__xludf.DUMMYFUNCTION("""COMPUTED_VALUE"""),23.63)</f>
        <v>23.63</v>
      </c>
      <c r="D1840" s="2">
        <f>IFERROR(__xludf.DUMMYFUNCTION("""COMPUTED_VALUE"""),23.14)</f>
        <v>23.14</v>
      </c>
      <c r="E1840" s="2">
        <f>IFERROR(__xludf.DUMMYFUNCTION("""COMPUTED_VALUE"""),23.37)</f>
        <v>23.37</v>
      </c>
      <c r="F1840" s="2">
        <f>IFERROR(__xludf.DUMMYFUNCTION("""COMPUTED_VALUE"""),5375486.0)</f>
        <v>5375486</v>
      </c>
    </row>
    <row r="1841">
      <c r="A1841" s="3">
        <f>IFERROR(__xludf.DUMMYFUNCTION("""COMPUTED_VALUE"""),43025.66666666667)</f>
        <v>43025.66667</v>
      </c>
      <c r="B1841" s="2">
        <f>IFERROR(__xludf.DUMMYFUNCTION("""COMPUTED_VALUE"""),23.39)</f>
        <v>23.39</v>
      </c>
      <c r="C1841" s="2">
        <f>IFERROR(__xludf.DUMMYFUNCTION("""COMPUTED_VALUE"""),23.75)</f>
        <v>23.75</v>
      </c>
      <c r="D1841" s="2">
        <f>IFERROR(__xludf.DUMMYFUNCTION("""COMPUTED_VALUE"""),23.34)</f>
        <v>23.34</v>
      </c>
      <c r="E1841" s="2">
        <f>IFERROR(__xludf.DUMMYFUNCTION("""COMPUTED_VALUE"""),23.72)</f>
        <v>23.72</v>
      </c>
      <c r="F1841" s="2">
        <f>IFERROR(__xludf.DUMMYFUNCTION("""COMPUTED_VALUE"""),3293345.0)</f>
        <v>3293345</v>
      </c>
    </row>
    <row r="1842">
      <c r="A1842" s="3">
        <f>IFERROR(__xludf.DUMMYFUNCTION("""COMPUTED_VALUE"""),43026.66666666667)</f>
        <v>43026.66667</v>
      </c>
      <c r="B1842" s="2">
        <f>IFERROR(__xludf.DUMMYFUNCTION("""COMPUTED_VALUE"""),23.73)</f>
        <v>23.73</v>
      </c>
      <c r="C1842" s="2">
        <f>IFERROR(__xludf.DUMMYFUNCTION("""COMPUTED_VALUE"""),24.2)</f>
        <v>24.2</v>
      </c>
      <c r="D1842" s="2">
        <f>IFERROR(__xludf.DUMMYFUNCTION("""COMPUTED_VALUE"""),23.61)</f>
        <v>23.61</v>
      </c>
      <c r="E1842" s="2">
        <f>IFERROR(__xludf.DUMMYFUNCTION("""COMPUTED_VALUE"""),23.98)</f>
        <v>23.98</v>
      </c>
      <c r="F1842" s="2">
        <f>IFERROR(__xludf.DUMMYFUNCTION("""COMPUTED_VALUE"""),4939074.0)</f>
        <v>4939074</v>
      </c>
    </row>
    <row r="1843">
      <c r="A1843" s="3">
        <f>IFERROR(__xludf.DUMMYFUNCTION("""COMPUTED_VALUE"""),43027.66666666667)</f>
        <v>43027.66667</v>
      </c>
      <c r="B1843" s="2">
        <f>IFERROR(__xludf.DUMMYFUNCTION("""COMPUTED_VALUE"""),23.7)</f>
        <v>23.7</v>
      </c>
      <c r="C1843" s="2">
        <f>IFERROR(__xludf.DUMMYFUNCTION("""COMPUTED_VALUE"""),23.81)</f>
        <v>23.81</v>
      </c>
      <c r="D1843" s="2">
        <f>IFERROR(__xludf.DUMMYFUNCTION("""COMPUTED_VALUE"""),23.21)</f>
        <v>23.21</v>
      </c>
      <c r="E1843" s="2">
        <f>IFERROR(__xludf.DUMMYFUNCTION("""COMPUTED_VALUE"""),23.45)</f>
        <v>23.45</v>
      </c>
      <c r="F1843" s="2">
        <f>IFERROR(__xludf.DUMMYFUNCTION("""COMPUTED_VALUE"""),5061843.0)</f>
        <v>5061843</v>
      </c>
    </row>
    <row r="1844">
      <c r="A1844" s="3">
        <f>IFERROR(__xludf.DUMMYFUNCTION("""COMPUTED_VALUE"""),43028.66666666667)</f>
        <v>43028.66667</v>
      </c>
      <c r="B1844" s="2">
        <f>IFERROR(__xludf.DUMMYFUNCTION("""COMPUTED_VALUE"""),23.51)</f>
        <v>23.51</v>
      </c>
      <c r="C1844" s="2">
        <f>IFERROR(__xludf.DUMMYFUNCTION("""COMPUTED_VALUE"""),23.64)</f>
        <v>23.64</v>
      </c>
      <c r="D1844" s="2">
        <f>IFERROR(__xludf.DUMMYFUNCTION("""COMPUTED_VALUE"""),22.96)</f>
        <v>22.96</v>
      </c>
      <c r="E1844" s="2">
        <f>IFERROR(__xludf.DUMMYFUNCTION("""COMPUTED_VALUE"""),23.01)</f>
        <v>23.01</v>
      </c>
      <c r="F1844" s="2">
        <f>IFERROR(__xludf.DUMMYFUNCTION("""COMPUTED_VALUE"""),4930395.0)</f>
        <v>4930395</v>
      </c>
    </row>
    <row r="1845">
      <c r="A1845" s="3">
        <f>IFERROR(__xludf.DUMMYFUNCTION("""COMPUTED_VALUE"""),43031.66666666667)</f>
        <v>43031.66667</v>
      </c>
      <c r="B1845" s="2">
        <f>IFERROR(__xludf.DUMMYFUNCTION("""COMPUTED_VALUE"""),23.33)</f>
        <v>23.33</v>
      </c>
      <c r="C1845" s="2">
        <f>IFERROR(__xludf.DUMMYFUNCTION("""COMPUTED_VALUE"""),23.33)</f>
        <v>23.33</v>
      </c>
      <c r="D1845" s="2">
        <f>IFERROR(__xludf.DUMMYFUNCTION("""COMPUTED_VALUE"""),22.42)</f>
        <v>22.42</v>
      </c>
      <c r="E1845" s="2">
        <f>IFERROR(__xludf.DUMMYFUNCTION("""COMPUTED_VALUE"""),22.47)</f>
        <v>22.47</v>
      </c>
      <c r="F1845" s="2">
        <f>IFERROR(__xludf.DUMMYFUNCTION("""COMPUTED_VALUE"""),5747346.0)</f>
        <v>5747346</v>
      </c>
    </row>
    <row r="1846">
      <c r="A1846" s="3">
        <f>IFERROR(__xludf.DUMMYFUNCTION("""COMPUTED_VALUE"""),43032.66666666667)</f>
        <v>43032.66667</v>
      </c>
      <c r="B1846" s="2">
        <f>IFERROR(__xludf.DUMMYFUNCTION("""COMPUTED_VALUE"""),22.59)</f>
        <v>22.59</v>
      </c>
      <c r="C1846" s="2">
        <f>IFERROR(__xludf.DUMMYFUNCTION("""COMPUTED_VALUE"""),22.85)</f>
        <v>22.85</v>
      </c>
      <c r="D1846" s="2">
        <f>IFERROR(__xludf.DUMMYFUNCTION("""COMPUTED_VALUE"""),22.41)</f>
        <v>22.41</v>
      </c>
      <c r="E1846" s="2">
        <f>IFERROR(__xludf.DUMMYFUNCTION("""COMPUTED_VALUE"""),22.49)</f>
        <v>22.49</v>
      </c>
      <c r="F1846" s="2">
        <f>IFERROR(__xludf.DUMMYFUNCTION("""COMPUTED_VALUE"""),4491672.0)</f>
        <v>4491672</v>
      </c>
    </row>
    <row r="1847">
      <c r="A1847" s="3">
        <f>IFERROR(__xludf.DUMMYFUNCTION("""COMPUTED_VALUE"""),43033.66666666667)</f>
        <v>43033.66667</v>
      </c>
      <c r="B1847" s="2">
        <f>IFERROR(__xludf.DUMMYFUNCTION("""COMPUTED_VALUE"""),22.45)</f>
        <v>22.45</v>
      </c>
      <c r="C1847" s="2">
        <f>IFERROR(__xludf.DUMMYFUNCTION("""COMPUTED_VALUE"""),22.5)</f>
        <v>22.5</v>
      </c>
      <c r="D1847" s="2">
        <f>IFERROR(__xludf.DUMMYFUNCTION("""COMPUTED_VALUE"""),21.57)</f>
        <v>21.57</v>
      </c>
      <c r="E1847" s="2">
        <f>IFERROR(__xludf.DUMMYFUNCTION("""COMPUTED_VALUE"""),21.72)</f>
        <v>21.72</v>
      </c>
      <c r="F1847" s="2">
        <f>IFERROR(__xludf.DUMMYFUNCTION("""COMPUTED_VALUE"""),8594073.0)</f>
        <v>8594073</v>
      </c>
    </row>
    <row r="1848">
      <c r="A1848" s="3">
        <f>IFERROR(__xludf.DUMMYFUNCTION("""COMPUTED_VALUE"""),43034.66666666667)</f>
        <v>43034.66667</v>
      </c>
      <c r="B1848" s="2">
        <f>IFERROR(__xludf.DUMMYFUNCTION("""COMPUTED_VALUE"""),21.85)</f>
        <v>21.85</v>
      </c>
      <c r="C1848" s="2">
        <f>IFERROR(__xludf.DUMMYFUNCTION("""COMPUTED_VALUE"""),22.02)</f>
        <v>22.02</v>
      </c>
      <c r="D1848" s="2">
        <f>IFERROR(__xludf.DUMMYFUNCTION("""COMPUTED_VALUE"""),21.55)</f>
        <v>21.55</v>
      </c>
      <c r="E1848" s="2">
        <f>IFERROR(__xludf.DUMMYFUNCTION("""COMPUTED_VALUE"""),21.74)</f>
        <v>21.74</v>
      </c>
      <c r="F1848" s="2">
        <f>IFERROR(__xludf.DUMMYFUNCTION("""COMPUTED_VALUE"""),5023500.0)</f>
        <v>5023500</v>
      </c>
    </row>
    <row r="1849">
      <c r="A1849" s="3">
        <f>IFERROR(__xludf.DUMMYFUNCTION("""COMPUTED_VALUE"""),43035.66666666667)</f>
        <v>43035.66667</v>
      </c>
      <c r="B1849" s="2">
        <f>IFERROR(__xludf.DUMMYFUNCTION("""COMPUTED_VALUE"""),21.32)</f>
        <v>21.32</v>
      </c>
      <c r="C1849" s="2">
        <f>IFERROR(__xludf.DUMMYFUNCTION("""COMPUTED_VALUE"""),21.64)</f>
        <v>21.64</v>
      </c>
      <c r="D1849" s="2">
        <f>IFERROR(__xludf.DUMMYFUNCTION("""COMPUTED_VALUE"""),21.11)</f>
        <v>21.11</v>
      </c>
      <c r="E1849" s="2">
        <f>IFERROR(__xludf.DUMMYFUNCTION("""COMPUTED_VALUE"""),21.39)</f>
        <v>21.39</v>
      </c>
      <c r="F1849" s="2">
        <f>IFERROR(__xludf.DUMMYFUNCTION("""COMPUTED_VALUE"""),6979704.0)</f>
        <v>6979704</v>
      </c>
    </row>
    <row r="1850">
      <c r="A1850" s="3">
        <f>IFERROR(__xludf.DUMMYFUNCTION("""COMPUTED_VALUE"""),43038.66666666667)</f>
        <v>43038.66667</v>
      </c>
      <c r="B1850" s="2">
        <f>IFERROR(__xludf.DUMMYFUNCTION("""COMPUTED_VALUE"""),21.28)</f>
        <v>21.28</v>
      </c>
      <c r="C1850" s="2">
        <f>IFERROR(__xludf.DUMMYFUNCTION("""COMPUTED_VALUE"""),21.59)</f>
        <v>21.59</v>
      </c>
      <c r="D1850" s="2">
        <f>IFERROR(__xludf.DUMMYFUNCTION("""COMPUTED_VALUE"""),21.15)</f>
        <v>21.15</v>
      </c>
      <c r="E1850" s="2">
        <f>IFERROR(__xludf.DUMMYFUNCTION("""COMPUTED_VALUE"""),21.34)</f>
        <v>21.34</v>
      </c>
      <c r="F1850" s="2">
        <f>IFERROR(__xludf.DUMMYFUNCTION("""COMPUTED_VALUE"""),4254378.0)</f>
        <v>4254378</v>
      </c>
    </row>
    <row r="1851">
      <c r="A1851" s="3">
        <f>IFERROR(__xludf.DUMMYFUNCTION("""COMPUTED_VALUE"""),43039.66666666667)</f>
        <v>43039.66667</v>
      </c>
      <c r="B1851" s="2">
        <f>IFERROR(__xludf.DUMMYFUNCTION("""COMPUTED_VALUE"""),21.35)</f>
        <v>21.35</v>
      </c>
      <c r="C1851" s="2">
        <f>IFERROR(__xludf.DUMMYFUNCTION("""COMPUTED_VALUE"""),22.13)</f>
        <v>22.13</v>
      </c>
      <c r="D1851" s="2">
        <f>IFERROR(__xludf.DUMMYFUNCTION("""COMPUTED_VALUE"""),21.35)</f>
        <v>21.35</v>
      </c>
      <c r="E1851" s="2">
        <f>IFERROR(__xludf.DUMMYFUNCTION("""COMPUTED_VALUE"""),22.1)</f>
        <v>22.1</v>
      </c>
      <c r="F1851" s="2">
        <f>IFERROR(__xludf.DUMMYFUNCTION("""COMPUTED_VALUE"""),5672347.0)</f>
        <v>5672347</v>
      </c>
    </row>
    <row r="1852">
      <c r="A1852" s="3">
        <f>IFERROR(__xludf.DUMMYFUNCTION("""COMPUTED_VALUE"""),43040.66666666667)</f>
        <v>43040.66667</v>
      </c>
      <c r="B1852" s="2">
        <f>IFERROR(__xludf.DUMMYFUNCTION("""COMPUTED_VALUE"""),22.15)</f>
        <v>22.15</v>
      </c>
      <c r="C1852" s="2">
        <f>IFERROR(__xludf.DUMMYFUNCTION("""COMPUTED_VALUE"""),22.17)</f>
        <v>22.17</v>
      </c>
      <c r="D1852" s="2">
        <f>IFERROR(__xludf.DUMMYFUNCTION("""COMPUTED_VALUE"""),21.35)</f>
        <v>21.35</v>
      </c>
      <c r="E1852" s="2">
        <f>IFERROR(__xludf.DUMMYFUNCTION("""COMPUTED_VALUE"""),21.41)</f>
        <v>21.41</v>
      </c>
      <c r="F1852" s="2">
        <f>IFERROR(__xludf.DUMMYFUNCTION("""COMPUTED_VALUE"""),8457336.0)</f>
        <v>8457336</v>
      </c>
    </row>
    <row r="1853">
      <c r="A1853" s="3">
        <f>IFERROR(__xludf.DUMMYFUNCTION("""COMPUTED_VALUE"""),43041.66666666667)</f>
        <v>43041.66667</v>
      </c>
      <c r="B1853" s="2">
        <f>IFERROR(__xludf.DUMMYFUNCTION("""COMPUTED_VALUE"""),20.01)</f>
        <v>20.01</v>
      </c>
      <c r="C1853" s="2">
        <f>IFERROR(__xludf.DUMMYFUNCTION("""COMPUTED_VALUE"""),20.58)</f>
        <v>20.58</v>
      </c>
      <c r="D1853" s="2">
        <f>IFERROR(__xludf.DUMMYFUNCTION("""COMPUTED_VALUE"""),19.51)</f>
        <v>19.51</v>
      </c>
      <c r="E1853" s="2">
        <f>IFERROR(__xludf.DUMMYFUNCTION("""COMPUTED_VALUE"""),19.95)</f>
        <v>19.95</v>
      </c>
      <c r="F1853" s="2">
        <f>IFERROR(__xludf.DUMMYFUNCTION("""COMPUTED_VALUE"""),1.9791416E7)</f>
        <v>19791416</v>
      </c>
    </row>
    <row r="1854">
      <c r="A1854" s="3">
        <f>IFERROR(__xludf.DUMMYFUNCTION("""COMPUTED_VALUE"""),43042.66666666667)</f>
        <v>43042.66667</v>
      </c>
      <c r="B1854" s="2">
        <f>IFERROR(__xludf.DUMMYFUNCTION("""COMPUTED_VALUE"""),19.97)</f>
        <v>19.97</v>
      </c>
      <c r="C1854" s="2">
        <f>IFERROR(__xludf.DUMMYFUNCTION("""COMPUTED_VALUE"""),20.42)</f>
        <v>20.42</v>
      </c>
      <c r="D1854" s="2">
        <f>IFERROR(__xludf.DUMMYFUNCTION("""COMPUTED_VALUE"""),19.68)</f>
        <v>19.68</v>
      </c>
      <c r="E1854" s="2">
        <f>IFERROR(__xludf.DUMMYFUNCTION("""COMPUTED_VALUE"""),20.41)</f>
        <v>20.41</v>
      </c>
      <c r="F1854" s="2">
        <f>IFERROR(__xludf.DUMMYFUNCTION("""COMPUTED_VALUE"""),8893974.0)</f>
        <v>8893974</v>
      </c>
    </row>
    <row r="1855">
      <c r="A1855" s="3">
        <f>IFERROR(__xludf.DUMMYFUNCTION("""COMPUTED_VALUE"""),43045.66666666667)</f>
        <v>43045.66667</v>
      </c>
      <c r="B1855" s="2">
        <f>IFERROR(__xludf.DUMMYFUNCTION("""COMPUTED_VALUE"""),20.47)</f>
        <v>20.47</v>
      </c>
      <c r="C1855" s="2">
        <f>IFERROR(__xludf.DUMMYFUNCTION("""COMPUTED_VALUE"""),20.5)</f>
        <v>20.5</v>
      </c>
      <c r="D1855" s="2">
        <f>IFERROR(__xludf.DUMMYFUNCTION("""COMPUTED_VALUE"""),19.93)</f>
        <v>19.93</v>
      </c>
      <c r="E1855" s="2">
        <f>IFERROR(__xludf.DUMMYFUNCTION("""COMPUTED_VALUE"""),20.19)</f>
        <v>20.19</v>
      </c>
      <c r="F1855" s="2">
        <f>IFERROR(__xludf.DUMMYFUNCTION("""COMPUTED_VALUE"""),6486009.0)</f>
        <v>6486009</v>
      </c>
    </row>
    <row r="1856">
      <c r="A1856" s="3">
        <f>IFERROR(__xludf.DUMMYFUNCTION("""COMPUTED_VALUE"""),43046.66666666667)</f>
        <v>43046.66667</v>
      </c>
      <c r="B1856" s="2">
        <f>IFERROR(__xludf.DUMMYFUNCTION("""COMPUTED_VALUE"""),20.07)</f>
        <v>20.07</v>
      </c>
      <c r="C1856" s="2">
        <f>IFERROR(__xludf.DUMMYFUNCTION("""COMPUTED_VALUE"""),20.43)</f>
        <v>20.43</v>
      </c>
      <c r="D1856" s="2">
        <f>IFERROR(__xludf.DUMMYFUNCTION("""COMPUTED_VALUE"""),20.0)</f>
        <v>20</v>
      </c>
      <c r="E1856" s="2">
        <f>IFERROR(__xludf.DUMMYFUNCTION("""COMPUTED_VALUE"""),20.4)</f>
        <v>20.4</v>
      </c>
      <c r="F1856" s="2">
        <f>IFERROR(__xludf.DUMMYFUNCTION("""COMPUTED_VALUE"""),5294274.0)</f>
        <v>5294274</v>
      </c>
    </row>
    <row r="1857">
      <c r="A1857" s="3">
        <f>IFERROR(__xludf.DUMMYFUNCTION("""COMPUTED_VALUE"""),43047.66666666667)</f>
        <v>43047.66667</v>
      </c>
      <c r="B1857" s="2">
        <f>IFERROR(__xludf.DUMMYFUNCTION("""COMPUTED_VALUE"""),20.37)</f>
        <v>20.37</v>
      </c>
      <c r="C1857" s="2">
        <f>IFERROR(__xludf.DUMMYFUNCTION("""COMPUTED_VALUE"""),20.46)</f>
        <v>20.46</v>
      </c>
      <c r="D1857" s="2">
        <f>IFERROR(__xludf.DUMMYFUNCTION("""COMPUTED_VALUE"""),20.09)</f>
        <v>20.09</v>
      </c>
      <c r="E1857" s="2">
        <f>IFERROR(__xludf.DUMMYFUNCTION("""COMPUTED_VALUE"""),20.29)</f>
        <v>20.29</v>
      </c>
      <c r="F1857" s="2">
        <f>IFERROR(__xludf.DUMMYFUNCTION("""COMPUTED_VALUE"""),4725271.0)</f>
        <v>4725271</v>
      </c>
    </row>
    <row r="1858">
      <c r="A1858" s="3">
        <f>IFERROR(__xludf.DUMMYFUNCTION("""COMPUTED_VALUE"""),43048.66666666667)</f>
        <v>43048.66667</v>
      </c>
      <c r="B1858" s="2">
        <f>IFERROR(__xludf.DUMMYFUNCTION("""COMPUTED_VALUE"""),20.17)</f>
        <v>20.17</v>
      </c>
      <c r="C1858" s="2">
        <f>IFERROR(__xludf.DUMMYFUNCTION("""COMPUTED_VALUE"""),20.3)</f>
        <v>20.3</v>
      </c>
      <c r="D1858" s="2">
        <f>IFERROR(__xludf.DUMMYFUNCTION("""COMPUTED_VALUE"""),19.75)</f>
        <v>19.75</v>
      </c>
      <c r="E1858" s="2">
        <f>IFERROR(__xludf.DUMMYFUNCTION("""COMPUTED_VALUE"""),20.2)</f>
        <v>20.2</v>
      </c>
      <c r="F1858" s="2">
        <f>IFERROR(__xludf.DUMMYFUNCTION("""COMPUTED_VALUE"""),5447147.0)</f>
        <v>5447147</v>
      </c>
    </row>
    <row r="1859">
      <c r="A1859" s="3">
        <f>IFERROR(__xludf.DUMMYFUNCTION("""COMPUTED_VALUE"""),43049.66666666667)</f>
        <v>43049.66667</v>
      </c>
      <c r="B1859" s="2">
        <f>IFERROR(__xludf.DUMMYFUNCTION("""COMPUTED_VALUE"""),20.17)</f>
        <v>20.17</v>
      </c>
      <c r="C1859" s="2">
        <f>IFERROR(__xludf.DUMMYFUNCTION("""COMPUTED_VALUE"""),20.56)</f>
        <v>20.56</v>
      </c>
      <c r="D1859" s="2">
        <f>IFERROR(__xludf.DUMMYFUNCTION("""COMPUTED_VALUE"""),20.12)</f>
        <v>20.12</v>
      </c>
      <c r="E1859" s="2">
        <f>IFERROR(__xludf.DUMMYFUNCTION("""COMPUTED_VALUE"""),20.2)</f>
        <v>20.2</v>
      </c>
      <c r="F1859" s="2">
        <f>IFERROR(__xludf.DUMMYFUNCTION("""COMPUTED_VALUE"""),4625429.0)</f>
        <v>4625429</v>
      </c>
    </row>
    <row r="1860">
      <c r="A1860" s="3">
        <f>IFERROR(__xludf.DUMMYFUNCTION("""COMPUTED_VALUE"""),43052.66666666667)</f>
        <v>43052.66667</v>
      </c>
      <c r="B1860" s="2">
        <f>IFERROR(__xludf.DUMMYFUNCTION("""COMPUTED_VALUE"""),20.01)</f>
        <v>20.01</v>
      </c>
      <c r="C1860" s="2">
        <f>IFERROR(__xludf.DUMMYFUNCTION("""COMPUTED_VALUE"""),21.12)</f>
        <v>21.12</v>
      </c>
      <c r="D1860" s="2">
        <f>IFERROR(__xludf.DUMMYFUNCTION("""COMPUTED_VALUE"""),19.94)</f>
        <v>19.94</v>
      </c>
      <c r="E1860" s="2">
        <f>IFERROR(__xludf.DUMMYFUNCTION("""COMPUTED_VALUE"""),21.03)</f>
        <v>21.03</v>
      </c>
      <c r="F1860" s="2">
        <f>IFERROR(__xludf.DUMMYFUNCTION("""COMPUTED_VALUE"""),7584944.0)</f>
        <v>7584944</v>
      </c>
    </row>
    <row r="1861">
      <c r="A1861" s="3">
        <f>IFERROR(__xludf.DUMMYFUNCTION("""COMPUTED_VALUE"""),43053.66666666667)</f>
        <v>43053.66667</v>
      </c>
      <c r="B1861" s="2">
        <f>IFERROR(__xludf.DUMMYFUNCTION("""COMPUTED_VALUE"""),21.0)</f>
        <v>21</v>
      </c>
      <c r="C1861" s="2">
        <f>IFERROR(__xludf.DUMMYFUNCTION("""COMPUTED_VALUE"""),21.09)</f>
        <v>21.09</v>
      </c>
      <c r="D1861" s="2">
        <f>IFERROR(__xludf.DUMMYFUNCTION("""COMPUTED_VALUE"""),20.46)</f>
        <v>20.46</v>
      </c>
      <c r="E1861" s="2">
        <f>IFERROR(__xludf.DUMMYFUNCTION("""COMPUTED_VALUE"""),20.58)</f>
        <v>20.58</v>
      </c>
      <c r="F1861" s="2">
        <f>IFERROR(__xludf.DUMMYFUNCTION("""COMPUTED_VALUE"""),5676076.0)</f>
        <v>5676076</v>
      </c>
    </row>
    <row r="1862">
      <c r="A1862" s="3">
        <f>IFERROR(__xludf.DUMMYFUNCTION("""COMPUTED_VALUE"""),43054.66666666667)</f>
        <v>43054.66667</v>
      </c>
      <c r="B1862" s="2">
        <f>IFERROR(__xludf.DUMMYFUNCTION("""COMPUTED_VALUE"""),20.4)</f>
        <v>20.4</v>
      </c>
      <c r="C1862" s="2">
        <f>IFERROR(__xludf.DUMMYFUNCTION("""COMPUTED_VALUE"""),20.83)</f>
        <v>20.83</v>
      </c>
      <c r="D1862" s="2">
        <f>IFERROR(__xludf.DUMMYFUNCTION("""COMPUTED_VALUE"""),20.1)</f>
        <v>20.1</v>
      </c>
      <c r="E1862" s="2">
        <f>IFERROR(__xludf.DUMMYFUNCTION("""COMPUTED_VALUE"""),20.75)</f>
        <v>20.75</v>
      </c>
      <c r="F1862" s="2">
        <f>IFERROR(__xludf.DUMMYFUNCTION("""COMPUTED_VALUE"""),5978665.0)</f>
        <v>5978665</v>
      </c>
    </row>
    <row r="1863">
      <c r="A1863" s="3">
        <f>IFERROR(__xludf.DUMMYFUNCTION("""COMPUTED_VALUE"""),43055.66666666667)</f>
        <v>43055.66667</v>
      </c>
      <c r="B1863" s="2">
        <f>IFERROR(__xludf.DUMMYFUNCTION("""COMPUTED_VALUE"""),20.93)</f>
        <v>20.93</v>
      </c>
      <c r="C1863" s="2">
        <f>IFERROR(__xludf.DUMMYFUNCTION("""COMPUTED_VALUE"""),21.21)</f>
        <v>21.21</v>
      </c>
      <c r="D1863" s="2">
        <f>IFERROR(__xludf.DUMMYFUNCTION("""COMPUTED_VALUE"""),20.75)</f>
        <v>20.75</v>
      </c>
      <c r="E1863" s="2">
        <f>IFERROR(__xludf.DUMMYFUNCTION("""COMPUTED_VALUE"""),20.83)</f>
        <v>20.83</v>
      </c>
      <c r="F1863" s="2">
        <f>IFERROR(__xludf.DUMMYFUNCTION("""COMPUTED_VALUE"""),5822073.0)</f>
        <v>5822073</v>
      </c>
    </row>
    <row r="1864">
      <c r="A1864" s="3">
        <f>IFERROR(__xludf.DUMMYFUNCTION("""COMPUTED_VALUE"""),43056.66666666667)</f>
        <v>43056.66667</v>
      </c>
      <c r="B1864" s="2">
        <f>IFERROR(__xludf.DUMMYFUNCTION("""COMPUTED_VALUE"""),21.71)</f>
        <v>21.71</v>
      </c>
      <c r="C1864" s="2">
        <f>IFERROR(__xludf.DUMMYFUNCTION("""COMPUTED_VALUE"""),21.78)</f>
        <v>21.78</v>
      </c>
      <c r="D1864" s="2">
        <f>IFERROR(__xludf.DUMMYFUNCTION("""COMPUTED_VALUE"""),20.88)</f>
        <v>20.88</v>
      </c>
      <c r="E1864" s="2">
        <f>IFERROR(__xludf.DUMMYFUNCTION("""COMPUTED_VALUE"""),21.0)</f>
        <v>21</v>
      </c>
      <c r="F1864" s="2">
        <f>IFERROR(__xludf.DUMMYFUNCTION("""COMPUTED_VALUE"""),1.3735139E7)</f>
        <v>13735139</v>
      </c>
    </row>
    <row r="1865">
      <c r="A1865" s="3">
        <f>IFERROR(__xludf.DUMMYFUNCTION("""COMPUTED_VALUE"""),43059.66666666667)</f>
        <v>43059.66667</v>
      </c>
      <c r="B1865" s="2">
        <f>IFERROR(__xludf.DUMMYFUNCTION("""COMPUTED_VALUE"""),20.92)</f>
        <v>20.92</v>
      </c>
      <c r="C1865" s="2">
        <f>IFERROR(__xludf.DUMMYFUNCTION("""COMPUTED_VALUE"""),21.03)</f>
        <v>21.03</v>
      </c>
      <c r="D1865" s="2">
        <f>IFERROR(__xludf.DUMMYFUNCTION("""COMPUTED_VALUE"""),20.32)</f>
        <v>20.32</v>
      </c>
      <c r="E1865" s="2">
        <f>IFERROR(__xludf.DUMMYFUNCTION("""COMPUTED_VALUE"""),20.58)</f>
        <v>20.58</v>
      </c>
      <c r="F1865" s="2">
        <f>IFERROR(__xludf.DUMMYFUNCTION("""COMPUTED_VALUE"""),8247650.0)</f>
        <v>8247650</v>
      </c>
    </row>
    <row r="1866">
      <c r="A1866" s="3">
        <f>IFERROR(__xludf.DUMMYFUNCTION("""COMPUTED_VALUE"""),43060.66666666667)</f>
        <v>43060.66667</v>
      </c>
      <c r="B1866" s="2">
        <f>IFERROR(__xludf.DUMMYFUNCTION("""COMPUTED_VALUE"""),20.72)</f>
        <v>20.72</v>
      </c>
      <c r="C1866" s="2">
        <f>IFERROR(__xludf.DUMMYFUNCTION("""COMPUTED_VALUE"""),21.22)</f>
        <v>21.22</v>
      </c>
      <c r="D1866" s="2">
        <f>IFERROR(__xludf.DUMMYFUNCTION("""COMPUTED_VALUE"""),20.58)</f>
        <v>20.58</v>
      </c>
      <c r="E1866" s="2">
        <f>IFERROR(__xludf.DUMMYFUNCTION("""COMPUTED_VALUE"""),21.19)</f>
        <v>21.19</v>
      </c>
      <c r="F1866" s="2">
        <f>IFERROR(__xludf.DUMMYFUNCTION("""COMPUTED_VALUE"""),7261273.0)</f>
        <v>7261273</v>
      </c>
    </row>
    <row r="1867">
      <c r="A1867" s="3">
        <f>IFERROR(__xludf.DUMMYFUNCTION("""COMPUTED_VALUE"""),43061.66666666667)</f>
        <v>43061.66667</v>
      </c>
      <c r="B1867" s="2">
        <f>IFERROR(__xludf.DUMMYFUNCTION("""COMPUTED_VALUE"""),21.12)</f>
        <v>21.12</v>
      </c>
      <c r="C1867" s="2">
        <f>IFERROR(__xludf.DUMMYFUNCTION("""COMPUTED_VALUE"""),21.16)</f>
        <v>21.16</v>
      </c>
      <c r="D1867" s="2">
        <f>IFERROR(__xludf.DUMMYFUNCTION("""COMPUTED_VALUE"""),20.79)</f>
        <v>20.79</v>
      </c>
      <c r="E1867" s="2">
        <f>IFERROR(__xludf.DUMMYFUNCTION("""COMPUTED_VALUE"""),20.84)</f>
        <v>20.84</v>
      </c>
      <c r="F1867" s="2">
        <f>IFERROR(__xludf.DUMMYFUNCTION("""COMPUTED_VALUE"""),4917636.0)</f>
        <v>4917636</v>
      </c>
    </row>
    <row r="1868">
      <c r="A1868" s="3">
        <f>IFERROR(__xludf.DUMMYFUNCTION("""COMPUTED_VALUE"""),43063.54166666667)</f>
        <v>43063.54167</v>
      </c>
      <c r="B1868" s="2">
        <f>IFERROR(__xludf.DUMMYFUNCTION("""COMPUTED_VALUE"""),20.92)</f>
        <v>20.92</v>
      </c>
      <c r="C1868" s="2">
        <f>IFERROR(__xludf.DUMMYFUNCTION("""COMPUTED_VALUE"""),21.09)</f>
        <v>21.09</v>
      </c>
      <c r="D1868" s="2">
        <f>IFERROR(__xludf.DUMMYFUNCTION("""COMPUTED_VALUE"""),20.73)</f>
        <v>20.73</v>
      </c>
      <c r="E1868" s="2">
        <f>IFERROR(__xludf.DUMMYFUNCTION("""COMPUTED_VALUE"""),21.04)</f>
        <v>21.04</v>
      </c>
      <c r="F1868" s="2">
        <f>IFERROR(__xludf.DUMMYFUNCTION("""COMPUTED_VALUE"""),3244065.0)</f>
        <v>3244065</v>
      </c>
    </row>
    <row r="1869">
      <c r="A1869" s="3">
        <f>IFERROR(__xludf.DUMMYFUNCTION("""COMPUTED_VALUE"""),43066.66666666667)</f>
        <v>43066.66667</v>
      </c>
      <c r="B1869" s="2">
        <f>IFERROR(__xludf.DUMMYFUNCTION("""COMPUTED_VALUE"""),20.88)</f>
        <v>20.88</v>
      </c>
      <c r="C1869" s="2">
        <f>IFERROR(__xludf.DUMMYFUNCTION("""COMPUTED_VALUE"""),21.16)</f>
        <v>21.16</v>
      </c>
      <c r="D1869" s="2">
        <f>IFERROR(__xludf.DUMMYFUNCTION("""COMPUTED_VALUE"""),20.63)</f>
        <v>20.63</v>
      </c>
      <c r="E1869" s="2">
        <f>IFERROR(__xludf.DUMMYFUNCTION("""COMPUTED_VALUE"""),21.12)</f>
        <v>21.12</v>
      </c>
      <c r="F1869" s="2">
        <f>IFERROR(__xludf.DUMMYFUNCTION("""COMPUTED_VALUE"""),4555894.0)</f>
        <v>4555894</v>
      </c>
    </row>
    <row r="1870">
      <c r="A1870" s="3">
        <f>IFERROR(__xludf.DUMMYFUNCTION("""COMPUTED_VALUE"""),43067.66666666667)</f>
        <v>43067.66667</v>
      </c>
      <c r="B1870" s="2">
        <f>IFERROR(__xludf.DUMMYFUNCTION("""COMPUTED_VALUE"""),21.09)</f>
        <v>21.09</v>
      </c>
      <c r="C1870" s="2">
        <f>IFERROR(__xludf.DUMMYFUNCTION("""COMPUTED_VALUE"""),21.33)</f>
        <v>21.33</v>
      </c>
      <c r="D1870" s="2">
        <f>IFERROR(__xludf.DUMMYFUNCTION("""COMPUTED_VALUE"""),20.93)</f>
        <v>20.93</v>
      </c>
      <c r="E1870" s="2">
        <f>IFERROR(__xludf.DUMMYFUNCTION("""COMPUTED_VALUE"""),21.17)</f>
        <v>21.17</v>
      </c>
      <c r="F1870" s="2">
        <f>IFERROR(__xludf.DUMMYFUNCTION("""COMPUTED_VALUE"""),4949491.0)</f>
        <v>4949491</v>
      </c>
    </row>
    <row r="1871">
      <c r="A1871" s="3">
        <f>IFERROR(__xludf.DUMMYFUNCTION("""COMPUTED_VALUE"""),43068.66666666667)</f>
        <v>43068.66667</v>
      </c>
      <c r="B1871" s="2">
        <f>IFERROR(__xludf.DUMMYFUNCTION("""COMPUTED_VALUE"""),21.15)</f>
        <v>21.15</v>
      </c>
      <c r="C1871" s="2">
        <f>IFERROR(__xludf.DUMMYFUNCTION("""COMPUTED_VALUE"""),21.2)</f>
        <v>21.2</v>
      </c>
      <c r="D1871" s="2">
        <f>IFERROR(__xludf.DUMMYFUNCTION("""COMPUTED_VALUE"""),20.08)</f>
        <v>20.08</v>
      </c>
      <c r="E1871" s="2">
        <f>IFERROR(__xludf.DUMMYFUNCTION("""COMPUTED_VALUE"""),20.5)</f>
        <v>20.5</v>
      </c>
      <c r="F1871" s="2">
        <f>IFERROR(__xludf.DUMMYFUNCTION("""COMPUTED_VALUE"""),8767398.0)</f>
        <v>8767398</v>
      </c>
    </row>
    <row r="1872">
      <c r="A1872" s="3">
        <f>IFERROR(__xludf.DUMMYFUNCTION("""COMPUTED_VALUE"""),43069.66666666667)</f>
        <v>43069.66667</v>
      </c>
      <c r="B1872" s="2">
        <f>IFERROR(__xludf.DUMMYFUNCTION("""COMPUTED_VALUE"""),20.57)</f>
        <v>20.57</v>
      </c>
      <c r="C1872" s="2">
        <f>IFERROR(__xludf.DUMMYFUNCTION("""COMPUTED_VALUE"""),20.71)</f>
        <v>20.71</v>
      </c>
      <c r="D1872" s="2">
        <f>IFERROR(__xludf.DUMMYFUNCTION("""COMPUTED_VALUE"""),20.3)</f>
        <v>20.3</v>
      </c>
      <c r="E1872" s="2">
        <f>IFERROR(__xludf.DUMMYFUNCTION("""COMPUTED_VALUE"""),20.59)</f>
        <v>20.59</v>
      </c>
      <c r="F1872" s="2">
        <f>IFERROR(__xludf.DUMMYFUNCTION("""COMPUTED_VALUE"""),4351587.0)</f>
        <v>4351587</v>
      </c>
    </row>
    <row r="1873">
      <c r="A1873" s="3">
        <f>IFERROR(__xludf.DUMMYFUNCTION("""COMPUTED_VALUE"""),43070.66666666667)</f>
        <v>43070.66667</v>
      </c>
      <c r="B1873" s="2">
        <f>IFERROR(__xludf.DUMMYFUNCTION("""COMPUTED_VALUE"""),20.36)</f>
        <v>20.36</v>
      </c>
      <c r="C1873" s="2">
        <f>IFERROR(__xludf.DUMMYFUNCTION("""COMPUTED_VALUE"""),20.69)</f>
        <v>20.69</v>
      </c>
      <c r="D1873" s="2">
        <f>IFERROR(__xludf.DUMMYFUNCTION("""COMPUTED_VALUE"""),20.34)</f>
        <v>20.34</v>
      </c>
      <c r="E1873" s="2">
        <f>IFERROR(__xludf.DUMMYFUNCTION("""COMPUTED_VALUE"""),20.44)</f>
        <v>20.44</v>
      </c>
      <c r="F1873" s="2">
        <f>IFERROR(__xludf.DUMMYFUNCTION("""COMPUTED_VALUE"""),4292868.0)</f>
        <v>4292868</v>
      </c>
    </row>
    <row r="1874">
      <c r="A1874" s="3">
        <f>IFERROR(__xludf.DUMMYFUNCTION("""COMPUTED_VALUE"""),43073.66666666667)</f>
        <v>43073.66667</v>
      </c>
      <c r="B1874" s="2">
        <f>IFERROR(__xludf.DUMMYFUNCTION("""COMPUTED_VALUE"""),20.43)</f>
        <v>20.43</v>
      </c>
      <c r="C1874" s="2">
        <f>IFERROR(__xludf.DUMMYFUNCTION("""COMPUTED_VALUE"""),20.55)</f>
        <v>20.55</v>
      </c>
      <c r="D1874" s="2">
        <f>IFERROR(__xludf.DUMMYFUNCTION("""COMPUTED_VALUE"""),20.04)</f>
        <v>20.04</v>
      </c>
      <c r="E1874" s="2">
        <f>IFERROR(__xludf.DUMMYFUNCTION("""COMPUTED_VALUE"""),20.35)</f>
        <v>20.35</v>
      </c>
      <c r="F1874" s="2">
        <f>IFERROR(__xludf.DUMMYFUNCTION("""COMPUTED_VALUE"""),5835140.0)</f>
        <v>5835140</v>
      </c>
    </row>
    <row r="1875">
      <c r="A1875" s="3">
        <f>IFERROR(__xludf.DUMMYFUNCTION("""COMPUTED_VALUE"""),43074.66666666667)</f>
        <v>43074.66667</v>
      </c>
      <c r="B1875" s="2">
        <f>IFERROR(__xludf.DUMMYFUNCTION("""COMPUTED_VALUE"""),20.13)</f>
        <v>20.13</v>
      </c>
      <c r="C1875" s="2">
        <f>IFERROR(__xludf.DUMMYFUNCTION("""COMPUTED_VALUE"""),20.53)</f>
        <v>20.53</v>
      </c>
      <c r="D1875" s="2">
        <f>IFERROR(__xludf.DUMMYFUNCTION("""COMPUTED_VALUE"""),20.07)</f>
        <v>20.07</v>
      </c>
      <c r="E1875" s="2">
        <f>IFERROR(__xludf.DUMMYFUNCTION("""COMPUTED_VALUE"""),20.25)</f>
        <v>20.25</v>
      </c>
      <c r="F1875" s="2">
        <f>IFERROR(__xludf.DUMMYFUNCTION("""COMPUTED_VALUE"""),4646520.0)</f>
        <v>4646520</v>
      </c>
    </row>
    <row r="1876">
      <c r="A1876" s="3">
        <f>IFERROR(__xludf.DUMMYFUNCTION("""COMPUTED_VALUE"""),43075.66666666667)</f>
        <v>43075.66667</v>
      </c>
      <c r="B1876" s="2">
        <f>IFERROR(__xludf.DUMMYFUNCTION("""COMPUTED_VALUE"""),20.01)</f>
        <v>20.01</v>
      </c>
      <c r="C1876" s="2">
        <f>IFERROR(__xludf.DUMMYFUNCTION("""COMPUTED_VALUE"""),20.89)</f>
        <v>20.89</v>
      </c>
      <c r="D1876" s="2">
        <f>IFERROR(__xludf.DUMMYFUNCTION("""COMPUTED_VALUE"""),20.0)</f>
        <v>20</v>
      </c>
      <c r="E1876" s="2">
        <f>IFERROR(__xludf.DUMMYFUNCTION("""COMPUTED_VALUE"""),20.88)</f>
        <v>20.88</v>
      </c>
      <c r="F1876" s="2">
        <f>IFERROR(__xludf.DUMMYFUNCTION("""COMPUTED_VALUE"""),7195341.0)</f>
        <v>7195341</v>
      </c>
    </row>
    <row r="1877">
      <c r="A1877" s="3">
        <f>IFERROR(__xludf.DUMMYFUNCTION("""COMPUTED_VALUE"""),43076.66666666667)</f>
        <v>43076.66667</v>
      </c>
      <c r="B1877" s="2">
        <f>IFERROR(__xludf.DUMMYFUNCTION("""COMPUTED_VALUE"""),20.8)</f>
        <v>20.8</v>
      </c>
      <c r="C1877" s="2">
        <f>IFERROR(__xludf.DUMMYFUNCTION("""COMPUTED_VALUE"""),21.24)</f>
        <v>21.24</v>
      </c>
      <c r="D1877" s="2">
        <f>IFERROR(__xludf.DUMMYFUNCTION("""COMPUTED_VALUE"""),20.74)</f>
        <v>20.74</v>
      </c>
      <c r="E1877" s="2">
        <f>IFERROR(__xludf.DUMMYFUNCTION("""COMPUTED_VALUE"""),20.75)</f>
        <v>20.75</v>
      </c>
      <c r="F1877" s="2">
        <f>IFERROR(__xludf.DUMMYFUNCTION("""COMPUTED_VALUE"""),4780597.0)</f>
        <v>4780597</v>
      </c>
    </row>
    <row r="1878">
      <c r="A1878" s="3">
        <f>IFERROR(__xludf.DUMMYFUNCTION("""COMPUTED_VALUE"""),43077.66666666667)</f>
        <v>43077.66667</v>
      </c>
      <c r="B1878" s="2">
        <f>IFERROR(__xludf.DUMMYFUNCTION("""COMPUTED_VALUE"""),20.97)</f>
        <v>20.97</v>
      </c>
      <c r="C1878" s="2">
        <f>IFERROR(__xludf.DUMMYFUNCTION("""COMPUTED_VALUE"""),21.13)</f>
        <v>21.13</v>
      </c>
      <c r="D1878" s="2">
        <f>IFERROR(__xludf.DUMMYFUNCTION("""COMPUTED_VALUE"""),20.75)</f>
        <v>20.75</v>
      </c>
      <c r="E1878" s="2">
        <f>IFERROR(__xludf.DUMMYFUNCTION("""COMPUTED_VALUE"""),21.01)</f>
        <v>21.01</v>
      </c>
      <c r="F1878" s="2">
        <f>IFERROR(__xludf.DUMMYFUNCTION("""COMPUTED_VALUE"""),3468458.0)</f>
        <v>3468458</v>
      </c>
    </row>
    <row r="1879">
      <c r="A1879" s="3">
        <f>IFERROR(__xludf.DUMMYFUNCTION("""COMPUTED_VALUE"""),43080.66666666667)</f>
        <v>43080.66667</v>
      </c>
      <c r="B1879" s="2">
        <f>IFERROR(__xludf.DUMMYFUNCTION("""COMPUTED_VALUE"""),20.98)</f>
        <v>20.98</v>
      </c>
      <c r="C1879" s="2">
        <f>IFERROR(__xludf.DUMMYFUNCTION("""COMPUTED_VALUE"""),21.93)</f>
        <v>21.93</v>
      </c>
      <c r="D1879" s="2">
        <f>IFERROR(__xludf.DUMMYFUNCTION("""COMPUTED_VALUE"""),20.92)</f>
        <v>20.92</v>
      </c>
      <c r="E1879" s="2">
        <f>IFERROR(__xludf.DUMMYFUNCTION("""COMPUTED_VALUE"""),21.93)</f>
        <v>21.93</v>
      </c>
      <c r="F1879" s="2">
        <f>IFERROR(__xludf.DUMMYFUNCTION("""COMPUTED_VALUE"""),7937981.0)</f>
        <v>7937981</v>
      </c>
    </row>
    <row r="1880">
      <c r="A1880" s="3">
        <f>IFERROR(__xludf.DUMMYFUNCTION("""COMPUTED_VALUE"""),43081.66666666667)</f>
        <v>43081.66667</v>
      </c>
      <c r="B1880" s="2">
        <f>IFERROR(__xludf.DUMMYFUNCTION("""COMPUTED_VALUE"""),22.03)</f>
        <v>22.03</v>
      </c>
      <c r="C1880" s="2">
        <f>IFERROR(__xludf.DUMMYFUNCTION("""COMPUTED_VALUE"""),22.76)</f>
        <v>22.76</v>
      </c>
      <c r="D1880" s="2">
        <f>IFERROR(__xludf.DUMMYFUNCTION("""COMPUTED_VALUE"""),22.0)</f>
        <v>22</v>
      </c>
      <c r="E1880" s="2">
        <f>IFERROR(__xludf.DUMMYFUNCTION("""COMPUTED_VALUE"""),22.74)</f>
        <v>22.74</v>
      </c>
      <c r="F1880" s="2">
        <f>IFERROR(__xludf.DUMMYFUNCTION("""COMPUTED_VALUE"""),8733199.0)</f>
        <v>8733199</v>
      </c>
    </row>
    <row r="1881">
      <c r="A1881" s="3">
        <f>IFERROR(__xludf.DUMMYFUNCTION("""COMPUTED_VALUE"""),43082.66666666667)</f>
        <v>43082.66667</v>
      </c>
      <c r="B1881" s="2">
        <f>IFERROR(__xludf.DUMMYFUNCTION("""COMPUTED_VALUE"""),22.73)</f>
        <v>22.73</v>
      </c>
      <c r="C1881" s="2">
        <f>IFERROR(__xludf.DUMMYFUNCTION("""COMPUTED_VALUE"""),22.95)</f>
        <v>22.95</v>
      </c>
      <c r="D1881" s="2">
        <f>IFERROR(__xludf.DUMMYFUNCTION("""COMPUTED_VALUE"""),22.43)</f>
        <v>22.43</v>
      </c>
      <c r="E1881" s="2">
        <f>IFERROR(__xludf.DUMMYFUNCTION("""COMPUTED_VALUE"""),22.6)</f>
        <v>22.6</v>
      </c>
      <c r="F1881" s="2">
        <f>IFERROR(__xludf.DUMMYFUNCTION("""COMPUTED_VALUE"""),6221461.0)</f>
        <v>6221461</v>
      </c>
    </row>
    <row r="1882">
      <c r="A1882" s="3">
        <f>IFERROR(__xludf.DUMMYFUNCTION("""COMPUTED_VALUE"""),43083.66666666667)</f>
        <v>43083.66667</v>
      </c>
      <c r="B1882" s="2">
        <f>IFERROR(__xludf.DUMMYFUNCTION("""COMPUTED_VALUE"""),22.73)</f>
        <v>22.73</v>
      </c>
      <c r="C1882" s="2">
        <f>IFERROR(__xludf.DUMMYFUNCTION("""COMPUTED_VALUE"""),23.16)</f>
        <v>23.16</v>
      </c>
      <c r="D1882" s="2">
        <f>IFERROR(__xludf.DUMMYFUNCTION("""COMPUTED_VALUE"""),22.46)</f>
        <v>22.46</v>
      </c>
      <c r="E1882" s="2">
        <f>IFERROR(__xludf.DUMMYFUNCTION("""COMPUTED_VALUE"""),22.53)</f>
        <v>22.53</v>
      </c>
      <c r="F1882" s="2">
        <f>IFERROR(__xludf.DUMMYFUNCTION("""COMPUTED_VALUE"""),5799916.0)</f>
        <v>5799916</v>
      </c>
    </row>
    <row r="1883">
      <c r="A1883" s="3">
        <f>IFERROR(__xludf.DUMMYFUNCTION("""COMPUTED_VALUE"""),43084.66666666667)</f>
        <v>43084.66667</v>
      </c>
      <c r="B1883" s="2">
        <f>IFERROR(__xludf.DUMMYFUNCTION("""COMPUTED_VALUE"""),22.8)</f>
        <v>22.8</v>
      </c>
      <c r="C1883" s="2">
        <f>IFERROR(__xludf.DUMMYFUNCTION("""COMPUTED_VALUE"""),22.93)</f>
        <v>22.93</v>
      </c>
      <c r="D1883" s="2">
        <f>IFERROR(__xludf.DUMMYFUNCTION("""COMPUTED_VALUE"""),22.38)</f>
        <v>22.38</v>
      </c>
      <c r="E1883" s="2">
        <f>IFERROR(__xludf.DUMMYFUNCTION("""COMPUTED_VALUE"""),22.9)</f>
        <v>22.9</v>
      </c>
      <c r="F1883" s="2">
        <f>IFERROR(__xludf.DUMMYFUNCTION("""COMPUTED_VALUE"""),6933199.0)</f>
        <v>6933199</v>
      </c>
    </row>
    <row r="1884">
      <c r="A1884" s="3">
        <f>IFERROR(__xludf.DUMMYFUNCTION("""COMPUTED_VALUE"""),43087.66666666667)</f>
        <v>43087.66667</v>
      </c>
      <c r="B1884" s="2">
        <f>IFERROR(__xludf.DUMMYFUNCTION("""COMPUTED_VALUE"""),22.99)</f>
        <v>22.99</v>
      </c>
      <c r="C1884" s="2">
        <f>IFERROR(__xludf.DUMMYFUNCTION("""COMPUTED_VALUE"""),23.12)</f>
        <v>23.12</v>
      </c>
      <c r="D1884" s="2">
        <f>IFERROR(__xludf.DUMMYFUNCTION("""COMPUTED_VALUE"""),22.51)</f>
        <v>22.51</v>
      </c>
      <c r="E1884" s="2">
        <f>IFERROR(__xludf.DUMMYFUNCTION("""COMPUTED_VALUE"""),22.59)</f>
        <v>22.59</v>
      </c>
      <c r="F1884" s="2">
        <f>IFERROR(__xludf.DUMMYFUNCTION("""COMPUTED_VALUE"""),5476166.0)</f>
        <v>5476166</v>
      </c>
    </row>
    <row r="1885">
      <c r="A1885" s="3">
        <f>IFERROR(__xludf.DUMMYFUNCTION("""COMPUTED_VALUE"""),43088.66666666667)</f>
        <v>43088.66667</v>
      </c>
      <c r="B1885" s="2">
        <f>IFERROR(__xludf.DUMMYFUNCTION("""COMPUTED_VALUE"""),22.68)</f>
        <v>22.68</v>
      </c>
      <c r="C1885" s="2">
        <f>IFERROR(__xludf.DUMMYFUNCTION("""COMPUTED_VALUE"""),22.77)</f>
        <v>22.77</v>
      </c>
      <c r="D1885" s="2">
        <f>IFERROR(__xludf.DUMMYFUNCTION("""COMPUTED_VALUE"""),22.02)</f>
        <v>22.02</v>
      </c>
      <c r="E1885" s="2">
        <f>IFERROR(__xludf.DUMMYFUNCTION("""COMPUTED_VALUE"""),22.07)</f>
        <v>22.07</v>
      </c>
      <c r="F1885" s="2">
        <f>IFERROR(__xludf.DUMMYFUNCTION("""COMPUTED_VALUE"""),6824971.0)</f>
        <v>6824971</v>
      </c>
    </row>
    <row r="1886">
      <c r="A1886" s="3">
        <f>IFERROR(__xludf.DUMMYFUNCTION("""COMPUTED_VALUE"""),43089.66666666667)</f>
        <v>43089.66667</v>
      </c>
      <c r="B1886" s="2">
        <f>IFERROR(__xludf.DUMMYFUNCTION("""COMPUTED_VALUE"""),22.18)</f>
        <v>22.18</v>
      </c>
      <c r="C1886" s="2">
        <f>IFERROR(__xludf.DUMMYFUNCTION("""COMPUTED_VALUE"""),22.21)</f>
        <v>22.21</v>
      </c>
      <c r="D1886" s="2">
        <f>IFERROR(__xludf.DUMMYFUNCTION("""COMPUTED_VALUE"""),21.67)</f>
        <v>21.67</v>
      </c>
      <c r="E1886" s="2">
        <f>IFERROR(__xludf.DUMMYFUNCTION("""COMPUTED_VALUE"""),21.93)</f>
        <v>21.93</v>
      </c>
      <c r="F1886" s="2">
        <f>IFERROR(__xludf.DUMMYFUNCTION("""COMPUTED_VALUE"""),5953800.0)</f>
        <v>5953800</v>
      </c>
    </row>
    <row r="1887">
      <c r="A1887" s="3">
        <f>IFERROR(__xludf.DUMMYFUNCTION("""COMPUTED_VALUE"""),43090.66666666667)</f>
        <v>43090.66667</v>
      </c>
      <c r="B1887" s="2">
        <f>IFERROR(__xludf.DUMMYFUNCTION("""COMPUTED_VALUE"""),21.97)</f>
        <v>21.97</v>
      </c>
      <c r="C1887" s="2">
        <f>IFERROR(__xludf.DUMMYFUNCTION("""COMPUTED_VALUE"""),22.25)</f>
        <v>22.25</v>
      </c>
      <c r="D1887" s="2">
        <f>IFERROR(__xludf.DUMMYFUNCTION("""COMPUTED_VALUE"""),21.81)</f>
        <v>21.81</v>
      </c>
      <c r="E1887" s="2">
        <f>IFERROR(__xludf.DUMMYFUNCTION("""COMPUTED_VALUE"""),22.11)</f>
        <v>22.11</v>
      </c>
      <c r="F1887" s="2">
        <f>IFERROR(__xludf.DUMMYFUNCTION("""COMPUTED_VALUE"""),4385222.0)</f>
        <v>4385222</v>
      </c>
    </row>
    <row r="1888">
      <c r="A1888" s="3">
        <f>IFERROR(__xludf.DUMMYFUNCTION("""COMPUTED_VALUE"""),43091.66666666667)</f>
        <v>43091.66667</v>
      </c>
      <c r="B1888" s="2">
        <f>IFERROR(__xludf.DUMMYFUNCTION("""COMPUTED_VALUE"""),21.97)</f>
        <v>21.97</v>
      </c>
      <c r="C1888" s="2">
        <f>IFERROR(__xludf.DUMMYFUNCTION("""COMPUTED_VALUE"""),22.06)</f>
        <v>22.06</v>
      </c>
      <c r="D1888" s="2">
        <f>IFERROR(__xludf.DUMMYFUNCTION("""COMPUTED_VALUE"""),21.65)</f>
        <v>21.65</v>
      </c>
      <c r="E1888" s="2">
        <f>IFERROR(__xludf.DUMMYFUNCTION("""COMPUTED_VALUE"""),21.68)</f>
        <v>21.68</v>
      </c>
      <c r="F1888" s="2">
        <f>IFERROR(__xludf.DUMMYFUNCTION("""COMPUTED_VALUE"""),4215807.0)</f>
        <v>4215807</v>
      </c>
    </row>
    <row r="1889">
      <c r="A1889" s="3">
        <f>IFERROR(__xludf.DUMMYFUNCTION("""COMPUTED_VALUE"""),43095.66666666667)</f>
        <v>43095.66667</v>
      </c>
      <c r="B1889" s="2">
        <f>IFERROR(__xludf.DUMMYFUNCTION("""COMPUTED_VALUE"""),21.59)</f>
        <v>21.59</v>
      </c>
      <c r="C1889" s="2">
        <f>IFERROR(__xludf.DUMMYFUNCTION("""COMPUTED_VALUE"""),21.6)</f>
        <v>21.6</v>
      </c>
      <c r="D1889" s="2">
        <f>IFERROR(__xludf.DUMMYFUNCTION("""COMPUTED_VALUE"""),21.11)</f>
        <v>21.11</v>
      </c>
      <c r="E1889" s="2">
        <f>IFERROR(__xludf.DUMMYFUNCTION("""COMPUTED_VALUE"""),21.15)</f>
        <v>21.15</v>
      </c>
      <c r="F1889" s="2">
        <f>IFERROR(__xludf.DUMMYFUNCTION("""COMPUTED_VALUE"""),4378413.0)</f>
        <v>4378413</v>
      </c>
    </row>
    <row r="1890">
      <c r="A1890" s="3">
        <f>IFERROR(__xludf.DUMMYFUNCTION("""COMPUTED_VALUE"""),43096.66666666667)</f>
        <v>43096.66667</v>
      </c>
      <c r="B1890" s="2">
        <f>IFERROR(__xludf.DUMMYFUNCTION("""COMPUTED_VALUE"""),21.07)</f>
        <v>21.07</v>
      </c>
      <c r="C1890" s="2">
        <f>IFERROR(__xludf.DUMMYFUNCTION("""COMPUTED_VALUE"""),21.18)</f>
        <v>21.18</v>
      </c>
      <c r="D1890" s="2">
        <f>IFERROR(__xludf.DUMMYFUNCTION("""COMPUTED_VALUE"""),20.72)</f>
        <v>20.72</v>
      </c>
      <c r="E1890" s="2">
        <f>IFERROR(__xludf.DUMMYFUNCTION("""COMPUTED_VALUE"""),20.78)</f>
        <v>20.78</v>
      </c>
      <c r="F1890" s="2">
        <f>IFERROR(__xludf.DUMMYFUNCTION("""COMPUTED_VALUE"""),4712111.0)</f>
        <v>4712111</v>
      </c>
    </row>
    <row r="1891">
      <c r="A1891" s="3">
        <f>IFERROR(__xludf.DUMMYFUNCTION("""COMPUTED_VALUE"""),43097.66666666667)</f>
        <v>43097.66667</v>
      </c>
      <c r="B1891" s="2">
        <f>IFERROR(__xludf.DUMMYFUNCTION("""COMPUTED_VALUE"""),20.78)</f>
        <v>20.78</v>
      </c>
      <c r="C1891" s="2">
        <f>IFERROR(__xludf.DUMMYFUNCTION("""COMPUTED_VALUE"""),21.05)</f>
        <v>21.05</v>
      </c>
      <c r="D1891" s="2">
        <f>IFERROR(__xludf.DUMMYFUNCTION("""COMPUTED_VALUE"""),20.64)</f>
        <v>20.64</v>
      </c>
      <c r="E1891" s="2">
        <f>IFERROR(__xludf.DUMMYFUNCTION("""COMPUTED_VALUE"""),21.02)</f>
        <v>21.02</v>
      </c>
      <c r="F1891" s="2">
        <f>IFERROR(__xludf.DUMMYFUNCTION("""COMPUTED_VALUE"""),4316347.0)</f>
        <v>4316347</v>
      </c>
    </row>
    <row r="1892">
      <c r="A1892" s="3">
        <f>IFERROR(__xludf.DUMMYFUNCTION("""COMPUTED_VALUE"""),43098.66666666667)</f>
        <v>43098.66667</v>
      </c>
      <c r="B1892" s="2">
        <f>IFERROR(__xludf.DUMMYFUNCTION("""COMPUTED_VALUE"""),21.08)</f>
        <v>21.08</v>
      </c>
      <c r="C1892" s="2">
        <f>IFERROR(__xludf.DUMMYFUNCTION("""COMPUTED_VALUE"""),21.09)</f>
        <v>21.09</v>
      </c>
      <c r="D1892" s="2">
        <f>IFERROR(__xludf.DUMMYFUNCTION("""COMPUTED_VALUE"""),20.67)</f>
        <v>20.67</v>
      </c>
      <c r="E1892" s="2">
        <f>IFERROR(__xludf.DUMMYFUNCTION("""COMPUTED_VALUE"""),20.76)</f>
        <v>20.76</v>
      </c>
      <c r="F1892" s="2">
        <f>IFERROR(__xludf.DUMMYFUNCTION("""COMPUTED_VALUE"""),3777155.0)</f>
        <v>3777155</v>
      </c>
    </row>
    <row r="1893">
      <c r="A1893" s="3">
        <f>IFERROR(__xludf.DUMMYFUNCTION("""COMPUTED_VALUE"""),43102.66666666667)</f>
        <v>43102.66667</v>
      </c>
      <c r="B1893" s="2">
        <f>IFERROR(__xludf.DUMMYFUNCTION("""COMPUTED_VALUE"""),20.8)</f>
        <v>20.8</v>
      </c>
      <c r="C1893" s="2">
        <f>IFERROR(__xludf.DUMMYFUNCTION("""COMPUTED_VALUE"""),21.47)</f>
        <v>21.47</v>
      </c>
      <c r="D1893" s="2">
        <f>IFERROR(__xludf.DUMMYFUNCTION("""COMPUTED_VALUE"""),20.73)</f>
        <v>20.73</v>
      </c>
      <c r="E1893" s="2">
        <f>IFERROR(__xludf.DUMMYFUNCTION("""COMPUTED_VALUE"""),21.37)</f>
        <v>21.37</v>
      </c>
      <c r="F1893" s="2">
        <f>IFERROR(__xludf.DUMMYFUNCTION("""COMPUTED_VALUE"""),4352241.0)</f>
        <v>4352241</v>
      </c>
    </row>
    <row r="1894">
      <c r="A1894" s="3">
        <f>IFERROR(__xludf.DUMMYFUNCTION("""COMPUTED_VALUE"""),43103.66666666667)</f>
        <v>43103.66667</v>
      </c>
      <c r="B1894" s="2">
        <f>IFERROR(__xludf.DUMMYFUNCTION("""COMPUTED_VALUE"""),21.4)</f>
        <v>21.4</v>
      </c>
      <c r="C1894" s="2">
        <f>IFERROR(__xludf.DUMMYFUNCTION("""COMPUTED_VALUE"""),21.68)</f>
        <v>21.68</v>
      </c>
      <c r="D1894" s="2">
        <f>IFERROR(__xludf.DUMMYFUNCTION("""COMPUTED_VALUE"""),21.04)</f>
        <v>21.04</v>
      </c>
      <c r="E1894" s="2">
        <f>IFERROR(__xludf.DUMMYFUNCTION("""COMPUTED_VALUE"""),21.15)</f>
        <v>21.15</v>
      </c>
      <c r="F1894" s="2">
        <f>IFERROR(__xludf.DUMMYFUNCTION("""COMPUTED_VALUE"""),4521527.0)</f>
        <v>4521527</v>
      </c>
    </row>
    <row r="1895">
      <c r="A1895" s="3">
        <f>IFERROR(__xludf.DUMMYFUNCTION("""COMPUTED_VALUE"""),43104.66666666667)</f>
        <v>43104.66667</v>
      </c>
      <c r="B1895" s="2">
        <f>IFERROR(__xludf.DUMMYFUNCTION("""COMPUTED_VALUE"""),20.86)</f>
        <v>20.86</v>
      </c>
      <c r="C1895" s="2">
        <f>IFERROR(__xludf.DUMMYFUNCTION("""COMPUTED_VALUE"""),21.24)</f>
        <v>21.24</v>
      </c>
      <c r="D1895" s="2">
        <f>IFERROR(__xludf.DUMMYFUNCTION("""COMPUTED_VALUE"""),20.38)</f>
        <v>20.38</v>
      </c>
      <c r="E1895" s="2">
        <f>IFERROR(__xludf.DUMMYFUNCTION("""COMPUTED_VALUE"""),20.97)</f>
        <v>20.97</v>
      </c>
      <c r="F1895" s="2">
        <f>IFERROR(__xludf.DUMMYFUNCTION("""COMPUTED_VALUE"""),9946304.0)</f>
        <v>9946304</v>
      </c>
    </row>
    <row r="1896">
      <c r="A1896" s="3">
        <f>IFERROR(__xludf.DUMMYFUNCTION("""COMPUTED_VALUE"""),43105.66666666667)</f>
        <v>43105.66667</v>
      </c>
      <c r="B1896" s="2">
        <f>IFERROR(__xludf.DUMMYFUNCTION("""COMPUTED_VALUE"""),21.11)</f>
        <v>21.11</v>
      </c>
      <c r="C1896" s="2">
        <f>IFERROR(__xludf.DUMMYFUNCTION("""COMPUTED_VALUE"""),21.15)</f>
        <v>21.15</v>
      </c>
      <c r="D1896" s="2">
        <f>IFERROR(__xludf.DUMMYFUNCTION("""COMPUTED_VALUE"""),20.8)</f>
        <v>20.8</v>
      </c>
      <c r="E1896" s="2">
        <f>IFERROR(__xludf.DUMMYFUNCTION("""COMPUTED_VALUE"""),21.11)</f>
        <v>21.11</v>
      </c>
      <c r="F1896" s="2">
        <f>IFERROR(__xludf.DUMMYFUNCTION("""COMPUTED_VALUE"""),4591180.0)</f>
        <v>4591180</v>
      </c>
    </row>
    <row r="1897">
      <c r="A1897" s="3">
        <f>IFERROR(__xludf.DUMMYFUNCTION("""COMPUTED_VALUE"""),43108.66666666667)</f>
        <v>43108.66667</v>
      </c>
      <c r="B1897" s="2">
        <f>IFERROR(__xludf.DUMMYFUNCTION("""COMPUTED_VALUE"""),21.07)</f>
        <v>21.07</v>
      </c>
      <c r="C1897" s="2">
        <f>IFERROR(__xludf.DUMMYFUNCTION("""COMPUTED_VALUE"""),22.47)</f>
        <v>22.47</v>
      </c>
      <c r="D1897" s="2">
        <f>IFERROR(__xludf.DUMMYFUNCTION("""COMPUTED_VALUE"""),21.03)</f>
        <v>21.03</v>
      </c>
      <c r="E1897" s="2">
        <f>IFERROR(__xludf.DUMMYFUNCTION("""COMPUTED_VALUE"""),22.43)</f>
        <v>22.43</v>
      </c>
      <c r="F1897" s="2">
        <f>IFERROR(__xludf.DUMMYFUNCTION("""COMPUTED_VALUE"""),9859435.0)</f>
        <v>9859435</v>
      </c>
    </row>
    <row r="1898">
      <c r="A1898" s="3">
        <f>IFERROR(__xludf.DUMMYFUNCTION("""COMPUTED_VALUE"""),43109.66666666667)</f>
        <v>43109.66667</v>
      </c>
      <c r="B1898" s="2">
        <f>IFERROR(__xludf.DUMMYFUNCTION("""COMPUTED_VALUE"""),22.34)</f>
        <v>22.34</v>
      </c>
      <c r="C1898" s="2">
        <f>IFERROR(__xludf.DUMMYFUNCTION("""COMPUTED_VALUE"""),22.59)</f>
        <v>22.59</v>
      </c>
      <c r="D1898" s="2">
        <f>IFERROR(__xludf.DUMMYFUNCTION("""COMPUTED_VALUE"""),21.83)</f>
        <v>21.83</v>
      </c>
      <c r="E1898" s="2">
        <f>IFERROR(__xludf.DUMMYFUNCTION("""COMPUTED_VALUE"""),22.25)</f>
        <v>22.25</v>
      </c>
      <c r="F1898" s="2">
        <f>IFERROR(__xludf.DUMMYFUNCTION("""COMPUTED_VALUE"""),7146631.0)</f>
        <v>7146631</v>
      </c>
    </row>
    <row r="1899">
      <c r="A1899" s="3">
        <f>IFERROR(__xludf.DUMMYFUNCTION("""COMPUTED_VALUE"""),43110.66666666667)</f>
        <v>43110.66667</v>
      </c>
      <c r="B1899" s="2">
        <f>IFERROR(__xludf.DUMMYFUNCTION("""COMPUTED_VALUE"""),22.15)</f>
        <v>22.15</v>
      </c>
      <c r="C1899" s="2">
        <f>IFERROR(__xludf.DUMMYFUNCTION("""COMPUTED_VALUE"""),22.47)</f>
        <v>22.47</v>
      </c>
      <c r="D1899" s="2">
        <f>IFERROR(__xludf.DUMMYFUNCTION("""COMPUTED_VALUE"""),22.0)</f>
        <v>22</v>
      </c>
      <c r="E1899" s="2">
        <f>IFERROR(__xludf.DUMMYFUNCTION("""COMPUTED_VALUE"""),22.32)</f>
        <v>22.32</v>
      </c>
      <c r="F1899" s="2">
        <f>IFERROR(__xludf.DUMMYFUNCTION("""COMPUTED_VALUE"""),4309926.0)</f>
        <v>4309926</v>
      </c>
    </row>
    <row r="1900">
      <c r="A1900" s="3">
        <f>IFERROR(__xludf.DUMMYFUNCTION("""COMPUTED_VALUE"""),43111.66666666667)</f>
        <v>43111.66667</v>
      </c>
      <c r="B1900" s="2">
        <f>IFERROR(__xludf.DUMMYFUNCTION("""COMPUTED_VALUE"""),22.35)</f>
        <v>22.35</v>
      </c>
      <c r="C1900" s="2">
        <f>IFERROR(__xludf.DUMMYFUNCTION("""COMPUTED_VALUE"""),22.99)</f>
        <v>22.99</v>
      </c>
      <c r="D1900" s="2">
        <f>IFERROR(__xludf.DUMMYFUNCTION("""COMPUTED_VALUE"""),22.22)</f>
        <v>22.22</v>
      </c>
      <c r="E1900" s="2">
        <f>IFERROR(__xludf.DUMMYFUNCTION("""COMPUTED_VALUE"""),22.53)</f>
        <v>22.53</v>
      </c>
      <c r="F1900" s="2">
        <f>IFERROR(__xludf.DUMMYFUNCTION("""COMPUTED_VALUE"""),6645484.0)</f>
        <v>6645484</v>
      </c>
    </row>
    <row r="1901">
      <c r="A1901" s="3">
        <f>IFERROR(__xludf.DUMMYFUNCTION("""COMPUTED_VALUE"""),43112.66666666667)</f>
        <v>43112.66667</v>
      </c>
      <c r="B1901" s="2">
        <f>IFERROR(__xludf.DUMMYFUNCTION("""COMPUTED_VALUE"""),22.58)</f>
        <v>22.58</v>
      </c>
      <c r="C1901" s="2">
        <f>IFERROR(__xludf.DUMMYFUNCTION("""COMPUTED_VALUE"""),22.69)</f>
        <v>22.69</v>
      </c>
      <c r="D1901" s="2">
        <f>IFERROR(__xludf.DUMMYFUNCTION("""COMPUTED_VALUE"""),22.24)</f>
        <v>22.24</v>
      </c>
      <c r="E1901" s="2">
        <f>IFERROR(__xludf.DUMMYFUNCTION("""COMPUTED_VALUE"""),22.41)</f>
        <v>22.41</v>
      </c>
      <c r="F1901" s="2">
        <f>IFERROR(__xludf.DUMMYFUNCTION("""COMPUTED_VALUE"""),4825059.0)</f>
        <v>4825059</v>
      </c>
    </row>
    <row r="1902">
      <c r="A1902" s="3">
        <f>IFERROR(__xludf.DUMMYFUNCTION("""COMPUTED_VALUE"""),43116.66666666667)</f>
        <v>43116.66667</v>
      </c>
      <c r="B1902" s="2">
        <f>IFERROR(__xludf.DUMMYFUNCTION("""COMPUTED_VALUE"""),22.5)</f>
        <v>22.5</v>
      </c>
      <c r="C1902" s="2">
        <f>IFERROR(__xludf.DUMMYFUNCTION("""COMPUTED_VALUE"""),23.0)</f>
        <v>23</v>
      </c>
      <c r="D1902" s="2">
        <f>IFERROR(__xludf.DUMMYFUNCTION("""COMPUTED_VALUE"""),22.32)</f>
        <v>22.32</v>
      </c>
      <c r="E1902" s="2">
        <f>IFERROR(__xludf.DUMMYFUNCTION("""COMPUTED_VALUE"""),22.67)</f>
        <v>22.67</v>
      </c>
      <c r="F1902" s="2">
        <f>IFERROR(__xludf.DUMMYFUNCTION("""COMPUTED_VALUE"""),6474251.0)</f>
        <v>6474251</v>
      </c>
    </row>
    <row r="1903">
      <c r="A1903" s="3">
        <f>IFERROR(__xludf.DUMMYFUNCTION("""COMPUTED_VALUE"""),43117.66666666667)</f>
        <v>43117.66667</v>
      </c>
      <c r="B1903" s="2">
        <f>IFERROR(__xludf.DUMMYFUNCTION("""COMPUTED_VALUE"""),22.7)</f>
        <v>22.7</v>
      </c>
      <c r="C1903" s="2">
        <f>IFERROR(__xludf.DUMMYFUNCTION("""COMPUTED_VALUE"""),23.27)</f>
        <v>23.27</v>
      </c>
      <c r="D1903" s="2">
        <f>IFERROR(__xludf.DUMMYFUNCTION("""COMPUTED_VALUE"""),22.65)</f>
        <v>22.65</v>
      </c>
      <c r="E1903" s="2">
        <f>IFERROR(__xludf.DUMMYFUNCTION("""COMPUTED_VALUE"""),23.14)</f>
        <v>23.14</v>
      </c>
      <c r="F1903" s="2">
        <f>IFERROR(__xludf.DUMMYFUNCTION("""COMPUTED_VALUE"""),7103505.0)</f>
        <v>7103505</v>
      </c>
    </row>
    <row r="1904">
      <c r="A1904" s="3">
        <f>IFERROR(__xludf.DUMMYFUNCTION("""COMPUTED_VALUE"""),43118.66666666667)</f>
        <v>43118.66667</v>
      </c>
      <c r="B1904" s="2">
        <f>IFERROR(__xludf.DUMMYFUNCTION("""COMPUTED_VALUE"""),23.04)</f>
        <v>23.04</v>
      </c>
      <c r="C1904" s="2">
        <f>IFERROR(__xludf.DUMMYFUNCTION("""COMPUTED_VALUE"""),23.49)</f>
        <v>23.49</v>
      </c>
      <c r="D1904" s="2">
        <f>IFERROR(__xludf.DUMMYFUNCTION("""COMPUTED_VALUE"""),22.92)</f>
        <v>22.92</v>
      </c>
      <c r="E1904" s="2">
        <f>IFERROR(__xludf.DUMMYFUNCTION("""COMPUTED_VALUE"""),22.97)</f>
        <v>22.97</v>
      </c>
      <c r="F1904" s="2">
        <f>IFERROR(__xludf.DUMMYFUNCTION("""COMPUTED_VALUE"""),5685845.0)</f>
        <v>5685845</v>
      </c>
    </row>
    <row r="1905">
      <c r="A1905" s="3">
        <f>IFERROR(__xludf.DUMMYFUNCTION("""COMPUTED_VALUE"""),43119.66666666667)</f>
        <v>43119.66667</v>
      </c>
      <c r="B1905" s="2">
        <f>IFERROR(__xludf.DUMMYFUNCTION("""COMPUTED_VALUE"""),23.0)</f>
        <v>23</v>
      </c>
      <c r="C1905" s="2">
        <f>IFERROR(__xludf.DUMMYFUNCTION("""COMPUTED_VALUE"""),23.37)</f>
        <v>23.37</v>
      </c>
      <c r="D1905" s="2">
        <f>IFERROR(__xludf.DUMMYFUNCTION("""COMPUTED_VALUE"""),22.84)</f>
        <v>22.84</v>
      </c>
      <c r="E1905" s="2">
        <f>IFERROR(__xludf.DUMMYFUNCTION("""COMPUTED_VALUE"""),23.33)</f>
        <v>23.33</v>
      </c>
      <c r="F1905" s="2">
        <f>IFERROR(__xludf.DUMMYFUNCTION("""COMPUTED_VALUE"""),4888303.0)</f>
        <v>4888303</v>
      </c>
    </row>
    <row r="1906">
      <c r="A1906" s="3">
        <f>IFERROR(__xludf.DUMMYFUNCTION("""COMPUTED_VALUE"""),43122.66666666667)</f>
        <v>43122.66667</v>
      </c>
      <c r="B1906" s="2">
        <f>IFERROR(__xludf.DUMMYFUNCTION("""COMPUTED_VALUE"""),23.29)</f>
        <v>23.29</v>
      </c>
      <c r="C1906" s="2">
        <f>IFERROR(__xludf.DUMMYFUNCTION("""COMPUTED_VALUE"""),23.86)</f>
        <v>23.86</v>
      </c>
      <c r="D1906" s="2">
        <f>IFERROR(__xludf.DUMMYFUNCTION("""COMPUTED_VALUE"""),23.28)</f>
        <v>23.28</v>
      </c>
      <c r="E1906" s="2">
        <f>IFERROR(__xludf.DUMMYFUNCTION("""COMPUTED_VALUE"""),23.44)</f>
        <v>23.44</v>
      </c>
      <c r="F1906" s="2">
        <f>IFERROR(__xludf.DUMMYFUNCTION("""COMPUTED_VALUE"""),6210360.0)</f>
        <v>6210360</v>
      </c>
    </row>
    <row r="1907">
      <c r="A1907" s="3">
        <f>IFERROR(__xludf.DUMMYFUNCTION("""COMPUTED_VALUE"""),43123.66666666667)</f>
        <v>43123.66667</v>
      </c>
      <c r="B1907" s="2">
        <f>IFERROR(__xludf.DUMMYFUNCTION("""COMPUTED_VALUE"""),24.0)</f>
        <v>24</v>
      </c>
      <c r="C1907" s="2">
        <f>IFERROR(__xludf.DUMMYFUNCTION("""COMPUTED_VALUE"""),24.03)</f>
        <v>24.03</v>
      </c>
      <c r="D1907" s="2">
        <f>IFERROR(__xludf.DUMMYFUNCTION("""COMPUTED_VALUE"""),23.4)</f>
        <v>23.4</v>
      </c>
      <c r="E1907" s="2">
        <f>IFERROR(__xludf.DUMMYFUNCTION("""COMPUTED_VALUE"""),23.52)</f>
        <v>23.52</v>
      </c>
      <c r="F1907" s="2">
        <f>IFERROR(__xludf.DUMMYFUNCTION("""COMPUTED_VALUE"""),5465414.0)</f>
        <v>5465414</v>
      </c>
    </row>
    <row r="1908">
      <c r="A1908" s="3">
        <f>IFERROR(__xludf.DUMMYFUNCTION("""COMPUTED_VALUE"""),43124.66666666667)</f>
        <v>43124.66667</v>
      </c>
      <c r="B1908" s="2">
        <f>IFERROR(__xludf.DUMMYFUNCTION("""COMPUTED_VALUE"""),23.64)</f>
        <v>23.64</v>
      </c>
      <c r="C1908" s="2">
        <f>IFERROR(__xludf.DUMMYFUNCTION("""COMPUTED_VALUE"""),23.65)</f>
        <v>23.65</v>
      </c>
      <c r="D1908" s="2">
        <f>IFERROR(__xludf.DUMMYFUNCTION("""COMPUTED_VALUE"""),22.9)</f>
        <v>22.9</v>
      </c>
      <c r="E1908" s="2">
        <f>IFERROR(__xludf.DUMMYFUNCTION("""COMPUTED_VALUE"""),23.06)</f>
        <v>23.06</v>
      </c>
      <c r="F1908" s="2">
        <f>IFERROR(__xludf.DUMMYFUNCTION("""COMPUTED_VALUE"""),5287478.0)</f>
        <v>5287478</v>
      </c>
    </row>
    <row r="1909">
      <c r="A1909" s="3">
        <f>IFERROR(__xludf.DUMMYFUNCTION("""COMPUTED_VALUE"""),43125.66666666667)</f>
        <v>43125.66667</v>
      </c>
      <c r="B1909" s="2">
        <f>IFERROR(__xludf.DUMMYFUNCTION("""COMPUTED_VALUE"""),23.22)</f>
        <v>23.22</v>
      </c>
      <c r="C1909" s="2">
        <f>IFERROR(__xludf.DUMMYFUNCTION("""COMPUTED_VALUE"""),23.28)</f>
        <v>23.28</v>
      </c>
      <c r="D1909" s="2">
        <f>IFERROR(__xludf.DUMMYFUNCTION("""COMPUTED_VALUE"""),22.43)</f>
        <v>22.43</v>
      </c>
      <c r="E1909" s="2">
        <f>IFERROR(__xludf.DUMMYFUNCTION("""COMPUTED_VALUE"""),22.51)</f>
        <v>22.51</v>
      </c>
      <c r="F1909" s="2">
        <f>IFERROR(__xludf.DUMMYFUNCTION("""COMPUTED_VALUE"""),6740303.0)</f>
        <v>6740303</v>
      </c>
    </row>
    <row r="1910">
      <c r="A1910" s="3">
        <f>IFERROR(__xludf.DUMMYFUNCTION("""COMPUTED_VALUE"""),43126.66666666667)</f>
        <v>43126.66667</v>
      </c>
      <c r="B1910" s="2">
        <f>IFERROR(__xludf.DUMMYFUNCTION("""COMPUTED_VALUE"""),22.77)</f>
        <v>22.77</v>
      </c>
      <c r="C1910" s="2">
        <f>IFERROR(__xludf.DUMMYFUNCTION("""COMPUTED_VALUE"""),22.93)</f>
        <v>22.93</v>
      </c>
      <c r="D1910" s="2">
        <f>IFERROR(__xludf.DUMMYFUNCTION("""COMPUTED_VALUE"""),22.38)</f>
        <v>22.38</v>
      </c>
      <c r="E1910" s="2">
        <f>IFERROR(__xludf.DUMMYFUNCTION("""COMPUTED_VALUE"""),22.86)</f>
        <v>22.86</v>
      </c>
      <c r="F1910" s="2">
        <f>IFERROR(__xludf.DUMMYFUNCTION("""COMPUTED_VALUE"""),4539356.0)</f>
        <v>4539356</v>
      </c>
    </row>
    <row r="1911">
      <c r="A1911" s="3">
        <f>IFERROR(__xludf.DUMMYFUNCTION("""COMPUTED_VALUE"""),43129.66666666667)</f>
        <v>43129.66667</v>
      </c>
      <c r="B1911" s="2">
        <f>IFERROR(__xludf.DUMMYFUNCTION("""COMPUTED_VALUE"""),22.66)</f>
        <v>22.66</v>
      </c>
      <c r="C1911" s="2">
        <f>IFERROR(__xludf.DUMMYFUNCTION("""COMPUTED_VALUE"""),23.39)</f>
        <v>23.39</v>
      </c>
      <c r="D1911" s="2">
        <f>IFERROR(__xludf.DUMMYFUNCTION("""COMPUTED_VALUE"""),22.55)</f>
        <v>22.55</v>
      </c>
      <c r="E1911" s="2">
        <f>IFERROR(__xludf.DUMMYFUNCTION("""COMPUTED_VALUE"""),23.3)</f>
        <v>23.3</v>
      </c>
      <c r="F1911" s="2">
        <f>IFERROR(__xludf.DUMMYFUNCTION("""COMPUTED_VALUE"""),4747149.0)</f>
        <v>4747149</v>
      </c>
    </row>
    <row r="1912">
      <c r="A1912" s="3">
        <f>IFERROR(__xludf.DUMMYFUNCTION("""COMPUTED_VALUE"""),43130.66666666667)</f>
        <v>43130.66667</v>
      </c>
      <c r="B1912" s="2">
        <f>IFERROR(__xludf.DUMMYFUNCTION("""COMPUTED_VALUE"""),23.01)</f>
        <v>23.01</v>
      </c>
      <c r="C1912" s="2">
        <f>IFERROR(__xludf.DUMMYFUNCTION("""COMPUTED_VALUE"""),23.22)</f>
        <v>23.22</v>
      </c>
      <c r="D1912" s="2">
        <f>IFERROR(__xludf.DUMMYFUNCTION("""COMPUTED_VALUE"""),22.81)</f>
        <v>22.81</v>
      </c>
      <c r="E1912" s="2">
        <f>IFERROR(__xludf.DUMMYFUNCTION("""COMPUTED_VALUE"""),23.05)</f>
        <v>23.05</v>
      </c>
      <c r="F1912" s="2">
        <f>IFERROR(__xludf.DUMMYFUNCTION("""COMPUTED_VALUE"""),4717700.0)</f>
        <v>4717700</v>
      </c>
    </row>
    <row r="1913">
      <c r="A1913" s="3">
        <f>IFERROR(__xludf.DUMMYFUNCTION("""COMPUTED_VALUE"""),43131.66666666667)</f>
        <v>43131.66667</v>
      </c>
      <c r="B1913" s="2">
        <f>IFERROR(__xludf.DUMMYFUNCTION("""COMPUTED_VALUE"""),23.17)</f>
        <v>23.17</v>
      </c>
      <c r="C1913" s="2">
        <f>IFERROR(__xludf.DUMMYFUNCTION("""COMPUTED_VALUE"""),23.75)</f>
        <v>23.75</v>
      </c>
      <c r="D1913" s="2">
        <f>IFERROR(__xludf.DUMMYFUNCTION("""COMPUTED_VALUE"""),23.01)</f>
        <v>23.01</v>
      </c>
      <c r="E1913" s="2">
        <f>IFERROR(__xludf.DUMMYFUNCTION("""COMPUTED_VALUE"""),23.62)</f>
        <v>23.62</v>
      </c>
      <c r="F1913" s="2">
        <f>IFERROR(__xludf.DUMMYFUNCTION("""COMPUTED_VALUE"""),6214069.0)</f>
        <v>6214069</v>
      </c>
    </row>
    <row r="1914">
      <c r="A1914" s="3">
        <f>IFERROR(__xludf.DUMMYFUNCTION("""COMPUTED_VALUE"""),43132.66666666667)</f>
        <v>43132.66667</v>
      </c>
      <c r="B1914" s="2">
        <f>IFERROR(__xludf.DUMMYFUNCTION("""COMPUTED_VALUE"""),23.4)</f>
        <v>23.4</v>
      </c>
      <c r="C1914" s="2">
        <f>IFERROR(__xludf.DUMMYFUNCTION("""COMPUTED_VALUE"""),23.98)</f>
        <v>23.98</v>
      </c>
      <c r="D1914" s="2">
        <f>IFERROR(__xludf.DUMMYFUNCTION("""COMPUTED_VALUE"""),23.24)</f>
        <v>23.24</v>
      </c>
      <c r="E1914" s="2">
        <f>IFERROR(__xludf.DUMMYFUNCTION("""COMPUTED_VALUE"""),23.28)</f>
        <v>23.28</v>
      </c>
      <c r="F1914" s="2">
        <f>IFERROR(__xludf.DUMMYFUNCTION("""COMPUTED_VALUE"""),4197687.0)</f>
        <v>4197687</v>
      </c>
    </row>
    <row r="1915">
      <c r="A1915" s="3">
        <f>IFERROR(__xludf.DUMMYFUNCTION("""COMPUTED_VALUE"""),43133.66666666667)</f>
        <v>43133.66667</v>
      </c>
      <c r="B1915" s="2">
        <f>IFERROR(__xludf.DUMMYFUNCTION("""COMPUTED_VALUE"""),23.23)</f>
        <v>23.23</v>
      </c>
      <c r="C1915" s="2">
        <f>IFERROR(__xludf.DUMMYFUNCTION("""COMPUTED_VALUE"""),23.46)</f>
        <v>23.46</v>
      </c>
      <c r="D1915" s="2">
        <f>IFERROR(__xludf.DUMMYFUNCTION("""COMPUTED_VALUE"""),22.7)</f>
        <v>22.7</v>
      </c>
      <c r="E1915" s="2">
        <f>IFERROR(__xludf.DUMMYFUNCTION("""COMPUTED_VALUE"""),22.92)</f>
        <v>22.92</v>
      </c>
      <c r="F1915" s="2">
        <f>IFERROR(__xludf.DUMMYFUNCTION("""COMPUTED_VALUE"""),3704836.0)</f>
        <v>3704836</v>
      </c>
    </row>
    <row r="1916">
      <c r="A1916" s="3">
        <f>IFERROR(__xludf.DUMMYFUNCTION("""COMPUTED_VALUE"""),43136.66666666667)</f>
        <v>43136.66667</v>
      </c>
      <c r="B1916" s="2">
        <f>IFERROR(__xludf.DUMMYFUNCTION("""COMPUTED_VALUE"""),22.53)</f>
        <v>22.53</v>
      </c>
      <c r="C1916" s="2">
        <f>IFERROR(__xludf.DUMMYFUNCTION("""COMPUTED_VALUE"""),22.96)</f>
        <v>22.96</v>
      </c>
      <c r="D1916" s="2">
        <f>IFERROR(__xludf.DUMMYFUNCTION("""COMPUTED_VALUE"""),22.2)</f>
        <v>22.2</v>
      </c>
      <c r="E1916" s="2">
        <f>IFERROR(__xludf.DUMMYFUNCTION("""COMPUTED_VALUE"""),22.21)</f>
        <v>22.21</v>
      </c>
      <c r="F1916" s="2">
        <f>IFERROR(__xludf.DUMMYFUNCTION("""COMPUTED_VALUE"""),4464147.0)</f>
        <v>4464147</v>
      </c>
    </row>
    <row r="1917">
      <c r="A1917" s="3">
        <f>IFERROR(__xludf.DUMMYFUNCTION("""COMPUTED_VALUE"""),43137.66666666667)</f>
        <v>43137.66667</v>
      </c>
      <c r="B1917" s="2">
        <f>IFERROR(__xludf.DUMMYFUNCTION("""COMPUTED_VALUE"""),21.68)</f>
        <v>21.68</v>
      </c>
      <c r="C1917" s="2">
        <f>IFERROR(__xludf.DUMMYFUNCTION("""COMPUTED_VALUE"""),22.41)</f>
        <v>22.41</v>
      </c>
      <c r="D1917" s="2">
        <f>IFERROR(__xludf.DUMMYFUNCTION("""COMPUTED_VALUE"""),21.57)</f>
        <v>21.57</v>
      </c>
      <c r="E1917" s="2">
        <f>IFERROR(__xludf.DUMMYFUNCTION("""COMPUTED_VALUE"""),22.26)</f>
        <v>22.26</v>
      </c>
      <c r="F1917" s="2">
        <f>IFERROR(__xludf.DUMMYFUNCTION("""COMPUTED_VALUE"""),5088438.0)</f>
        <v>5088438</v>
      </c>
    </row>
    <row r="1918">
      <c r="A1918" s="3">
        <f>IFERROR(__xludf.DUMMYFUNCTION("""COMPUTED_VALUE"""),43138.66666666667)</f>
        <v>43138.66667</v>
      </c>
      <c r="B1918" s="2">
        <f>IFERROR(__xludf.DUMMYFUNCTION("""COMPUTED_VALUE"""),22.6)</f>
        <v>22.6</v>
      </c>
      <c r="C1918" s="2">
        <f>IFERROR(__xludf.DUMMYFUNCTION("""COMPUTED_VALUE"""),23.07)</f>
        <v>23.07</v>
      </c>
      <c r="D1918" s="2">
        <f>IFERROR(__xludf.DUMMYFUNCTION("""COMPUTED_VALUE"""),22.38)</f>
        <v>22.38</v>
      </c>
      <c r="E1918" s="2">
        <f>IFERROR(__xludf.DUMMYFUNCTION("""COMPUTED_VALUE"""),23.0)</f>
        <v>23</v>
      </c>
      <c r="F1918" s="2">
        <f>IFERROR(__xludf.DUMMYFUNCTION("""COMPUTED_VALUE"""),6969239.0)</f>
        <v>6969239</v>
      </c>
    </row>
    <row r="1919">
      <c r="A1919" s="3">
        <f>IFERROR(__xludf.DUMMYFUNCTION("""COMPUTED_VALUE"""),43139.66666666667)</f>
        <v>43139.66667</v>
      </c>
      <c r="B1919" s="2">
        <f>IFERROR(__xludf.DUMMYFUNCTION("""COMPUTED_VALUE"""),22.89)</f>
        <v>22.89</v>
      </c>
      <c r="C1919" s="2">
        <f>IFERROR(__xludf.DUMMYFUNCTION("""COMPUTED_VALUE"""),23.24)</f>
        <v>23.24</v>
      </c>
      <c r="D1919" s="2">
        <f>IFERROR(__xludf.DUMMYFUNCTION("""COMPUTED_VALUE"""),20.97)</f>
        <v>20.97</v>
      </c>
      <c r="E1919" s="2">
        <f>IFERROR(__xludf.DUMMYFUNCTION("""COMPUTED_VALUE"""),21.02)</f>
        <v>21.02</v>
      </c>
      <c r="F1919" s="2">
        <f>IFERROR(__xludf.DUMMYFUNCTION("""COMPUTED_VALUE"""),1.0314573E7)</f>
        <v>10314573</v>
      </c>
    </row>
    <row r="1920">
      <c r="A1920" s="3">
        <f>IFERROR(__xludf.DUMMYFUNCTION("""COMPUTED_VALUE"""),43140.66666666667)</f>
        <v>43140.66667</v>
      </c>
      <c r="B1920" s="2">
        <f>IFERROR(__xludf.DUMMYFUNCTION("""COMPUTED_VALUE"""),21.33)</f>
        <v>21.33</v>
      </c>
      <c r="C1920" s="2">
        <f>IFERROR(__xludf.DUMMYFUNCTION("""COMPUTED_VALUE"""),21.4)</f>
        <v>21.4</v>
      </c>
      <c r="D1920" s="2">
        <f>IFERROR(__xludf.DUMMYFUNCTION("""COMPUTED_VALUE"""),19.65)</f>
        <v>19.65</v>
      </c>
      <c r="E1920" s="2">
        <f>IFERROR(__xludf.DUMMYFUNCTION("""COMPUTED_VALUE"""),20.69)</f>
        <v>20.69</v>
      </c>
      <c r="F1920" s="2">
        <f>IFERROR(__xludf.DUMMYFUNCTION("""COMPUTED_VALUE"""),1.2933721E7)</f>
        <v>12933721</v>
      </c>
    </row>
    <row r="1921">
      <c r="A1921" s="3">
        <f>IFERROR(__xludf.DUMMYFUNCTION("""COMPUTED_VALUE"""),43143.66666666667)</f>
        <v>43143.66667</v>
      </c>
      <c r="B1921" s="2">
        <f>IFERROR(__xludf.DUMMYFUNCTION("""COMPUTED_VALUE"""),21.08)</f>
        <v>21.08</v>
      </c>
      <c r="C1921" s="2">
        <f>IFERROR(__xludf.DUMMYFUNCTION("""COMPUTED_VALUE"""),21.21)</f>
        <v>21.21</v>
      </c>
      <c r="D1921" s="2">
        <f>IFERROR(__xludf.DUMMYFUNCTION("""COMPUTED_VALUE"""),20.42)</f>
        <v>20.42</v>
      </c>
      <c r="E1921" s="2">
        <f>IFERROR(__xludf.DUMMYFUNCTION("""COMPUTED_VALUE"""),21.05)</f>
        <v>21.05</v>
      </c>
      <c r="F1921" s="2">
        <f>IFERROR(__xludf.DUMMYFUNCTION("""COMPUTED_VALUE"""),6227822.0)</f>
        <v>6227822</v>
      </c>
    </row>
    <row r="1922">
      <c r="A1922" s="3">
        <f>IFERROR(__xludf.DUMMYFUNCTION("""COMPUTED_VALUE"""),43144.66666666667)</f>
        <v>43144.66667</v>
      </c>
      <c r="B1922" s="2">
        <f>IFERROR(__xludf.DUMMYFUNCTION("""COMPUTED_VALUE"""),21.0)</f>
        <v>21</v>
      </c>
      <c r="C1922" s="2">
        <f>IFERROR(__xludf.DUMMYFUNCTION("""COMPUTED_VALUE"""),21.61)</f>
        <v>21.61</v>
      </c>
      <c r="D1922" s="2">
        <f>IFERROR(__xludf.DUMMYFUNCTION("""COMPUTED_VALUE"""),20.83)</f>
        <v>20.83</v>
      </c>
      <c r="E1922" s="2">
        <f>IFERROR(__xludf.DUMMYFUNCTION("""COMPUTED_VALUE"""),21.58)</f>
        <v>21.58</v>
      </c>
      <c r="F1922" s="2">
        <f>IFERROR(__xludf.DUMMYFUNCTION("""COMPUTED_VALUE"""),4560231.0)</f>
        <v>4560231</v>
      </c>
    </row>
    <row r="1923">
      <c r="A1923" s="3">
        <f>IFERROR(__xludf.DUMMYFUNCTION("""COMPUTED_VALUE"""),43145.66666666667)</f>
        <v>43145.66667</v>
      </c>
      <c r="B1923" s="2">
        <f>IFERROR(__xludf.DUMMYFUNCTION("""COMPUTED_VALUE"""),21.39)</f>
        <v>21.39</v>
      </c>
      <c r="C1923" s="2">
        <f>IFERROR(__xludf.DUMMYFUNCTION("""COMPUTED_VALUE"""),21.74)</f>
        <v>21.74</v>
      </c>
      <c r="D1923" s="2">
        <f>IFERROR(__xludf.DUMMYFUNCTION("""COMPUTED_VALUE"""),21.23)</f>
        <v>21.23</v>
      </c>
      <c r="E1923" s="2">
        <f>IFERROR(__xludf.DUMMYFUNCTION("""COMPUTED_VALUE"""),21.49)</f>
        <v>21.49</v>
      </c>
      <c r="F1923" s="2">
        <f>IFERROR(__xludf.DUMMYFUNCTION("""COMPUTED_VALUE"""),3950743.0)</f>
        <v>3950743</v>
      </c>
    </row>
    <row r="1924">
      <c r="A1924" s="3">
        <f>IFERROR(__xludf.DUMMYFUNCTION("""COMPUTED_VALUE"""),43146.66666666667)</f>
        <v>43146.66667</v>
      </c>
      <c r="B1924" s="2">
        <f>IFERROR(__xludf.DUMMYFUNCTION("""COMPUTED_VALUE"""),21.63)</f>
        <v>21.63</v>
      </c>
      <c r="C1924" s="2">
        <f>IFERROR(__xludf.DUMMYFUNCTION("""COMPUTED_VALUE"""),22.27)</f>
        <v>22.27</v>
      </c>
      <c r="D1924" s="2">
        <f>IFERROR(__xludf.DUMMYFUNCTION("""COMPUTED_VALUE"""),21.49)</f>
        <v>21.49</v>
      </c>
      <c r="E1924" s="2">
        <f>IFERROR(__xludf.DUMMYFUNCTION("""COMPUTED_VALUE"""),22.27)</f>
        <v>22.27</v>
      </c>
      <c r="F1924" s="2">
        <f>IFERROR(__xludf.DUMMYFUNCTION("""COMPUTED_VALUE"""),5912917.0)</f>
        <v>5912917</v>
      </c>
    </row>
    <row r="1925">
      <c r="A1925" s="3">
        <f>IFERROR(__xludf.DUMMYFUNCTION("""COMPUTED_VALUE"""),43147.66666666667)</f>
        <v>43147.66667</v>
      </c>
      <c r="B1925" s="2">
        <f>IFERROR(__xludf.DUMMYFUNCTION("""COMPUTED_VALUE"""),22.17)</f>
        <v>22.17</v>
      </c>
      <c r="C1925" s="2">
        <f>IFERROR(__xludf.DUMMYFUNCTION("""COMPUTED_VALUE"""),22.87)</f>
        <v>22.87</v>
      </c>
      <c r="D1925" s="2">
        <f>IFERROR(__xludf.DUMMYFUNCTION("""COMPUTED_VALUE"""),22.11)</f>
        <v>22.11</v>
      </c>
      <c r="E1925" s="2">
        <f>IFERROR(__xludf.DUMMYFUNCTION("""COMPUTED_VALUE"""),22.37)</f>
        <v>22.37</v>
      </c>
      <c r="F1925" s="2">
        <f>IFERROR(__xludf.DUMMYFUNCTION("""COMPUTED_VALUE"""),5642637.0)</f>
        <v>5642637</v>
      </c>
    </row>
    <row r="1926">
      <c r="A1926" s="3">
        <f>IFERROR(__xludf.DUMMYFUNCTION("""COMPUTED_VALUE"""),43151.66666666667)</f>
        <v>43151.66667</v>
      </c>
      <c r="B1926" s="2">
        <f>IFERROR(__xludf.DUMMYFUNCTION("""COMPUTED_VALUE"""),22.3)</f>
        <v>22.3</v>
      </c>
      <c r="C1926" s="2">
        <f>IFERROR(__xludf.DUMMYFUNCTION("""COMPUTED_VALUE"""),22.72)</f>
        <v>22.72</v>
      </c>
      <c r="D1926" s="2">
        <f>IFERROR(__xludf.DUMMYFUNCTION("""COMPUTED_VALUE"""),22.1)</f>
        <v>22.1</v>
      </c>
      <c r="E1926" s="2">
        <f>IFERROR(__xludf.DUMMYFUNCTION("""COMPUTED_VALUE"""),22.32)</f>
        <v>22.32</v>
      </c>
      <c r="F1926" s="2">
        <f>IFERROR(__xludf.DUMMYFUNCTION("""COMPUTED_VALUE"""),4009435.0)</f>
        <v>4009435</v>
      </c>
    </row>
    <row r="1927">
      <c r="A1927" s="3">
        <f>IFERROR(__xludf.DUMMYFUNCTION("""COMPUTED_VALUE"""),43152.66666666667)</f>
        <v>43152.66667</v>
      </c>
      <c r="B1927" s="2">
        <f>IFERROR(__xludf.DUMMYFUNCTION("""COMPUTED_VALUE"""),22.4)</f>
        <v>22.4</v>
      </c>
      <c r="C1927" s="2">
        <f>IFERROR(__xludf.DUMMYFUNCTION("""COMPUTED_VALUE"""),22.65)</f>
        <v>22.65</v>
      </c>
      <c r="D1927" s="2">
        <f>IFERROR(__xludf.DUMMYFUNCTION("""COMPUTED_VALUE"""),22.21)</f>
        <v>22.21</v>
      </c>
      <c r="E1927" s="2">
        <f>IFERROR(__xludf.DUMMYFUNCTION("""COMPUTED_VALUE"""),22.22)</f>
        <v>22.22</v>
      </c>
      <c r="F1927" s="2">
        <f>IFERROR(__xludf.DUMMYFUNCTION("""COMPUTED_VALUE"""),3219649.0)</f>
        <v>3219649</v>
      </c>
    </row>
    <row r="1928">
      <c r="A1928" s="3">
        <f>IFERROR(__xludf.DUMMYFUNCTION("""COMPUTED_VALUE"""),43153.66666666667)</f>
        <v>43153.66667</v>
      </c>
      <c r="B1928" s="2">
        <f>IFERROR(__xludf.DUMMYFUNCTION("""COMPUTED_VALUE"""),22.37)</f>
        <v>22.37</v>
      </c>
      <c r="C1928" s="2">
        <f>IFERROR(__xludf.DUMMYFUNCTION("""COMPUTED_VALUE"""),23.16)</f>
        <v>23.16</v>
      </c>
      <c r="D1928" s="2">
        <f>IFERROR(__xludf.DUMMYFUNCTION("""COMPUTED_VALUE"""),22.32)</f>
        <v>22.32</v>
      </c>
      <c r="E1928" s="2">
        <f>IFERROR(__xludf.DUMMYFUNCTION("""COMPUTED_VALUE"""),23.08)</f>
        <v>23.08</v>
      </c>
      <c r="F1928" s="2">
        <f>IFERROR(__xludf.DUMMYFUNCTION("""COMPUTED_VALUE"""),6969808.0)</f>
        <v>6969808</v>
      </c>
    </row>
    <row r="1929">
      <c r="A1929" s="3">
        <f>IFERROR(__xludf.DUMMYFUNCTION("""COMPUTED_VALUE"""),43154.66666666667)</f>
        <v>43154.66667</v>
      </c>
      <c r="B1929" s="2">
        <f>IFERROR(__xludf.DUMMYFUNCTION("""COMPUTED_VALUE"""),23.19)</f>
        <v>23.19</v>
      </c>
      <c r="C1929" s="2">
        <f>IFERROR(__xludf.DUMMYFUNCTION("""COMPUTED_VALUE"""),23.67)</f>
        <v>23.67</v>
      </c>
      <c r="D1929" s="2">
        <f>IFERROR(__xludf.DUMMYFUNCTION("""COMPUTED_VALUE"""),23.14)</f>
        <v>23.14</v>
      </c>
      <c r="E1929" s="2">
        <f>IFERROR(__xludf.DUMMYFUNCTION("""COMPUTED_VALUE"""),23.47)</f>
        <v>23.47</v>
      </c>
      <c r="F1929" s="2">
        <f>IFERROR(__xludf.DUMMYFUNCTION("""COMPUTED_VALUE"""),5817387.0)</f>
        <v>5817387</v>
      </c>
    </row>
    <row r="1930">
      <c r="A1930" s="3">
        <f>IFERROR(__xludf.DUMMYFUNCTION("""COMPUTED_VALUE"""),43157.66666666667)</f>
        <v>43157.66667</v>
      </c>
      <c r="B1930" s="2">
        <f>IFERROR(__xludf.DUMMYFUNCTION("""COMPUTED_VALUE"""),23.57)</f>
        <v>23.57</v>
      </c>
      <c r="C1930" s="2">
        <f>IFERROR(__xludf.DUMMYFUNCTION("""COMPUTED_VALUE"""),23.93)</f>
        <v>23.93</v>
      </c>
      <c r="D1930" s="2">
        <f>IFERROR(__xludf.DUMMYFUNCTION("""COMPUTED_VALUE"""),23.49)</f>
        <v>23.49</v>
      </c>
      <c r="E1930" s="2">
        <f>IFERROR(__xludf.DUMMYFUNCTION("""COMPUTED_VALUE"""),23.83)</f>
        <v>23.83</v>
      </c>
      <c r="F1930" s="2">
        <f>IFERROR(__xludf.DUMMYFUNCTION("""COMPUTED_VALUE"""),4339985.0)</f>
        <v>4339985</v>
      </c>
    </row>
    <row r="1931">
      <c r="A1931" s="3">
        <f>IFERROR(__xludf.DUMMYFUNCTION("""COMPUTED_VALUE"""),43158.66666666667)</f>
        <v>43158.66667</v>
      </c>
      <c r="B1931" s="2">
        <f>IFERROR(__xludf.DUMMYFUNCTION("""COMPUTED_VALUE"""),23.75)</f>
        <v>23.75</v>
      </c>
      <c r="C1931" s="2">
        <f>IFERROR(__xludf.DUMMYFUNCTION("""COMPUTED_VALUE"""),24.0)</f>
        <v>24</v>
      </c>
      <c r="D1931" s="2">
        <f>IFERROR(__xludf.DUMMYFUNCTION("""COMPUTED_VALUE"""),23.33)</f>
        <v>23.33</v>
      </c>
      <c r="E1931" s="2">
        <f>IFERROR(__xludf.DUMMYFUNCTION("""COMPUTED_VALUE"""),23.4)</f>
        <v>23.4</v>
      </c>
      <c r="F1931" s="2">
        <f>IFERROR(__xludf.DUMMYFUNCTION("""COMPUTED_VALUE"""),4797419.0)</f>
        <v>4797419</v>
      </c>
    </row>
    <row r="1932">
      <c r="A1932" s="3">
        <f>IFERROR(__xludf.DUMMYFUNCTION("""COMPUTED_VALUE"""),43159.66666666667)</f>
        <v>43159.66667</v>
      </c>
      <c r="B1932" s="2">
        <f>IFERROR(__xludf.DUMMYFUNCTION("""COMPUTED_VALUE"""),23.5)</f>
        <v>23.5</v>
      </c>
      <c r="C1932" s="2">
        <f>IFERROR(__xludf.DUMMYFUNCTION("""COMPUTED_VALUE"""),23.68)</f>
        <v>23.68</v>
      </c>
      <c r="D1932" s="2">
        <f>IFERROR(__xludf.DUMMYFUNCTION("""COMPUTED_VALUE"""),22.81)</f>
        <v>22.81</v>
      </c>
      <c r="E1932" s="2">
        <f>IFERROR(__xludf.DUMMYFUNCTION("""COMPUTED_VALUE"""),22.87)</f>
        <v>22.87</v>
      </c>
      <c r="F1932" s="2">
        <f>IFERROR(__xludf.DUMMYFUNCTION("""COMPUTED_VALUE"""),6069658.0)</f>
        <v>6069658</v>
      </c>
    </row>
    <row r="1933">
      <c r="A1933" s="3">
        <f>IFERROR(__xludf.DUMMYFUNCTION("""COMPUTED_VALUE"""),43160.66666666667)</f>
        <v>43160.66667</v>
      </c>
      <c r="B1933" s="2">
        <f>IFERROR(__xludf.DUMMYFUNCTION("""COMPUTED_VALUE"""),23.0)</f>
        <v>23</v>
      </c>
      <c r="C1933" s="2">
        <f>IFERROR(__xludf.DUMMYFUNCTION("""COMPUTED_VALUE"""),23.24)</f>
        <v>23.24</v>
      </c>
      <c r="D1933" s="2">
        <f>IFERROR(__xludf.DUMMYFUNCTION("""COMPUTED_VALUE"""),22.0)</f>
        <v>22</v>
      </c>
      <c r="E1933" s="2">
        <f>IFERROR(__xludf.DUMMYFUNCTION("""COMPUTED_VALUE"""),22.06)</f>
        <v>22.06</v>
      </c>
      <c r="F1933" s="2">
        <f>IFERROR(__xludf.DUMMYFUNCTION("""COMPUTED_VALUE"""),6885601.0)</f>
        <v>6885601</v>
      </c>
    </row>
    <row r="1934">
      <c r="A1934" s="3">
        <f>IFERROR(__xludf.DUMMYFUNCTION("""COMPUTED_VALUE"""),43161.66666666667)</f>
        <v>43161.66667</v>
      </c>
      <c r="B1934" s="2">
        <f>IFERROR(__xludf.DUMMYFUNCTION("""COMPUTED_VALUE"""),21.8)</f>
        <v>21.8</v>
      </c>
      <c r="C1934" s="2">
        <f>IFERROR(__xludf.DUMMYFUNCTION("""COMPUTED_VALUE"""),22.35)</f>
        <v>22.35</v>
      </c>
      <c r="D1934" s="2">
        <f>IFERROR(__xludf.DUMMYFUNCTION("""COMPUTED_VALUE"""),21.53)</f>
        <v>21.53</v>
      </c>
      <c r="E1934" s="2">
        <f>IFERROR(__xludf.DUMMYFUNCTION("""COMPUTED_VALUE"""),22.34)</f>
        <v>22.34</v>
      </c>
      <c r="F1934" s="2">
        <f>IFERROR(__xludf.DUMMYFUNCTION("""COMPUTED_VALUE"""),5092829.0)</f>
        <v>5092829</v>
      </c>
    </row>
    <row r="1935">
      <c r="A1935" s="3">
        <f>IFERROR(__xludf.DUMMYFUNCTION("""COMPUTED_VALUE"""),43164.66666666667)</f>
        <v>43164.66667</v>
      </c>
      <c r="B1935" s="2">
        <f>IFERROR(__xludf.DUMMYFUNCTION("""COMPUTED_VALUE"""),22.16)</f>
        <v>22.16</v>
      </c>
      <c r="C1935" s="2">
        <f>IFERROR(__xludf.DUMMYFUNCTION("""COMPUTED_VALUE"""),22.52)</f>
        <v>22.52</v>
      </c>
      <c r="D1935" s="2">
        <f>IFERROR(__xludf.DUMMYFUNCTION("""COMPUTED_VALUE"""),21.95)</f>
        <v>21.95</v>
      </c>
      <c r="E1935" s="2">
        <f>IFERROR(__xludf.DUMMYFUNCTION("""COMPUTED_VALUE"""),22.22)</f>
        <v>22.22</v>
      </c>
      <c r="F1935" s="2">
        <f>IFERROR(__xludf.DUMMYFUNCTION("""COMPUTED_VALUE"""),3823769.0)</f>
        <v>3823769</v>
      </c>
    </row>
    <row r="1936">
      <c r="A1936" s="3">
        <f>IFERROR(__xludf.DUMMYFUNCTION("""COMPUTED_VALUE"""),43165.66666666667)</f>
        <v>43165.66667</v>
      </c>
      <c r="B1936" s="2">
        <f>IFERROR(__xludf.DUMMYFUNCTION("""COMPUTED_VALUE"""),22.25)</f>
        <v>22.25</v>
      </c>
      <c r="C1936" s="2">
        <f>IFERROR(__xludf.DUMMYFUNCTION("""COMPUTED_VALUE"""),22.42)</f>
        <v>22.42</v>
      </c>
      <c r="D1936" s="2">
        <f>IFERROR(__xludf.DUMMYFUNCTION("""COMPUTED_VALUE"""),21.8)</f>
        <v>21.8</v>
      </c>
      <c r="E1936" s="2">
        <f>IFERROR(__xludf.DUMMYFUNCTION("""COMPUTED_VALUE"""),21.88)</f>
        <v>21.88</v>
      </c>
      <c r="F1936" s="2">
        <f>IFERROR(__xludf.DUMMYFUNCTION("""COMPUTED_VALUE"""),4285744.0)</f>
        <v>4285744</v>
      </c>
    </row>
    <row r="1937">
      <c r="A1937" s="3">
        <f>IFERROR(__xludf.DUMMYFUNCTION("""COMPUTED_VALUE"""),43166.66666666667)</f>
        <v>43166.66667</v>
      </c>
      <c r="B1937" s="2">
        <f>IFERROR(__xludf.DUMMYFUNCTION("""COMPUTED_VALUE"""),21.7)</f>
        <v>21.7</v>
      </c>
      <c r="C1937" s="2">
        <f>IFERROR(__xludf.DUMMYFUNCTION("""COMPUTED_VALUE"""),22.17)</f>
        <v>22.17</v>
      </c>
      <c r="D1937" s="2">
        <f>IFERROR(__xludf.DUMMYFUNCTION("""COMPUTED_VALUE"""),21.45)</f>
        <v>21.45</v>
      </c>
      <c r="E1937" s="2">
        <f>IFERROR(__xludf.DUMMYFUNCTION("""COMPUTED_VALUE"""),22.15)</f>
        <v>22.15</v>
      </c>
      <c r="F1937" s="2">
        <f>IFERROR(__xludf.DUMMYFUNCTION("""COMPUTED_VALUE"""),5007297.0)</f>
        <v>5007297</v>
      </c>
    </row>
    <row r="1938">
      <c r="A1938" s="3">
        <f>IFERROR(__xludf.DUMMYFUNCTION("""COMPUTED_VALUE"""),43167.66666666667)</f>
        <v>43167.66667</v>
      </c>
      <c r="B1938" s="2">
        <f>IFERROR(__xludf.DUMMYFUNCTION("""COMPUTED_VALUE"""),22.19)</f>
        <v>22.19</v>
      </c>
      <c r="C1938" s="2">
        <f>IFERROR(__xludf.DUMMYFUNCTION("""COMPUTED_VALUE"""),22.22)</f>
        <v>22.22</v>
      </c>
      <c r="D1938" s="2">
        <f>IFERROR(__xludf.DUMMYFUNCTION("""COMPUTED_VALUE"""),21.75)</f>
        <v>21.75</v>
      </c>
      <c r="E1938" s="2">
        <f>IFERROR(__xludf.DUMMYFUNCTION("""COMPUTED_VALUE"""),21.94)</f>
        <v>21.94</v>
      </c>
      <c r="F1938" s="2">
        <f>IFERROR(__xludf.DUMMYFUNCTION("""COMPUTED_VALUE"""),3566244.0)</f>
        <v>3566244</v>
      </c>
    </row>
    <row r="1939">
      <c r="A1939" s="3">
        <f>IFERROR(__xludf.DUMMYFUNCTION("""COMPUTED_VALUE"""),43168.66666666667)</f>
        <v>43168.66667</v>
      </c>
      <c r="B1939" s="2">
        <f>IFERROR(__xludf.DUMMYFUNCTION("""COMPUTED_VALUE"""),21.61)</f>
        <v>21.61</v>
      </c>
      <c r="C1939" s="2">
        <f>IFERROR(__xludf.DUMMYFUNCTION("""COMPUTED_VALUE"""),21.9)</f>
        <v>21.9</v>
      </c>
      <c r="D1939" s="2">
        <f>IFERROR(__xludf.DUMMYFUNCTION("""COMPUTED_VALUE"""),21.49)</f>
        <v>21.49</v>
      </c>
      <c r="E1939" s="2">
        <f>IFERROR(__xludf.DUMMYFUNCTION("""COMPUTED_VALUE"""),21.81)</f>
        <v>21.81</v>
      </c>
      <c r="F1939" s="2">
        <f>IFERROR(__xludf.DUMMYFUNCTION("""COMPUTED_VALUE"""),5506764.0)</f>
        <v>5506764</v>
      </c>
    </row>
    <row r="1940">
      <c r="A1940" s="3">
        <f>IFERROR(__xludf.DUMMYFUNCTION("""COMPUTED_VALUE"""),43171.66666666667)</f>
        <v>43171.66667</v>
      </c>
      <c r="B1940" s="2">
        <f>IFERROR(__xludf.DUMMYFUNCTION("""COMPUTED_VALUE"""),21.91)</f>
        <v>21.91</v>
      </c>
      <c r="C1940" s="2">
        <f>IFERROR(__xludf.DUMMYFUNCTION("""COMPUTED_VALUE"""),23.15)</f>
        <v>23.15</v>
      </c>
      <c r="D1940" s="2">
        <f>IFERROR(__xludf.DUMMYFUNCTION("""COMPUTED_VALUE"""),21.77)</f>
        <v>21.77</v>
      </c>
      <c r="E1940" s="2">
        <f>IFERROR(__xludf.DUMMYFUNCTION("""COMPUTED_VALUE"""),23.03)</f>
        <v>23.03</v>
      </c>
      <c r="F1940" s="2">
        <f>IFERROR(__xludf.DUMMYFUNCTION("""COMPUTED_VALUE"""),8264035.0)</f>
        <v>8264035</v>
      </c>
    </row>
    <row r="1941">
      <c r="A1941" s="3">
        <f>IFERROR(__xludf.DUMMYFUNCTION("""COMPUTED_VALUE"""),43172.66666666667)</f>
        <v>43172.66667</v>
      </c>
      <c r="B1941" s="2">
        <f>IFERROR(__xludf.DUMMYFUNCTION("""COMPUTED_VALUE"""),22.99)</f>
        <v>22.99</v>
      </c>
      <c r="C1941" s="2">
        <f>IFERROR(__xludf.DUMMYFUNCTION("""COMPUTED_VALUE"""),23.01)</f>
        <v>23.01</v>
      </c>
      <c r="D1941" s="2">
        <f>IFERROR(__xludf.DUMMYFUNCTION("""COMPUTED_VALUE"""),22.42)</f>
        <v>22.42</v>
      </c>
      <c r="E1941" s="2">
        <f>IFERROR(__xludf.DUMMYFUNCTION("""COMPUTED_VALUE"""),22.79)</f>
        <v>22.79</v>
      </c>
      <c r="F1941" s="2">
        <f>IFERROR(__xludf.DUMMYFUNCTION("""COMPUTED_VALUE"""),5965805.0)</f>
        <v>5965805</v>
      </c>
    </row>
    <row r="1942">
      <c r="A1942" s="3">
        <f>IFERROR(__xludf.DUMMYFUNCTION("""COMPUTED_VALUE"""),43173.66666666667)</f>
        <v>43173.66667</v>
      </c>
      <c r="B1942" s="2">
        <f>IFERROR(__xludf.DUMMYFUNCTION("""COMPUTED_VALUE"""),22.45)</f>
        <v>22.45</v>
      </c>
      <c r="C1942" s="2">
        <f>IFERROR(__xludf.DUMMYFUNCTION("""COMPUTED_VALUE"""),22.65)</f>
        <v>22.65</v>
      </c>
      <c r="D1942" s="2">
        <f>IFERROR(__xludf.DUMMYFUNCTION("""COMPUTED_VALUE"""),21.6)</f>
        <v>21.6</v>
      </c>
      <c r="E1942" s="2">
        <f>IFERROR(__xludf.DUMMYFUNCTION("""COMPUTED_VALUE"""),21.78)</f>
        <v>21.78</v>
      </c>
      <c r="F1942" s="2">
        <f>IFERROR(__xludf.DUMMYFUNCTION("""COMPUTED_VALUE"""),7967370.0)</f>
        <v>7967370</v>
      </c>
    </row>
    <row r="1943">
      <c r="A1943" s="3">
        <f>IFERROR(__xludf.DUMMYFUNCTION("""COMPUTED_VALUE"""),43174.66666666667)</f>
        <v>43174.66667</v>
      </c>
      <c r="B1943" s="2">
        <f>IFERROR(__xludf.DUMMYFUNCTION("""COMPUTED_VALUE"""),21.96)</f>
        <v>21.96</v>
      </c>
      <c r="C1943" s="2">
        <f>IFERROR(__xludf.DUMMYFUNCTION("""COMPUTED_VALUE"""),22.19)</f>
        <v>22.19</v>
      </c>
      <c r="D1943" s="2">
        <f>IFERROR(__xludf.DUMMYFUNCTION("""COMPUTED_VALUE"""),21.41)</f>
        <v>21.41</v>
      </c>
      <c r="E1943" s="2">
        <f>IFERROR(__xludf.DUMMYFUNCTION("""COMPUTED_VALUE"""),21.71)</f>
        <v>21.71</v>
      </c>
      <c r="F1943" s="2">
        <f>IFERROR(__xludf.DUMMYFUNCTION("""COMPUTED_VALUE"""),6564801.0)</f>
        <v>6564801</v>
      </c>
    </row>
    <row r="1944">
      <c r="A1944" s="3">
        <f>IFERROR(__xludf.DUMMYFUNCTION("""COMPUTED_VALUE"""),43175.66666666667)</f>
        <v>43175.66667</v>
      </c>
      <c r="B1944" s="2">
        <f>IFERROR(__xludf.DUMMYFUNCTION("""COMPUTED_VALUE"""),21.73)</f>
        <v>21.73</v>
      </c>
      <c r="C1944" s="2">
        <f>IFERROR(__xludf.DUMMYFUNCTION("""COMPUTED_VALUE"""),21.83)</f>
        <v>21.83</v>
      </c>
      <c r="D1944" s="2">
        <f>IFERROR(__xludf.DUMMYFUNCTION("""COMPUTED_VALUE"""),21.27)</f>
        <v>21.27</v>
      </c>
      <c r="E1944" s="2">
        <f>IFERROR(__xludf.DUMMYFUNCTION("""COMPUTED_VALUE"""),21.42)</f>
        <v>21.42</v>
      </c>
      <c r="F1944" s="2">
        <f>IFERROR(__xludf.DUMMYFUNCTION("""COMPUTED_VALUE"""),6117279.0)</f>
        <v>6117279</v>
      </c>
    </row>
    <row r="1945">
      <c r="A1945" s="3">
        <f>IFERROR(__xludf.DUMMYFUNCTION("""COMPUTED_VALUE"""),43178.66666666667)</f>
        <v>43178.66667</v>
      </c>
      <c r="B1945" s="2">
        <f>IFERROR(__xludf.DUMMYFUNCTION("""COMPUTED_VALUE"""),21.1)</f>
        <v>21.1</v>
      </c>
      <c r="C1945" s="2">
        <f>IFERROR(__xludf.DUMMYFUNCTION("""COMPUTED_VALUE"""),21.38)</f>
        <v>21.38</v>
      </c>
      <c r="D1945" s="2">
        <f>IFERROR(__xludf.DUMMYFUNCTION("""COMPUTED_VALUE"""),20.64)</f>
        <v>20.64</v>
      </c>
      <c r="E1945" s="2">
        <f>IFERROR(__xludf.DUMMYFUNCTION("""COMPUTED_VALUE"""),20.9)</f>
        <v>20.9</v>
      </c>
      <c r="F1945" s="2">
        <f>IFERROR(__xludf.DUMMYFUNCTION("""COMPUTED_VALUE"""),7484294.0)</f>
        <v>7484294</v>
      </c>
    </row>
    <row r="1946">
      <c r="A1946" s="3">
        <f>IFERROR(__xludf.DUMMYFUNCTION("""COMPUTED_VALUE"""),43179.66666666667)</f>
        <v>43179.66667</v>
      </c>
      <c r="B1946" s="2">
        <f>IFERROR(__xludf.DUMMYFUNCTION("""COMPUTED_VALUE"""),20.99)</f>
        <v>20.99</v>
      </c>
      <c r="C1946" s="2">
        <f>IFERROR(__xludf.DUMMYFUNCTION("""COMPUTED_VALUE"""),21.08)</f>
        <v>21.08</v>
      </c>
      <c r="D1946" s="2">
        <f>IFERROR(__xludf.DUMMYFUNCTION("""COMPUTED_VALUE"""),20.58)</f>
        <v>20.58</v>
      </c>
      <c r="E1946" s="2">
        <f>IFERROR(__xludf.DUMMYFUNCTION("""COMPUTED_VALUE"""),20.7)</f>
        <v>20.7</v>
      </c>
      <c r="F1946" s="2">
        <f>IFERROR(__xludf.DUMMYFUNCTION("""COMPUTED_VALUE"""),4764293.0)</f>
        <v>4764293</v>
      </c>
    </row>
    <row r="1947">
      <c r="A1947" s="3">
        <f>IFERROR(__xludf.DUMMYFUNCTION("""COMPUTED_VALUE"""),43180.66666666667)</f>
        <v>43180.66667</v>
      </c>
      <c r="B1947" s="2">
        <f>IFERROR(__xludf.DUMMYFUNCTION("""COMPUTED_VALUE"""),20.68)</f>
        <v>20.68</v>
      </c>
      <c r="C1947" s="2">
        <f>IFERROR(__xludf.DUMMYFUNCTION("""COMPUTED_VALUE"""),21.5)</f>
        <v>21.5</v>
      </c>
      <c r="D1947" s="2">
        <f>IFERROR(__xludf.DUMMYFUNCTION("""COMPUTED_VALUE"""),20.68)</f>
        <v>20.68</v>
      </c>
      <c r="E1947" s="2">
        <f>IFERROR(__xludf.DUMMYFUNCTION("""COMPUTED_VALUE"""),21.1)</f>
        <v>21.1</v>
      </c>
      <c r="F1947" s="2">
        <f>IFERROR(__xludf.DUMMYFUNCTION("""COMPUTED_VALUE"""),5958411.0)</f>
        <v>5958411</v>
      </c>
    </row>
    <row r="1948">
      <c r="A1948" s="3">
        <f>IFERROR(__xludf.DUMMYFUNCTION("""COMPUTED_VALUE"""),43181.66666666667)</f>
        <v>43181.66667</v>
      </c>
      <c r="B1948" s="2">
        <f>IFERROR(__xludf.DUMMYFUNCTION("""COMPUTED_VALUE"""),20.93)</f>
        <v>20.93</v>
      </c>
      <c r="C1948" s="2">
        <f>IFERROR(__xludf.DUMMYFUNCTION("""COMPUTED_VALUE"""),21.25)</f>
        <v>21.25</v>
      </c>
      <c r="D1948" s="2">
        <f>IFERROR(__xludf.DUMMYFUNCTION("""COMPUTED_VALUE"""),20.55)</f>
        <v>20.55</v>
      </c>
      <c r="E1948" s="2">
        <f>IFERROR(__xludf.DUMMYFUNCTION("""COMPUTED_VALUE"""),20.61)</f>
        <v>20.61</v>
      </c>
      <c r="F1948" s="2">
        <f>IFERROR(__xludf.DUMMYFUNCTION("""COMPUTED_VALUE"""),4939771.0)</f>
        <v>4939771</v>
      </c>
    </row>
    <row r="1949">
      <c r="A1949" s="3">
        <f>IFERROR(__xludf.DUMMYFUNCTION("""COMPUTED_VALUE"""),43182.66666666667)</f>
        <v>43182.66667</v>
      </c>
      <c r="B1949" s="2">
        <f>IFERROR(__xludf.DUMMYFUNCTION("""COMPUTED_VALUE"""),20.75)</f>
        <v>20.75</v>
      </c>
      <c r="C1949" s="2">
        <f>IFERROR(__xludf.DUMMYFUNCTION("""COMPUTED_VALUE"""),20.77)</f>
        <v>20.77</v>
      </c>
      <c r="D1949" s="2">
        <f>IFERROR(__xludf.DUMMYFUNCTION("""COMPUTED_VALUE"""),20.03)</f>
        <v>20.03</v>
      </c>
      <c r="E1949" s="2">
        <f>IFERROR(__xludf.DUMMYFUNCTION("""COMPUTED_VALUE"""),20.1)</f>
        <v>20.1</v>
      </c>
      <c r="F1949" s="2">
        <f>IFERROR(__xludf.DUMMYFUNCTION("""COMPUTED_VALUE"""),6654899.0)</f>
        <v>6654899</v>
      </c>
    </row>
    <row r="1950">
      <c r="A1950" s="3">
        <f>IFERROR(__xludf.DUMMYFUNCTION("""COMPUTED_VALUE"""),43185.66666666667)</f>
        <v>43185.66667</v>
      </c>
      <c r="B1950" s="2">
        <f>IFERROR(__xludf.DUMMYFUNCTION("""COMPUTED_VALUE"""),20.49)</f>
        <v>20.49</v>
      </c>
      <c r="C1950" s="2">
        <f>IFERROR(__xludf.DUMMYFUNCTION("""COMPUTED_VALUE"""),20.51)</f>
        <v>20.51</v>
      </c>
      <c r="D1950" s="2">
        <f>IFERROR(__xludf.DUMMYFUNCTION("""COMPUTED_VALUE"""),19.42)</f>
        <v>19.42</v>
      </c>
      <c r="E1950" s="2">
        <f>IFERROR(__xludf.DUMMYFUNCTION("""COMPUTED_VALUE"""),20.28)</f>
        <v>20.28</v>
      </c>
      <c r="F1950" s="2">
        <f>IFERROR(__xludf.DUMMYFUNCTION("""COMPUTED_VALUE"""),8375175.0)</f>
        <v>8375175</v>
      </c>
    </row>
    <row r="1951">
      <c r="A1951" s="3">
        <f>IFERROR(__xludf.DUMMYFUNCTION("""COMPUTED_VALUE"""),43186.66666666667)</f>
        <v>43186.66667</v>
      </c>
      <c r="B1951" s="2">
        <f>IFERROR(__xludf.DUMMYFUNCTION("""COMPUTED_VALUE"""),20.27)</f>
        <v>20.27</v>
      </c>
      <c r="C1951" s="2">
        <f>IFERROR(__xludf.DUMMYFUNCTION("""COMPUTED_VALUE"""),20.28)</f>
        <v>20.28</v>
      </c>
      <c r="D1951" s="2">
        <f>IFERROR(__xludf.DUMMYFUNCTION("""COMPUTED_VALUE"""),18.48)</f>
        <v>18.48</v>
      </c>
      <c r="E1951" s="2">
        <f>IFERROR(__xludf.DUMMYFUNCTION("""COMPUTED_VALUE"""),18.61)</f>
        <v>18.61</v>
      </c>
      <c r="F1951" s="2">
        <f>IFERROR(__xludf.DUMMYFUNCTION("""COMPUTED_VALUE"""),1.3872029E7)</f>
        <v>13872029</v>
      </c>
    </row>
    <row r="1952">
      <c r="A1952" s="3">
        <f>IFERROR(__xludf.DUMMYFUNCTION("""COMPUTED_VALUE"""),43187.66666666667)</f>
        <v>43187.66667</v>
      </c>
      <c r="B1952" s="2">
        <f>IFERROR(__xludf.DUMMYFUNCTION("""COMPUTED_VALUE"""),17.64)</f>
        <v>17.64</v>
      </c>
      <c r="C1952" s="2">
        <f>IFERROR(__xludf.DUMMYFUNCTION("""COMPUTED_VALUE"""),17.91)</f>
        <v>17.91</v>
      </c>
      <c r="D1952" s="2">
        <f>IFERROR(__xludf.DUMMYFUNCTION("""COMPUTED_VALUE"""),16.81)</f>
        <v>16.81</v>
      </c>
      <c r="E1952" s="2">
        <f>IFERROR(__xludf.DUMMYFUNCTION("""COMPUTED_VALUE"""),17.19)</f>
        <v>17.19</v>
      </c>
      <c r="F1952" s="2">
        <f>IFERROR(__xludf.DUMMYFUNCTION("""COMPUTED_VALUE"""),2.1001437E7)</f>
        <v>21001437</v>
      </c>
    </row>
    <row r="1953">
      <c r="A1953" s="3">
        <f>IFERROR(__xludf.DUMMYFUNCTION("""COMPUTED_VALUE"""),43188.66666666667)</f>
        <v>43188.66667</v>
      </c>
      <c r="B1953" s="2">
        <f>IFERROR(__xludf.DUMMYFUNCTION("""COMPUTED_VALUE"""),17.1)</f>
        <v>17.1</v>
      </c>
      <c r="C1953" s="2">
        <f>IFERROR(__xludf.DUMMYFUNCTION("""COMPUTED_VALUE"""),18.06)</f>
        <v>18.06</v>
      </c>
      <c r="D1953" s="2">
        <f>IFERROR(__xludf.DUMMYFUNCTION("""COMPUTED_VALUE"""),16.55)</f>
        <v>16.55</v>
      </c>
      <c r="E1953" s="2">
        <f>IFERROR(__xludf.DUMMYFUNCTION("""COMPUTED_VALUE"""),17.74)</f>
        <v>17.74</v>
      </c>
      <c r="F1953" s="2">
        <f>IFERROR(__xludf.DUMMYFUNCTION("""COMPUTED_VALUE"""),1.5170749E7)</f>
        <v>15170749</v>
      </c>
    </row>
    <row r="1954">
      <c r="A1954" s="3">
        <f>IFERROR(__xludf.DUMMYFUNCTION("""COMPUTED_VALUE"""),43192.66666666667)</f>
        <v>43192.66667</v>
      </c>
      <c r="B1954" s="2">
        <f>IFERROR(__xludf.DUMMYFUNCTION("""COMPUTED_VALUE"""),17.08)</f>
        <v>17.08</v>
      </c>
      <c r="C1954" s="2">
        <f>IFERROR(__xludf.DUMMYFUNCTION("""COMPUTED_VALUE"""),17.36)</f>
        <v>17.36</v>
      </c>
      <c r="D1954" s="2">
        <f>IFERROR(__xludf.DUMMYFUNCTION("""COMPUTED_VALUE"""),16.31)</f>
        <v>16.31</v>
      </c>
      <c r="E1954" s="2">
        <f>IFERROR(__xludf.DUMMYFUNCTION("""COMPUTED_VALUE"""),16.83)</f>
        <v>16.83</v>
      </c>
      <c r="F1954" s="2">
        <f>IFERROR(__xludf.DUMMYFUNCTION("""COMPUTED_VALUE"""),1.6113968E7)</f>
        <v>16113968</v>
      </c>
    </row>
    <row r="1955">
      <c r="A1955" s="3">
        <f>IFERROR(__xludf.DUMMYFUNCTION("""COMPUTED_VALUE"""),43193.66666666667)</f>
        <v>43193.66667</v>
      </c>
      <c r="B1955" s="2">
        <f>IFERROR(__xludf.DUMMYFUNCTION("""COMPUTED_VALUE"""),17.99)</f>
        <v>17.99</v>
      </c>
      <c r="C1955" s="2">
        <f>IFERROR(__xludf.DUMMYFUNCTION("""COMPUTED_VALUE"""),18.22)</f>
        <v>18.22</v>
      </c>
      <c r="D1955" s="2">
        <f>IFERROR(__xludf.DUMMYFUNCTION("""COMPUTED_VALUE"""),16.97)</f>
        <v>16.97</v>
      </c>
      <c r="E1955" s="2">
        <f>IFERROR(__xludf.DUMMYFUNCTION("""COMPUTED_VALUE"""),17.84)</f>
        <v>17.84</v>
      </c>
      <c r="F1955" s="2">
        <f>IFERROR(__xludf.DUMMYFUNCTION("""COMPUTED_VALUE"""),1.8844384E7)</f>
        <v>18844384</v>
      </c>
    </row>
    <row r="1956">
      <c r="A1956" s="3">
        <f>IFERROR(__xludf.DUMMYFUNCTION("""COMPUTED_VALUE"""),43194.66666666667)</f>
        <v>43194.66667</v>
      </c>
      <c r="B1956" s="2">
        <f>IFERROR(__xludf.DUMMYFUNCTION("""COMPUTED_VALUE"""),16.85)</f>
        <v>16.85</v>
      </c>
      <c r="C1956" s="2">
        <f>IFERROR(__xludf.DUMMYFUNCTION("""COMPUTED_VALUE"""),19.22)</f>
        <v>19.22</v>
      </c>
      <c r="D1956" s="2">
        <f>IFERROR(__xludf.DUMMYFUNCTION("""COMPUTED_VALUE"""),16.8)</f>
        <v>16.8</v>
      </c>
      <c r="E1956" s="2">
        <f>IFERROR(__xludf.DUMMYFUNCTION("""COMPUTED_VALUE"""),19.13)</f>
        <v>19.13</v>
      </c>
      <c r="F1956" s="2">
        <f>IFERROR(__xludf.DUMMYFUNCTION("""COMPUTED_VALUE"""),1.9896746E7)</f>
        <v>19896746</v>
      </c>
    </row>
    <row r="1957">
      <c r="A1957" s="3">
        <f>IFERROR(__xludf.DUMMYFUNCTION("""COMPUTED_VALUE"""),43195.66666666667)</f>
        <v>43195.66667</v>
      </c>
      <c r="B1957" s="2">
        <f>IFERROR(__xludf.DUMMYFUNCTION("""COMPUTED_VALUE"""),19.29)</f>
        <v>19.29</v>
      </c>
      <c r="C1957" s="2">
        <f>IFERROR(__xludf.DUMMYFUNCTION("""COMPUTED_VALUE"""),20.42)</f>
        <v>20.42</v>
      </c>
      <c r="D1957" s="2">
        <f>IFERROR(__xludf.DUMMYFUNCTION("""COMPUTED_VALUE"""),19.21)</f>
        <v>19.21</v>
      </c>
      <c r="E1957" s="2">
        <f>IFERROR(__xludf.DUMMYFUNCTION("""COMPUTED_VALUE"""),20.38)</f>
        <v>20.38</v>
      </c>
      <c r="F1957" s="2">
        <f>IFERROR(__xludf.DUMMYFUNCTION("""COMPUTED_VALUE"""),1.9121101E7)</f>
        <v>19121101</v>
      </c>
    </row>
    <row r="1958">
      <c r="A1958" s="3">
        <f>IFERROR(__xludf.DUMMYFUNCTION("""COMPUTED_VALUE"""),43196.66666666667)</f>
        <v>43196.66667</v>
      </c>
      <c r="B1958" s="2">
        <f>IFERROR(__xludf.DUMMYFUNCTION("""COMPUTED_VALUE"""),20.07)</f>
        <v>20.07</v>
      </c>
      <c r="C1958" s="2">
        <f>IFERROR(__xludf.DUMMYFUNCTION("""COMPUTED_VALUE"""),20.62)</f>
        <v>20.62</v>
      </c>
      <c r="D1958" s="2">
        <f>IFERROR(__xludf.DUMMYFUNCTION("""COMPUTED_VALUE"""),19.7)</f>
        <v>19.7</v>
      </c>
      <c r="E1958" s="2">
        <f>IFERROR(__xludf.DUMMYFUNCTION("""COMPUTED_VALUE"""),19.95)</f>
        <v>19.95</v>
      </c>
      <c r="F1958" s="2">
        <f>IFERROR(__xludf.DUMMYFUNCTION("""COMPUTED_VALUE"""),1.3520286E7)</f>
        <v>13520286</v>
      </c>
    </row>
    <row r="1959">
      <c r="A1959" s="3">
        <f>IFERROR(__xludf.DUMMYFUNCTION("""COMPUTED_VALUE"""),43199.66666666667)</f>
        <v>43199.66667</v>
      </c>
      <c r="B1959" s="2">
        <f>IFERROR(__xludf.DUMMYFUNCTION("""COMPUTED_VALUE"""),20.02)</f>
        <v>20.02</v>
      </c>
      <c r="C1959" s="2">
        <f>IFERROR(__xludf.DUMMYFUNCTION("""COMPUTED_VALUE"""),20.63)</f>
        <v>20.63</v>
      </c>
      <c r="D1959" s="2">
        <f>IFERROR(__xludf.DUMMYFUNCTION("""COMPUTED_VALUE"""),19.28)</f>
        <v>19.28</v>
      </c>
      <c r="E1959" s="2">
        <f>IFERROR(__xludf.DUMMYFUNCTION("""COMPUTED_VALUE"""),19.31)</f>
        <v>19.31</v>
      </c>
      <c r="F1959" s="2">
        <f>IFERROR(__xludf.DUMMYFUNCTION("""COMPUTED_VALUE"""),1.0249805E7)</f>
        <v>10249805</v>
      </c>
    </row>
    <row r="1960">
      <c r="A1960" s="3">
        <f>IFERROR(__xludf.DUMMYFUNCTION("""COMPUTED_VALUE"""),43200.66666666667)</f>
        <v>43200.66667</v>
      </c>
      <c r="B1960" s="2">
        <f>IFERROR(__xludf.DUMMYFUNCTION("""COMPUTED_VALUE"""),19.93)</f>
        <v>19.93</v>
      </c>
      <c r="C1960" s="2">
        <f>IFERROR(__xludf.DUMMYFUNCTION("""COMPUTED_VALUE"""),20.47)</f>
        <v>20.47</v>
      </c>
      <c r="D1960" s="2">
        <f>IFERROR(__xludf.DUMMYFUNCTION("""COMPUTED_VALUE"""),19.58)</f>
        <v>19.58</v>
      </c>
      <c r="E1960" s="2">
        <f>IFERROR(__xludf.DUMMYFUNCTION("""COMPUTED_VALUE"""),20.31)</f>
        <v>20.31</v>
      </c>
      <c r="F1960" s="2">
        <f>IFERROR(__xludf.DUMMYFUNCTION("""COMPUTED_VALUE"""),1.1024259E7)</f>
        <v>11024259</v>
      </c>
    </row>
    <row r="1961">
      <c r="A1961" s="3">
        <f>IFERROR(__xludf.DUMMYFUNCTION("""COMPUTED_VALUE"""),43201.66666666667)</f>
        <v>43201.66667</v>
      </c>
      <c r="B1961" s="2">
        <f>IFERROR(__xludf.DUMMYFUNCTION("""COMPUTED_VALUE"""),20.05)</f>
        <v>20.05</v>
      </c>
      <c r="C1961" s="2">
        <f>IFERROR(__xludf.DUMMYFUNCTION("""COMPUTED_VALUE"""),20.6)</f>
        <v>20.6</v>
      </c>
      <c r="D1961" s="2">
        <f>IFERROR(__xludf.DUMMYFUNCTION("""COMPUTED_VALUE"""),19.98)</f>
        <v>19.98</v>
      </c>
      <c r="E1961" s="2">
        <f>IFERROR(__xludf.DUMMYFUNCTION("""COMPUTED_VALUE"""),20.06)</f>
        <v>20.06</v>
      </c>
      <c r="F1961" s="2">
        <f>IFERROR(__xludf.DUMMYFUNCTION("""COMPUTED_VALUE"""),7482945.0)</f>
        <v>7482945</v>
      </c>
    </row>
    <row r="1962">
      <c r="A1962" s="3">
        <f>IFERROR(__xludf.DUMMYFUNCTION("""COMPUTED_VALUE"""),43202.66666666667)</f>
        <v>43202.66667</v>
      </c>
      <c r="B1962" s="2">
        <f>IFERROR(__xludf.DUMMYFUNCTION("""COMPUTED_VALUE"""),20.15)</f>
        <v>20.15</v>
      </c>
      <c r="C1962" s="2">
        <f>IFERROR(__xludf.DUMMYFUNCTION("""COMPUTED_VALUE"""),20.26)</f>
        <v>20.26</v>
      </c>
      <c r="D1962" s="2">
        <f>IFERROR(__xludf.DUMMYFUNCTION("""COMPUTED_VALUE"""),19.58)</f>
        <v>19.58</v>
      </c>
      <c r="E1962" s="2">
        <f>IFERROR(__xludf.DUMMYFUNCTION("""COMPUTED_VALUE"""),19.61)</f>
        <v>19.61</v>
      </c>
      <c r="F1962" s="2">
        <f>IFERROR(__xludf.DUMMYFUNCTION("""COMPUTED_VALUE"""),7608769.0)</f>
        <v>7608769</v>
      </c>
    </row>
    <row r="1963">
      <c r="A1963" s="3">
        <f>IFERROR(__xludf.DUMMYFUNCTION("""COMPUTED_VALUE"""),43203.66666666667)</f>
        <v>43203.66667</v>
      </c>
      <c r="B1963" s="2">
        <f>IFERROR(__xludf.DUMMYFUNCTION("""COMPUTED_VALUE"""),20.24)</f>
        <v>20.24</v>
      </c>
      <c r="C1963" s="2">
        <f>IFERROR(__xludf.DUMMYFUNCTION("""COMPUTED_VALUE"""),20.26)</f>
        <v>20.26</v>
      </c>
      <c r="D1963" s="2">
        <f>IFERROR(__xludf.DUMMYFUNCTION("""COMPUTED_VALUE"""),19.73)</f>
        <v>19.73</v>
      </c>
      <c r="E1963" s="2">
        <f>IFERROR(__xludf.DUMMYFUNCTION("""COMPUTED_VALUE"""),20.02)</f>
        <v>20.02</v>
      </c>
      <c r="F1963" s="2">
        <f>IFERROR(__xludf.DUMMYFUNCTION("""COMPUTED_VALUE"""),7327223.0)</f>
        <v>7327223</v>
      </c>
    </row>
    <row r="1964">
      <c r="A1964" s="3">
        <f>IFERROR(__xludf.DUMMYFUNCTION("""COMPUTED_VALUE"""),43206.66666666667)</f>
        <v>43206.66667</v>
      </c>
      <c r="B1964" s="2">
        <f>IFERROR(__xludf.DUMMYFUNCTION("""COMPUTED_VALUE"""),19.93)</f>
        <v>19.93</v>
      </c>
      <c r="C1964" s="2">
        <f>IFERROR(__xludf.DUMMYFUNCTION("""COMPUTED_VALUE"""),19.98)</f>
        <v>19.98</v>
      </c>
      <c r="D1964" s="2">
        <f>IFERROR(__xludf.DUMMYFUNCTION("""COMPUTED_VALUE"""),19.27)</f>
        <v>19.27</v>
      </c>
      <c r="E1964" s="2">
        <f>IFERROR(__xludf.DUMMYFUNCTION("""COMPUTED_VALUE"""),19.41)</f>
        <v>19.41</v>
      </c>
      <c r="F1964" s="2">
        <f>IFERROR(__xludf.DUMMYFUNCTION("""COMPUTED_VALUE"""),6338488.0)</f>
        <v>6338488</v>
      </c>
    </row>
    <row r="1965">
      <c r="A1965" s="3">
        <f>IFERROR(__xludf.DUMMYFUNCTION("""COMPUTED_VALUE"""),43207.66666666667)</f>
        <v>43207.66667</v>
      </c>
      <c r="B1965" s="2">
        <f>IFERROR(__xludf.DUMMYFUNCTION("""COMPUTED_VALUE"""),19.26)</f>
        <v>19.26</v>
      </c>
      <c r="C1965" s="2">
        <f>IFERROR(__xludf.DUMMYFUNCTION("""COMPUTED_VALUE"""),19.48)</f>
        <v>19.48</v>
      </c>
      <c r="D1965" s="2">
        <f>IFERROR(__xludf.DUMMYFUNCTION("""COMPUTED_VALUE"""),18.83)</f>
        <v>18.83</v>
      </c>
      <c r="E1965" s="2">
        <f>IFERROR(__xludf.DUMMYFUNCTION("""COMPUTED_VALUE"""),19.18)</f>
        <v>19.18</v>
      </c>
      <c r="F1965" s="2">
        <f>IFERROR(__xludf.DUMMYFUNCTION("""COMPUTED_VALUE"""),7000023.0)</f>
        <v>7000023</v>
      </c>
    </row>
    <row r="1966">
      <c r="A1966" s="3">
        <f>IFERROR(__xludf.DUMMYFUNCTION("""COMPUTED_VALUE"""),43208.66666666667)</f>
        <v>43208.66667</v>
      </c>
      <c r="B1966" s="2">
        <f>IFERROR(__xludf.DUMMYFUNCTION("""COMPUTED_VALUE"""),19.41)</f>
        <v>19.41</v>
      </c>
      <c r="C1966" s="2">
        <f>IFERROR(__xludf.DUMMYFUNCTION("""COMPUTED_VALUE"""),20.02)</f>
        <v>20.02</v>
      </c>
      <c r="D1966" s="2">
        <f>IFERROR(__xludf.DUMMYFUNCTION("""COMPUTED_VALUE"""),19.21)</f>
        <v>19.21</v>
      </c>
      <c r="E1966" s="2">
        <f>IFERROR(__xludf.DUMMYFUNCTION("""COMPUTED_VALUE"""),19.56)</f>
        <v>19.56</v>
      </c>
      <c r="F1966" s="2">
        <f>IFERROR(__xludf.DUMMYFUNCTION("""COMPUTED_VALUE"""),6557700.0)</f>
        <v>6557700</v>
      </c>
    </row>
    <row r="1967">
      <c r="A1967" s="3">
        <f>IFERROR(__xludf.DUMMYFUNCTION("""COMPUTED_VALUE"""),43209.66666666667)</f>
        <v>43209.66667</v>
      </c>
      <c r="B1967" s="2">
        <f>IFERROR(__xludf.DUMMYFUNCTION("""COMPUTED_VALUE"""),19.41)</f>
        <v>19.41</v>
      </c>
      <c r="C1967" s="2">
        <f>IFERROR(__xludf.DUMMYFUNCTION("""COMPUTED_VALUE"""),20.07)</f>
        <v>20.07</v>
      </c>
      <c r="D1967" s="2">
        <f>IFERROR(__xludf.DUMMYFUNCTION("""COMPUTED_VALUE"""),19.24)</f>
        <v>19.24</v>
      </c>
      <c r="E1967" s="2">
        <f>IFERROR(__xludf.DUMMYFUNCTION("""COMPUTED_VALUE"""),20.01)</f>
        <v>20.01</v>
      </c>
      <c r="F1967" s="2">
        <f>IFERROR(__xludf.DUMMYFUNCTION("""COMPUTED_VALUE"""),6090599.0)</f>
        <v>6090599</v>
      </c>
    </row>
    <row r="1968">
      <c r="A1968" s="3">
        <f>IFERROR(__xludf.DUMMYFUNCTION("""COMPUTED_VALUE"""),43210.66666666667)</f>
        <v>43210.66667</v>
      </c>
      <c r="B1968" s="2">
        <f>IFERROR(__xludf.DUMMYFUNCTION("""COMPUTED_VALUE"""),19.68)</f>
        <v>19.68</v>
      </c>
      <c r="C1968" s="2">
        <f>IFERROR(__xludf.DUMMYFUNCTION("""COMPUTED_VALUE"""),20.0)</f>
        <v>20</v>
      </c>
      <c r="D1968" s="2">
        <f>IFERROR(__xludf.DUMMYFUNCTION("""COMPUTED_VALUE"""),19.32)</f>
        <v>19.32</v>
      </c>
      <c r="E1968" s="2">
        <f>IFERROR(__xludf.DUMMYFUNCTION("""COMPUTED_VALUE"""),19.35)</f>
        <v>19.35</v>
      </c>
      <c r="F1968" s="2">
        <f>IFERROR(__xludf.DUMMYFUNCTION("""COMPUTED_VALUE"""),5627928.0)</f>
        <v>5627928</v>
      </c>
    </row>
    <row r="1969">
      <c r="A1969" s="3">
        <f>IFERROR(__xludf.DUMMYFUNCTION("""COMPUTED_VALUE"""),43213.66666666667)</f>
        <v>43213.66667</v>
      </c>
      <c r="B1969" s="2">
        <f>IFERROR(__xludf.DUMMYFUNCTION("""COMPUTED_VALUE"""),19.42)</f>
        <v>19.42</v>
      </c>
      <c r="C1969" s="2">
        <f>IFERROR(__xludf.DUMMYFUNCTION("""COMPUTED_VALUE"""),19.44)</f>
        <v>19.44</v>
      </c>
      <c r="D1969" s="2">
        <f>IFERROR(__xludf.DUMMYFUNCTION("""COMPUTED_VALUE"""),18.82)</f>
        <v>18.82</v>
      </c>
      <c r="E1969" s="2">
        <f>IFERROR(__xludf.DUMMYFUNCTION("""COMPUTED_VALUE"""),18.89)</f>
        <v>18.89</v>
      </c>
      <c r="F1969" s="2">
        <f>IFERROR(__xludf.DUMMYFUNCTION("""COMPUTED_VALUE"""),4893378.0)</f>
        <v>4893378</v>
      </c>
    </row>
    <row r="1970">
      <c r="A1970" s="3">
        <f>IFERROR(__xludf.DUMMYFUNCTION("""COMPUTED_VALUE"""),43214.66666666667)</f>
        <v>43214.66667</v>
      </c>
      <c r="B1970" s="2">
        <f>IFERROR(__xludf.DUMMYFUNCTION("""COMPUTED_VALUE"""),19.0)</f>
        <v>19</v>
      </c>
      <c r="C1970" s="2">
        <f>IFERROR(__xludf.DUMMYFUNCTION("""COMPUTED_VALUE"""),19.14)</f>
        <v>19.14</v>
      </c>
      <c r="D1970" s="2">
        <f>IFERROR(__xludf.DUMMYFUNCTION("""COMPUTED_VALUE"""),18.56)</f>
        <v>18.56</v>
      </c>
      <c r="E1970" s="2">
        <f>IFERROR(__xludf.DUMMYFUNCTION("""COMPUTED_VALUE"""),18.9)</f>
        <v>18.9</v>
      </c>
      <c r="F1970" s="2">
        <f>IFERROR(__xludf.DUMMYFUNCTION("""COMPUTED_VALUE"""),5685308.0)</f>
        <v>5685308</v>
      </c>
    </row>
    <row r="1971">
      <c r="A1971" s="3">
        <f>IFERROR(__xludf.DUMMYFUNCTION("""COMPUTED_VALUE"""),43215.66666666667)</f>
        <v>43215.66667</v>
      </c>
      <c r="B1971" s="2">
        <f>IFERROR(__xludf.DUMMYFUNCTION("""COMPUTED_VALUE"""),18.9)</f>
        <v>18.9</v>
      </c>
      <c r="C1971" s="2">
        <f>IFERROR(__xludf.DUMMYFUNCTION("""COMPUTED_VALUE"""),19.01)</f>
        <v>19.01</v>
      </c>
      <c r="D1971" s="2">
        <f>IFERROR(__xludf.DUMMYFUNCTION("""COMPUTED_VALUE"""),18.48)</f>
        <v>18.48</v>
      </c>
      <c r="E1971" s="2">
        <f>IFERROR(__xludf.DUMMYFUNCTION("""COMPUTED_VALUE"""),18.71)</f>
        <v>18.71</v>
      </c>
      <c r="F1971" s="2">
        <f>IFERROR(__xludf.DUMMYFUNCTION("""COMPUTED_VALUE"""),4013574.0)</f>
        <v>4013574</v>
      </c>
    </row>
    <row r="1972">
      <c r="A1972" s="3">
        <f>IFERROR(__xludf.DUMMYFUNCTION("""COMPUTED_VALUE"""),43216.66666666667)</f>
        <v>43216.66667</v>
      </c>
      <c r="B1972" s="2">
        <f>IFERROR(__xludf.DUMMYFUNCTION("""COMPUTED_VALUE"""),18.58)</f>
        <v>18.58</v>
      </c>
      <c r="C1972" s="2">
        <f>IFERROR(__xludf.DUMMYFUNCTION("""COMPUTED_VALUE"""),19.05)</f>
        <v>19.05</v>
      </c>
      <c r="D1972" s="2">
        <f>IFERROR(__xludf.DUMMYFUNCTION("""COMPUTED_VALUE"""),18.43)</f>
        <v>18.43</v>
      </c>
      <c r="E1972" s="2">
        <f>IFERROR(__xludf.DUMMYFUNCTION("""COMPUTED_VALUE"""),19.03)</f>
        <v>19.03</v>
      </c>
      <c r="F1972" s="2">
        <f>IFERROR(__xludf.DUMMYFUNCTION("""COMPUTED_VALUE"""),4356013.0)</f>
        <v>4356013</v>
      </c>
    </row>
    <row r="1973">
      <c r="A1973" s="3">
        <f>IFERROR(__xludf.DUMMYFUNCTION("""COMPUTED_VALUE"""),43217.66666666667)</f>
        <v>43217.66667</v>
      </c>
      <c r="B1973" s="2">
        <f>IFERROR(__xludf.DUMMYFUNCTION("""COMPUTED_VALUE"""),19.02)</f>
        <v>19.02</v>
      </c>
      <c r="C1973" s="2">
        <f>IFERROR(__xludf.DUMMYFUNCTION("""COMPUTED_VALUE"""),19.63)</f>
        <v>19.63</v>
      </c>
      <c r="D1973" s="2">
        <f>IFERROR(__xludf.DUMMYFUNCTION("""COMPUTED_VALUE"""),18.92)</f>
        <v>18.92</v>
      </c>
      <c r="E1973" s="2">
        <f>IFERROR(__xludf.DUMMYFUNCTION("""COMPUTED_VALUE"""),19.61)</f>
        <v>19.61</v>
      </c>
      <c r="F1973" s="2">
        <f>IFERROR(__xludf.DUMMYFUNCTION("""COMPUTED_VALUE"""),4364626.0)</f>
        <v>4364626</v>
      </c>
    </row>
    <row r="1974">
      <c r="A1974" s="3">
        <f>IFERROR(__xludf.DUMMYFUNCTION("""COMPUTED_VALUE"""),43220.66666666667)</f>
        <v>43220.66667</v>
      </c>
      <c r="B1974" s="2">
        <f>IFERROR(__xludf.DUMMYFUNCTION("""COMPUTED_VALUE"""),19.57)</f>
        <v>19.57</v>
      </c>
      <c r="C1974" s="2">
        <f>IFERROR(__xludf.DUMMYFUNCTION("""COMPUTED_VALUE"""),19.92)</f>
        <v>19.92</v>
      </c>
      <c r="D1974" s="2">
        <f>IFERROR(__xludf.DUMMYFUNCTION("""COMPUTED_VALUE"""),19.5)</f>
        <v>19.5</v>
      </c>
      <c r="E1974" s="2">
        <f>IFERROR(__xludf.DUMMYFUNCTION("""COMPUTED_VALUE"""),19.59)</f>
        <v>19.59</v>
      </c>
      <c r="F1974" s="2">
        <f>IFERROR(__xludf.DUMMYFUNCTION("""COMPUTED_VALUE"""),4228172.0)</f>
        <v>4228172</v>
      </c>
    </row>
    <row r="1975">
      <c r="A1975" s="3">
        <f>IFERROR(__xludf.DUMMYFUNCTION("""COMPUTED_VALUE"""),43221.66666666667)</f>
        <v>43221.66667</v>
      </c>
      <c r="B1975" s="2">
        <f>IFERROR(__xludf.DUMMYFUNCTION("""COMPUTED_VALUE"""),19.57)</f>
        <v>19.57</v>
      </c>
      <c r="C1975" s="2">
        <f>IFERROR(__xludf.DUMMYFUNCTION("""COMPUTED_VALUE"""),20.05)</f>
        <v>20.05</v>
      </c>
      <c r="D1975" s="2">
        <f>IFERROR(__xludf.DUMMYFUNCTION("""COMPUTED_VALUE"""),19.55)</f>
        <v>19.55</v>
      </c>
      <c r="E1975" s="2">
        <f>IFERROR(__xludf.DUMMYFUNCTION("""COMPUTED_VALUE"""),19.99)</f>
        <v>19.99</v>
      </c>
      <c r="F1975" s="2">
        <f>IFERROR(__xludf.DUMMYFUNCTION("""COMPUTED_VALUE"""),4625603.0)</f>
        <v>4625603</v>
      </c>
    </row>
    <row r="1976">
      <c r="A1976" s="3">
        <f>IFERROR(__xludf.DUMMYFUNCTION("""COMPUTED_VALUE"""),43222.66666666667)</f>
        <v>43222.66667</v>
      </c>
      <c r="B1976" s="2">
        <f>IFERROR(__xludf.DUMMYFUNCTION("""COMPUTED_VALUE"""),19.9)</f>
        <v>19.9</v>
      </c>
      <c r="C1976" s="2">
        <f>IFERROR(__xludf.DUMMYFUNCTION("""COMPUTED_VALUE"""),20.46)</f>
        <v>20.46</v>
      </c>
      <c r="D1976" s="2">
        <f>IFERROR(__xludf.DUMMYFUNCTION("""COMPUTED_VALUE"""),19.85)</f>
        <v>19.85</v>
      </c>
      <c r="E1976" s="2">
        <f>IFERROR(__xludf.DUMMYFUNCTION("""COMPUTED_VALUE"""),20.08)</f>
        <v>20.08</v>
      </c>
      <c r="F1976" s="2">
        <f>IFERROR(__xludf.DUMMYFUNCTION("""COMPUTED_VALUE"""),8970370.0)</f>
        <v>8970370</v>
      </c>
    </row>
    <row r="1977">
      <c r="A1977" s="3">
        <f>IFERROR(__xludf.DUMMYFUNCTION("""COMPUTED_VALUE"""),43223.66666666667)</f>
        <v>43223.66667</v>
      </c>
      <c r="B1977" s="2">
        <f>IFERROR(__xludf.DUMMYFUNCTION("""COMPUTED_VALUE"""),18.59)</f>
        <v>18.59</v>
      </c>
      <c r="C1977" s="2">
        <f>IFERROR(__xludf.DUMMYFUNCTION("""COMPUTED_VALUE"""),19.2)</f>
        <v>19.2</v>
      </c>
      <c r="D1977" s="2">
        <f>IFERROR(__xludf.DUMMYFUNCTION("""COMPUTED_VALUE"""),18.35)</f>
        <v>18.35</v>
      </c>
      <c r="E1977" s="2">
        <f>IFERROR(__xludf.DUMMYFUNCTION("""COMPUTED_VALUE"""),18.96)</f>
        <v>18.96</v>
      </c>
      <c r="F1977" s="2">
        <f>IFERROR(__xludf.DUMMYFUNCTION("""COMPUTED_VALUE"""),1.735213E7)</f>
        <v>17352130</v>
      </c>
    </row>
    <row r="1978">
      <c r="A1978" s="3">
        <f>IFERROR(__xludf.DUMMYFUNCTION("""COMPUTED_VALUE"""),43224.66666666667)</f>
        <v>43224.66667</v>
      </c>
      <c r="B1978" s="2">
        <f>IFERROR(__xludf.DUMMYFUNCTION("""COMPUTED_VALUE"""),18.87)</f>
        <v>18.87</v>
      </c>
      <c r="C1978" s="2">
        <f>IFERROR(__xludf.DUMMYFUNCTION("""COMPUTED_VALUE"""),19.79)</f>
        <v>19.79</v>
      </c>
      <c r="D1978" s="2">
        <f>IFERROR(__xludf.DUMMYFUNCTION("""COMPUTED_VALUE"""),18.63)</f>
        <v>18.63</v>
      </c>
      <c r="E1978" s="2">
        <f>IFERROR(__xludf.DUMMYFUNCTION("""COMPUTED_VALUE"""),19.61)</f>
        <v>19.61</v>
      </c>
      <c r="F1978" s="2">
        <f>IFERROR(__xludf.DUMMYFUNCTION("""COMPUTED_VALUE"""),8569354.0)</f>
        <v>8569354</v>
      </c>
    </row>
    <row r="1979">
      <c r="A1979" s="3">
        <f>IFERROR(__xludf.DUMMYFUNCTION("""COMPUTED_VALUE"""),43227.66666666667)</f>
        <v>43227.66667</v>
      </c>
      <c r="B1979" s="2">
        <f>IFERROR(__xludf.DUMMYFUNCTION("""COMPUTED_VALUE"""),19.83)</f>
        <v>19.83</v>
      </c>
      <c r="C1979" s="2">
        <f>IFERROR(__xludf.DUMMYFUNCTION("""COMPUTED_VALUE"""),20.4)</f>
        <v>20.4</v>
      </c>
      <c r="D1979" s="2">
        <f>IFERROR(__xludf.DUMMYFUNCTION("""COMPUTED_VALUE"""),19.68)</f>
        <v>19.68</v>
      </c>
      <c r="E1979" s="2">
        <f>IFERROR(__xludf.DUMMYFUNCTION("""COMPUTED_VALUE"""),20.18)</f>
        <v>20.18</v>
      </c>
      <c r="F1979" s="2">
        <f>IFERROR(__xludf.DUMMYFUNCTION("""COMPUTED_VALUE"""),8678224.0)</f>
        <v>8678224</v>
      </c>
    </row>
    <row r="1980">
      <c r="A1980" s="3">
        <f>IFERROR(__xludf.DUMMYFUNCTION("""COMPUTED_VALUE"""),43228.66666666667)</f>
        <v>43228.66667</v>
      </c>
      <c r="B1980" s="2">
        <f>IFERROR(__xludf.DUMMYFUNCTION("""COMPUTED_VALUE"""),20.05)</f>
        <v>20.05</v>
      </c>
      <c r="C1980" s="2">
        <f>IFERROR(__xludf.DUMMYFUNCTION("""COMPUTED_VALUE"""),20.52)</f>
        <v>20.52</v>
      </c>
      <c r="D1980" s="2">
        <f>IFERROR(__xludf.DUMMYFUNCTION("""COMPUTED_VALUE"""),19.93)</f>
        <v>19.93</v>
      </c>
      <c r="E1980" s="2">
        <f>IFERROR(__xludf.DUMMYFUNCTION("""COMPUTED_VALUE"""),20.13)</f>
        <v>20.13</v>
      </c>
      <c r="F1980" s="2">
        <f>IFERROR(__xludf.DUMMYFUNCTION("""COMPUTED_VALUE"""),5930000.0)</f>
        <v>5930000</v>
      </c>
    </row>
    <row r="1981">
      <c r="A1981" s="3">
        <f>IFERROR(__xludf.DUMMYFUNCTION("""COMPUTED_VALUE"""),43229.66666666667)</f>
        <v>43229.66667</v>
      </c>
      <c r="B1981" s="2">
        <f>IFERROR(__xludf.DUMMYFUNCTION("""COMPUTED_VALUE"""),20.03)</f>
        <v>20.03</v>
      </c>
      <c r="C1981" s="2">
        <f>IFERROR(__xludf.DUMMYFUNCTION("""COMPUTED_VALUE"""),20.47)</f>
        <v>20.47</v>
      </c>
      <c r="D1981" s="2">
        <f>IFERROR(__xludf.DUMMYFUNCTION("""COMPUTED_VALUE"""),20.0)</f>
        <v>20</v>
      </c>
      <c r="E1981" s="2">
        <f>IFERROR(__xludf.DUMMYFUNCTION("""COMPUTED_VALUE"""),20.46)</f>
        <v>20.46</v>
      </c>
      <c r="F1981" s="2">
        <f>IFERROR(__xludf.DUMMYFUNCTION("""COMPUTED_VALUE"""),5727365.0)</f>
        <v>5727365</v>
      </c>
    </row>
    <row r="1982">
      <c r="A1982" s="3">
        <f>IFERROR(__xludf.DUMMYFUNCTION("""COMPUTED_VALUE"""),43230.66666666667)</f>
        <v>43230.66667</v>
      </c>
      <c r="B1982" s="2">
        <f>IFERROR(__xludf.DUMMYFUNCTION("""COMPUTED_VALUE"""),20.5)</f>
        <v>20.5</v>
      </c>
      <c r="C1982" s="2">
        <f>IFERROR(__xludf.DUMMYFUNCTION("""COMPUTED_VALUE"""),20.87)</f>
        <v>20.87</v>
      </c>
      <c r="D1982" s="2">
        <f>IFERROR(__xludf.DUMMYFUNCTION("""COMPUTED_VALUE"""),20.27)</f>
        <v>20.27</v>
      </c>
      <c r="E1982" s="2">
        <f>IFERROR(__xludf.DUMMYFUNCTION("""COMPUTED_VALUE"""),20.33)</f>
        <v>20.33</v>
      </c>
      <c r="F1982" s="2">
        <f>IFERROR(__xludf.DUMMYFUNCTION("""COMPUTED_VALUE"""),5651561.0)</f>
        <v>5651561</v>
      </c>
    </row>
    <row r="1983">
      <c r="A1983" s="3">
        <f>IFERROR(__xludf.DUMMYFUNCTION("""COMPUTED_VALUE"""),43231.66666666667)</f>
        <v>43231.66667</v>
      </c>
      <c r="B1983" s="2">
        <f>IFERROR(__xludf.DUMMYFUNCTION("""COMPUTED_VALUE"""),20.51)</f>
        <v>20.51</v>
      </c>
      <c r="C1983" s="2">
        <f>IFERROR(__xludf.DUMMYFUNCTION("""COMPUTED_VALUE"""),20.59)</f>
        <v>20.59</v>
      </c>
      <c r="D1983" s="2">
        <f>IFERROR(__xludf.DUMMYFUNCTION("""COMPUTED_VALUE"""),19.94)</f>
        <v>19.94</v>
      </c>
      <c r="E1983" s="2">
        <f>IFERROR(__xludf.DUMMYFUNCTION("""COMPUTED_VALUE"""),20.07)</f>
        <v>20.07</v>
      </c>
      <c r="F1983" s="2">
        <f>IFERROR(__xludf.DUMMYFUNCTION("""COMPUTED_VALUE"""),4679649.0)</f>
        <v>4679649</v>
      </c>
    </row>
    <row r="1984">
      <c r="A1984" s="3">
        <f>IFERROR(__xludf.DUMMYFUNCTION("""COMPUTED_VALUE"""),43234.66666666667)</f>
        <v>43234.66667</v>
      </c>
      <c r="B1984" s="2">
        <f>IFERROR(__xludf.DUMMYFUNCTION("""COMPUTED_VALUE"""),20.22)</f>
        <v>20.22</v>
      </c>
      <c r="C1984" s="2">
        <f>IFERROR(__xludf.DUMMYFUNCTION("""COMPUTED_VALUE"""),20.33)</f>
        <v>20.33</v>
      </c>
      <c r="D1984" s="2">
        <f>IFERROR(__xludf.DUMMYFUNCTION("""COMPUTED_VALUE"""),19.44)</f>
        <v>19.44</v>
      </c>
      <c r="E1984" s="2">
        <f>IFERROR(__xludf.DUMMYFUNCTION("""COMPUTED_VALUE"""),19.46)</f>
        <v>19.46</v>
      </c>
      <c r="F1984" s="2">
        <f>IFERROR(__xludf.DUMMYFUNCTION("""COMPUTED_VALUE"""),7286804.0)</f>
        <v>7286804</v>
      </c>
    </row>
    <row r="1985">
      <c r="A1985" s="3">
        <f>IFERROR(__xludf.DUMMYFUNCTION("""COMPUTED_VALUE"""),43235.66666666667)</f>
        <v>43235.66667</v>
      </c>
      <c r="B1985" s="2">
        <f>IFERROR(__xludf.DUMMYFUNCTION("""COMPUTED_VALUE"""),19.0)</f>
        <v>19</v>
      </c>
      <c r="C1985" s="2">
        <f>IFERROR(__xludf.DUMMYFUNCTION("""COMPUTED_VALUE"""),19.13)</f>
        <v>19.13</v>
      </c>
      <c r="D1985" s="2">
        <f>IFERROR(__xludf.DUMMYFUNCTION("""COMPUTED_VALUE"""),18.7)</f>
        <v>18.7</v>
      </c>
      <c r="E1985" s="2">
        <f>IFERROR(__xludf.DUMMYFUNCTION("""COMPUTED_VALUE"""),18.95)</f>
        <v>18.95</v>
      </c>
      <c r="F1985" s="2">
        <f>IFERROR(__xludf.DUMMYFUNCTION("""COMPUTED_VALUE"""),9519173.0)</f>
        <v>9519173</v>
      </c>
    </row>
    <row r="1986">
      <c r="A1986" s="3">
        <f>IFERROR(__xludf.DUMMYFUNCTION("""COMPUTED_VALUE"""),43236.66666666667)</f>
        <v>43236.66667</v>
      </c>
      <c r="B1986" s="2">
        <f>IFERROR(__xludf.DUMMYFUNCTION("""COMPUTED_VALUE"""),18.92)</f>
        <v>18.92</v>
      </c>
      <c r="C1986" s="2">
        <f>IFERROR(__xludf.DUMMYFUNCTION("""COMPUTED_VALUE"""),19.25)</f>
        <v>19.25</v>
      </c>
      <c r="D1986" s="2">
        <f>IFERROR(__xludf.DUMMYFUNCTION("""COMPUTED_VALUE"""),18.77)</f>
        <v>18.77</v>
      </c>
      <c r="E1986" s="2">
        <f>IFERROR(__xludf.DUMMYFUNCTION("""COMPUTED_VALUE"""),19.1)</f>
        <v>19.1</v>
      </c>
      <c r="F1986" s="2">
        <f>IFERROR(__xludf.DUMMYFUNCTION("""COMPUTED_VALUE"""),5674019.0)</f>
        <v>5674019</v>
      </c>
    </row>
    <row r="1987">
      <c r="A1987" s="3">
        <f>IFERROR(__xludf.DUMMYFUNCTION("""COMPUTED_VALUE"""),43237.66666666667)</f>
        <v>43237.66667</v>
      </c>
      <c r="B1987" s="2">
        <f>IFERROR(__xludf.DUMMYFUNCTION("""COMPUTED_VALUE"""),19.06)</f>
        <v>19.06</v>
      </c>
      <c r="C1987" s="2">
        <f>IFERROR(__xludf.DUMMYFUNCTION("""COMPUTED_VALUE"""),19.28)</f>
        <v>19.28</v>
      </c>
      <c r="D1987" s="2">
        <f>IFERROR(__xludf.DUMMYFUNCTION("""COMPUTED_VALUE"""),18.93)</f>
        <v>18.93</v>
      </c>
      <c r="E1987" s="2">
        <f>IFERROR(__xludf.DUMMYFUNCTION("""COMPUTED_VALUE"""),18.97)</f>
        <v>18.97</v>
      </c>
      <c r="F1987" s="2">
        <f>IFERROR(__xludf.DUMMYFUNCTION("""COMPUTED_VALUE"""),4420612.0)</f>
        <v>4420612</v>
      </c>
    </row>
    <row r="1988">
      <c r="A1988" s="3">
        <f>IFERROR(__xludf.DUMMYFUNCTION("""COMPUTED_VALUE"""),43238.66666666667)</f>
        <v>43238.66667</v>
      </c>
      <c r="B1988" s="2">
        <f>IFERROR(__xludf.DUMMYFUNCTION("""COMPUTED_VALUE"""),19.06)</f>
        <v>19.06</v>
      </c>
      <c r="C1988" s="2">
        <f>IFERROR(__xludf.DUMMYFUNCTION("""COMPUTED_VALUE"""),19.28)</f>
        <v>19.28</v>
      </c>
      <c r="D1988" s="2">
        <f>IFERROR(__xludf.DUMMYFUNCTION("""COMPUTED_VALUE"""),18.93)</f>
        <v>18.93</v>
      </c>
      <c r="E1988" s="2">
        <f>IFERROR(__xludf.DUMMYFUNCTION("""COMPUTED_VALUE"""),18.97)</f>
        <v>18.97</v>
      </c>
      <c r="F1988" s="2">
        <f>IFERROR(__xludf.DUMMYFUNCTION("""COMPUTED_VALUE"""),27062.0)</f>
        <v>27062</v>
      </c>
    </row>
    <row r="1989">
      <c r="A1989" s="3">
        <f>IFERROR(__xludf.DUMMYFUNCTION("""COMPUTED_VALUE"""),43241.66666666667)</f>
        <v>43241.66667</v>
      </c>
      <c r="B1989" s="2">
        <f>IFERROR(__xludf.DUMMYFUNCTION("""COMPUTED_VALUE"""),18.76)</f>
        <v>18.76</v>
      </c>
      <c r="C1989" s="2">
        <f>IFERROR(__xludf.DUMMYFUNCTION("""COMPUTED_VALUE"""),19.43)</f>
        <v>19.43</v>
      </c>
      <c r="D1989" s="2">
        <f>IFERROR(__xludf.DUMMYFUNCTION("""COMPUTED_VALUE"""),18.75)</f>
        <v>18.75</v>
      </c>
      <c r="E1989" s="2">
        <f>IFERROR(__xludf.DUMMYFUNCTION("""COMPUTED_VALUE"""),18.97)</f>
        <v>18.97</v>
      </c>
      <c r="F1989" s="2">
        <f>IFERROR(__xludf.DUMMYFUNCTION("""COMPUTED_VALUE"""),9182571.0)</f>
        <v>9182571</v>
      </c>
    </row>
    <row r="1990">
      <c r="A1990" s="3">
        <f>IFERROR(__xludf.DUMMYFUNCTION("""COMPUTED_VALUE"""),43242.66666666667)</f>
        <v>43242.66667</v>
      </c>
      <c r="B1990" s="2">
        <f>IFERROR(__xludf.DUMMYFUNCTION("""COMPUTED_VALUE"""),19.18)</f>
        <v>19.18</v>
      </c>
      <c r="C1990" s="2">
        <f>IFERROR(__xludf.DUMMYFUNCTION("""COMPUTED_VALUE"""),19.2)</f>
        <v>19.2</v>
      </c>
      <c r="D1990" s="2">
        <f>IFERROR(__xludf.DUMMYFUNCTION("""COMPUTED_VALUE"""),18.23)</f>
        <v>18.23</v>
      </c>
      <c r="E1990" s="2">
        <f>IFERROR(__xludf.DUMMYFUNCTION("""COMPUTED_VALUE"""),18.33)</f>
        <v>18.33</v>
      </c>
      <c r="F1990" s="2">
        <f>IFERROR(__xludf.DUMMYFUNCTION("""COMPUTED_VALUE"""),8945756.0)</f>
        <v>8945756</v>
      </c>
    </row>
    <row r="1991">
      <c r="A1991" s="3">
        <f>IFERROR(__xludf.DUMMYFUNCTION("""COMPUTED_VALUE"""),43243.66666666667)</f>
        <v>43243.66667</v>
      </c>
      <c r="B1991" s="2">
        <f>IFERROR(__xludf.DUMMYFUNCTION("""COMPUTED_VALUE"""),18.52)</f>
        <v>18.52</v>
      </c>
      <c r="C1991" s="2">
        <f>IFERROR(__xludf.DUMMYFUNCTION("""COMPUTED_VALUE"""),18.66)</f>
        <v>18.66</v>
      </c>
      <c r="D1991" s="2">
        <f>IFERROR(__xludf.DUMMYFUNCTION("""COMPUTED_VALUE"""),18.27)</f>
        <v>18.27</v>
      </c>
      <c r="E1991" s="2">
        <f>IFERROR(__xludf.DUMMYFUNCTION("""COMPUTED_VALUE"""),18.6)</f>
        <v>18.6</v>
      </c>
      <c r="F1991" s="2">
        <f>IFERROR(__xludf.DUMMYFUNCTION("""COMPUTED_VALUE"""),5985053.0)</f>
        <v>5985053</v>
      </c>
    </row>
    <row r="1992">
      <c r="A1992" s="3">
        <f>IFERROR(__xludf.DUMMYFUNCTION("""COMPUTED_VALUE"""),43244.66666666667)</f>
        <v>43244.66667</v>
      </c>
      <c r="B1992" s="2">
        <f>IFERROR(__xludf.DUMMYFUNCTION("""COMPUTED_VALUE"""),18.56)</f>
        <v>18.56</v>
      </c>
      <c r="C1992" s="2">
        <f>IFERROR(__xludf.DUMMYFUNCTION("""COMPUTED_VALUE"""),18.74)</f>
        <v>18.74</v>
      </c>
      <c r="D1992" s="2">
        <f>IFERROR(__xludf.DUMMYFUNCTION("""COMPUTED_VALUE"""),18.33)</f>
        <v>18.33</v>
      </c>
      <c r="E1992" s="2">
        <f>IFERROR(__xludf.DUMMYFUNCTION("""COMPUTED_VALUE"""),18.52)</f>
        <v>18.52</v>
      </c>
      <c r="F1992" s="2">
        <f>IFERROR(__xludf.DUMMYFUNCTION("""COMPUTED_VALUE"""),4176708.0)</f>
        <v>4176708</v>
      </c>
    </row>
    <row r="1993">
      <c r="A1993" s="3">
        <f>IFERROR(__xludf.DUMMYFUNCTION("""COMPUTED_VALUE"""),43245.66666666667)</f>
        <v>43245.66667</v>
      </c>
      <c r="B1993" s="2">
        <f>IFERROR(__xludf.DUMMYFUNCTION("""COMPUTED_VALUE"""),18.51)</f>
        <v>18.51</v>
      </c>
      <c r="C1993" s="2">
        <f>IFERROR(__xludf.DUMMYFUNCTION("""COMPUTED_VALUE"""),18.64)</f>
        <v>18.64</v>
      </c>
      <c r="D1993" s="2">
        <f>IFERROR(__xludf.DUMMYFUNCTION("""COMPUTED_VALUE"""),18.37)</f>
        <v>18.37</v>
      </c>
      <c r="E1993" s="2">
        <f>IFERROR(__xludf.DUMMYFUNCTION("""COMPUTED_VALUE"""),18.59)</f>
        <v>18.59</v>
      </c>
      <c r="F1993" s="2">
        <f>IFERROR(__xludf.DUMMYFUNCTION("""COMPUTED_VALUE"""),3875082.0)</f>
        <v>3875082</v>
      </c>
    </row>
    <row r="1994">
      <c r="A1994" s="3">
        <f>IFERROR(__xludf.DUMMYFUNCTION("""COMPUTED_VALUE"""),43249.66666666667)</f>
        <v>43249.66667</v>
      </c>
      <c r="B1994" s="2">
        <f>IFERROR(__xludf.DUMMYFUNCTION("""COMPUTED_VALUE"""),18.57)</f>
        <v>18.57</v>
      </c>
      <c r="C1994" s="2">
        <f>IFERROR(__xludf.DUMMYFUNCTION("""COMPUTED_VALUE"""),19.1)</f>
        <v>19.1</v>
      </c>
      <c r="D1994" s="2">
        <f>IFERROR(__xludf.DUMMYFUNCTION("""COMPUTED_VALUE"""),18.41)</f>
        <v>18.41</v>
      </c>
      <c r="E1994" s="2">
        <f>IFERROR(__xludf.DUMMYFUNCTION("""COMPUTED_VALUE"""),18.92)</f>
        <v>18.92</v>
      </c>
      <c r="F1994" s="2">
        <f>IFERROR(__xludf.DUMMYFUNCTION("""COMPUTED_VALUE"""),5666640.0)</f>
        <v>5666640</v>
      </c>
    </row>
    <row r="1995">
      <c r="A1995" s="3">
        <f>IFERROR(__xludf.DUMMYFUNCTION("""COMPUTED_VALUE"""),43250.66666666667)</f>
        <v>43250.66667</v>
      </c>
      <c r="B1995" s="2">
        <f>IFERROR(__xludf.DUMMYFUNCTION("""COMPUTED_VALUE"""),18.89)</f>
        <v>18.89</v>
      </c>
      <c r="C1995" s="2">
        <f>IFERROR(__xludf.DUMMYFUNCTION("""COMPUTED_VALUE"""),19.67)</f>
        <v>19.67</v>
      </c>
      <c r="D1995" s="2">
        <f>IFERROR(__xludf.DUMMYFUNCTION("""COMPUTED_VALUE"""),18.77)</f>
        <v>18.77</v>
      </c>
      <c r="E1995" s="2">
        <f>IFERROR(__xludf.DUMMYFUNCTION("""COMPUTED_VALUE"""),19.45)</f>
        <v>19.45</v>
      </c>
      <c r="F1995" s="2">
        <f>IFERROR(__xludf.DUMMYFUNCTION("""COMPUTED_VALUE"""),7489686.0)</f>
        <v>7489686</v>
      </c>
    </row>
    <row r="1996">
      <c r="A1996" s="3">
        <f>IFERROR(__xludf.DUMMYFUNCTION("""COMPUTED_VALUE"""),43251.66666666667)</f>
        <v>43251.66667</v>
      </c>
      <c r="B1996" s="2">
        <f>IFERROR(__xludf.DUMMYFUNCTION("""COMPUTED_VALUE"""),19.15)</f>
        <v>19.15</v>
      </c>
      <c r="C1996" s="2">
        <f>IFERROR(__xludf.DUMMYFUNCTION("""COMPUTED_VALUE"""),19.36)</f>
        <v>19.36</v>
      </c>
      <c r="D1996" s="2">
        <f>IFERROR(__xludf.DUMMYFUNCTION("""COMPUTED_VALUE"""),18.86)</f>
        <v>18.86</v>
      </c>
      <c r="E1996" s="2">
        <f>IFERROR(__xludf.DUMMYFUNCTION("""COMPUTED_VALUE"""),18.98)</f>
        <v>18.98</v>
      </c>
      <c r="F1996" s="2">
        <f>IFERROR(__xludf.DUMMYFUNCTION("""COMPUTED_VALUE"""),5919721.0)</f>
        <v>5919721</v>
      </c>
    </row>
    <row r="1997">
      <c r="A1997" s="3">
        <f>IFERROR(__xludf.DUMMYFUNCTION("""COMPUTED_VALUE"""),43252.66666666667)</f>
        <v>43252.66667</v>
      </c>
      <c r="B1997" s="2">
        <f>IFERROR(__xludf.DUMMYFUNCTION("""COMPUTED_VALUE"""),19.06)</f>
        <v>19.06</v>
      </c>
      <c r="C1997" s="2">
        <f>IFERROR(__xludf.DUMMYFUNCTION("""COMPUTED_VALUE"""),19.46)</f>
        <v>19.46</v>
      </c>
      <c r="D1997" s="2">
        <f>IFERROR(__xludf.DUMMYFUNCTION("""COMPUTED_VALUE"""),18.92)</f>
        <v>18.92</v>
      </c>
      <c r="E1997" s="2">
        <f>IFERROR(__xludf.DUMMYFUNCTION("""COMPUTED_VALUE"""),19.45)</f>
        <v>19.45</v>
      </c>
      <c r="F1997" s="2">
        <f>IFERROR(__xludf.DUMMYFUNCTION("""COMPUTED_VALUE"""),5424386.0)</f>
        <v>5424386</v>
      </c>
    </row>
    <row r="1998">
      <c r="A1998" s="3">
        <f>IFERROR(__xludf.DUMMYFUNCTION("""COMPUTED_VALUE"""),43255.66666666667)</f>
        <v>43255.66667</v>
      </c>
      <c r="B1998" s="2">
        <f>IFERROR(__xludf.DUMMYFUNCTION("""COMPUTED_VALUE"""),19.62)</f>
        <v>19.62</v>
      </c>
      <c r="C1998" s="2">
        <f>IFERROR(__xludf.DUMMYFUNCTION("""COMPUTED_VALUE"""),19.93)</f>
        <v>19.93</v>
      </c>
      <c r="D1998" s="2">
        <f>IFERROR(__xludf.DUMMYFUNCTION("""COMPUTED_VALUE"""),19.57)</f>
        <v>19.57</v>
      </c>
      <c r="E1998" s="2">
        <f>IFERROR(__xludf.DUMMYFUNCTION("""COMPUTED_VALUE"""),19.78)</f>
        <v>19.78</v>
      </c>
      <c r="F1998" s="2">
        <f>IFERROR(__xludf.DUMMYFUNCTION("""COMPUTED_VALUE"""),4797810.0)</f>
        <v>4797810</v>
      </c>
    </row>
    <row r="1999">
      <c r="A1999" s="3">
        <f>IFERROR(__xludf.DUMMYFUNCTION("""COMPUTED_VALUE"""),43256.66666666667)</f>
        <v>43256.66667</v>
      </c>
      <c r="B1999" s="2">
        <f>IFERROR(__xludf.DUMMYFUNCTION("""COMPUTED_VALUE"""),19.85)</f>
        <v>19.85</v>
      </c>
      <c r="C1999" s="2">
        <f>IFERROR(__xludf.DUMMYFUNCTION("""COMPUTED_VALUE"""),19.85)</f>
        <v>19.85</v>
      </c>
      <c r="D1999" s="2">
        <f>IFERROR(__xludf.DUMMYFUNCTION("""COMPUTED_VALUE"""),19.12)</f>
        <v>19.12</v>
      </c>
      <c r="E1999" s="2">
        <f>IFERROR(__xludf.DUMMYFUNCTION("""COMPUTED_VALUE"""),19.41)</f>
        <v>19.41</v>
      </c>
      <c r="F1999" s="2">
        <f>IFERROR(__xludf.DUMMYFUNCTION("""COMPUTED_VALUE"""),5995157.0)</f>
        <v>5995157</v>
      </c>
    </row>
    <row r="2000">
      <c r="A2000" s="3">
        <f>IFERROR(__xludf.DUMMYFUNCTION("""COMPUTED_VALUE"""),43257.66666666667)</f>
        <v>43257.66667</v>
      </c>
      <c r="B2000" s="2">
        <f>IFERROR(__xludf.DUMMYFUNCTION("""COMPUTED_VALUE"""),20.03)</f>
        <v>20.03</v>
      </c>
      <c r="C2000" s="2">
        <f>IFERROR(__xludf.DUMMYFUNCTION("""COMPUTED_VALUE"""),21.48)</f>
        <v>21.48</v>
      </c>
      <c r="D2000" s="2">
        <f>IFERROR(__xludf.DUMMYFUNCTION("""COMPUTED_VALUE"""),19.83)</f>
        <v>19.83</v>
      </c>
      <c r="E2000" s="2">
        <f>IFERROR(__xludf.DUMMYFUNCTION("""COMPUTED_VALUE"""),21.3)</f>
        <v>21.3</v>
      </c>
      <c r="F2000" s="2">
        <f>IFERROR(__xludf.DUMMYFUNCTION("""COMPUTED_VALUE"""),1.8767269E7)</f>
        <v>18767269</v>
      </c>
    </row>
    <row r="2001">
      <c r="A2001" s="3">
        <f>IFERROR(__xludf.DUMMYFUNCTION("""COMPUTED_VALUE"""),43258.66666666667)</f>
        <v>43258.66667</v>
      </c>
      <c r="B2001" s="2">
        <f>IFERROR(__xludf.DUMMYFUNCTION("""COMPUTED_VALUE"""),21.08)</f>
        <v>21.08</v>
      </c>
      <c r="C2001" s="2">
        <f>IFERROR(__xludf.DUMMYFUNCTION("""COMPUTED_VALUE"""),22.0)</f>
        <v>22</v>
      </c>
      <c r="D2001" s="2">
        <f>IFERROR(__xludf.DUMMYFUNCTION("""COMPUTED_VALUE"""),20.91)</f>
        <v>20.91</v>
      </c>
      <c r="E2001" s="2">
        <f>IFERROR(__xludf.DUMMYFUNCTION("""COMPUTED_VALUE"""),21.07)</f>
        <v>21.07</v>
      </c>
      <c r="F2001" s="2">
        <f>IFERROR(__xludf.DUMMYFUNCTION("""COMPUTED_VALUE"""),1.4345271E7)</f>
        <v>14345271</v>
      </c>
    </row>
    <row r="2002">
      <c r="A2002" s="3">
        <f>IFERROR(__xludf.DUMMYFUNCTION("""COMPUTED_VALUE"""),43259.66666666667)</f>
        <v>43259.66667</v>
      </c>
      <c r="B2002" s="2">
        <f>IFERROR(__xludf.DUMMYFUNCTION("""COMPUTED_VALUE"""),21.27)</f>
        <v>21.27</v>
      </c>
      <c r="C2002" s="2">
        <f>IFERROR(__xludf.DUMMYFUNCTION("""COMPUTED_VALUE"""),21.63)</f>
        <v>21.63</v>
      </c>
      <c r="D2002" s="2">
        <f>IFERROR(__xludf.DUMMYFUNCTION("""COMPUTED_VALUE"""),21.14)</f>
        <v>21.14</v>
      </c>
      <c r="E2002" s="2">
        <f>IFERROR(__xludf.DUMMYFUNCTION("""COMPUTED_VALUE"""),21.18)</f>
        <v>21.18</v>
      </c>
      <c r="F2002" s="2">
        <f>IFERROR(__xludf.DUMMYFUNCTION("""COMPUTED_VALUE"""),8205202.0)</f>
        <v>8205202</v>
      </c>
    </row>
    <row r="2003">
      <c r="A2003" s="3">
        <f>IFERROR(__xludf.DUMMYFUNCTION("""COMPUTED_VALUE"""),43262.66666666667)</f>
        <v>43262.66667</v>
      </c>
      <c r="B2003" s="2">
        <f>IFERROR(__xludf.DUMMYFUNCTION("""COMPUTED_VALUE"""),21.5)</f>
        <v>21.5</v>
      </c>
      <c r="C2003" s="2">
        <f>IFERROR(__xludf.DUMMYFUNCTION("""COMPUTED_VALUE"""),22.31)</f>
        <v>22.31</v>
      </c>
      <c r="D2003" s="2">
        <f>IFERROR(__xludf.DUMMYFUNCTION("""COMPUTED_VALUE"""),21.5)</f>
        <v>21.5</v>
      </c>
      <c r="E2003" s="2">
        <f>IFERROR(__xludf.DUMMYFUNCTION("""COMPUTED_VALUE"""),22.14)</f>
        <v>22.14</v>
      </c>
      <c r="F2003" s="2">
        <f>IFERROR(__xludf.DUMMYFUNCTION("""COMPUTED_VALUE"""),1.3183473E7)</f>
        <v>13183473</v>
      </c>
    </row>
    <row r="2004">
      <c r="A2004" s="3">
        <f>IFERROR(__xludf.DUMMYFUNCTION("""COMPUTED_VALUE"""),43263.66666666667)</f>
        <v>43263.66667</v>
      </c>
      <c r="B2004" s="2">
        <f>IFERROR(__xludf.DUMMYFUNCTION("""COMPUTED_VALUE"""),22.98)</f>
        <v>22.98</v>
      </c>
      <c r="C2004" s="2">
        <f>IFERROR(__xludf.DUMMYFUNCTION("""COMPUTED_VALUE"""),23.66)</f>
        <v>23.66</v>
      </c>
      <c r="D2004" s="2">
        <f>IFERROR(__xludf.DUMMYFUNCTION("""COMPUTED_VALUE"""),22.53)</f>
        <v>22.53</v>
      </c>
      <c r="E2004" s="2">
        <f>IFERROR(__xludf.DUMMYFUNCTION("""COMPUTED_VALUE"""),22.85)</f>
        <v>22.85</v>
      </c>
      <c r="F2004" s="2">
        <f>IFERROR(__xludf.DUMMYFUNCTION("""COMPUTED_VALUE"""),2.2347403E7)</f>
        <v>22347403</v>
      </c>
    </row>
    <row r="2005">
      <c r="A2005" s="3">
        <f>IFERROR(__xludf.DUMMYFUNCTION("""COMPUTED_VALUE"""),43264.66666666667)</f>
        <v>43264.66667</v>
      </c>
      <c r="B2005" s="2">
        <f>IFERROR(__xludf.DUMMYFUNCTION("""COMPUTED_VALUE"""),23.11)</f>
        <v>23.11</v>
      </c>
      <c r="C2005" s="2">
        <f>IFERROR(__xludf.DUMMYFUNCTION("""COMPUTED_VALUE"""),23.15)</f>
        <v>23.15</v>
      </c>
      <c r="D2005" s="2">
        <f>IFERROR(__xludf.DUMMYFUNCTION("""COMPUTED_VALUE"""),22.65)</f>
        <v>22.65</v>
      </c>
      <c r="E2005" s="2">
        <f>IFERROR(__xludf.DUMMYFUNCTION("""COMPUTED_VALUE"""),22.99)</f>
        <v>22.99</v>
      </c>
      <c r="F2005" s="2">
        <f>IFERROR(__xludf.DUMMYFUNCTION("""COMPUTED_VALUE"""),9469804.0)</f>
        <v>9469804</v>
      </c>
    </row>
    <row r="2006">
      <c r="A2006" s="3">
        <f>IFERROR(__xludf.DUMMYFUNCTION("""COMPUTED_VALUE"""),43265.66666666667)</f>
        <v>43265.66667</v>
      </c>
      <c r="B2006" s="2">
        <f>IFERROR(__xludf.DUMMYFUNCTION("""COMPUTED_VALUE"""),23.18)</f>
        <v>23.18</v>
      </c>
      <c r="C2006" s="2">
        <f>IFERROR(__xludf.DUMMYFUNCTION("""COMPUTED_VALUE"""),23.92)</f>
        <v>23.92</v>
      </c>
      <c r="D2006" s="2">
        <f>IFERROR(__xludf.DUMMYFUNCTION("""COMPUTED_VALUE"""),23.11)</f>
        <v>23.11</v>
      </c>
      <c r="E2006" s="2">
        <f>IFERROR(__xludf.DUMMYFUNCTION("""COMPUTED_VALUE"""),23.85)</f>
        <v>23.85</v>
      </c>
      <c r="F2006" s="2">
        <f>IFERROR(__xludf.DUMMYFUNCTION("""COMPUTED_VALUE"""),1.0981023E7)</f>
        <v>10981023</v>
      </c>
    </row>
    <row r="2007">
      <c r="A2007" s="3">
        <f>IFERROR(__xludf.DUMMYFUNCTION("""COMPUTED_VALUE"""),43266.66666666667)</f>
        <v>43266.66667</v>
      </c>
      <c r="B2007" s="2">
        <f>IFERROR(__xludf.DUMMYFUNCTION("""COMPUTED_VALUE"""),23.59)</f>
        <v>23.59</v>
      </c>
      <c r="C2007" s="2">
        <f>IFERROR(__xludf.DUMMYFUNCTION("""COMPUTED_VALUE"""),24.31)</f>
        <v>24.31</v>
      </c>
      <c r="D2007" s="2">
        <f>IFERROR(__xludf.DUMMYFUNCTION("""COMPUTED_VALUE"""),23.42)</f>
        <v>23.42</v>
      </c>
      <c r="E2007" s="2">
        <f>IFERROR(__xludf.DUMMYFUNCTION("""COMPUTED_VALUE"""),23.88)</f>
        <v>23.88</v>
      </c>
      <c r="F2007" s="2">
        <f>IFERROR(__xludf.DUMMYFUNCTION("""COMPUTED_VALUE"""),1.0848254E7)</f>
        <v>10848254</v>
      </c>
    </row>
    <row r="2008">
      <c r="A2008" s="3">
        <f>IFERROR(__xludf.DUMMYFUNCTION("""COMPUTED_VALUE"""),43269.66666666667)</f>
        <v>43269.66667</v>
      </c>
      <c r="B2008" s="2">
        <f>IFERROR(__xludf.DUMMYFUNCTION("""COMPUTED_VALUE"""),23.69)</f>
        <v>23.69</v>
      </c>
      <c r="C2008" s="2">
        <f>IFERROR(__xludf.DUMMYFUNCTION("""COMPUTED_VALUE"""),24.92)</f>
        <v>24.92</v>
      </c>
      <c r="D2008" s="2">
        <f>IFERROR(__xludf.DUMMYFUNCTION("""COMPUTED_VALUE"""),23.63)</f>
        <v>23.63</v>
      </c>
      <c r="E2008" s="2">
        <f>IFERROR(__xludf.DUMMYFUNCTION("""COMPUTED_VALUE"""),24.72)</f>
        <v>24.72</v>
      </c>
      <c r="F2008" s="2">
        <f>IFERROR(__xludf.DUMMYFUNCTION("""COMPUTED_VALUE"""),1.2073226E7)</f>
        <v>12073226</v>
      </c>
    </row>
    <row r="2009">
      <c r="A2009" s="3">
        <f>IFERROR(__xludf.DUMMYFUNCTION("""COMPUTED_VALUE"""),43270.66666666667)</f>
        <v>43270.66667</v>
      </c>
      <c r="B2009" s="2">
        <f>IFERROR(__xludf.DUMMYFUNCTION("""COMPUTED_VALUE"""),24.34)</f>
        <v>24.34</v>
      </c>
      <c r="C2009" s="2">
        <f>IFERROR(__xludf.DUMMYFUNCTION("""COMPUTED_VALUE"""),24.67)</f>
        <v>24.67</v>
      </c>
      <c r="D2009" s="2">
        <f>IFERROR(__xludf.DUMMYFUNCTION("""COMPUTED_VALUE"""),23.08)</f>
        <v>23.08</v>
      </c>
      <c r="E2009" s="2">
        <f>IFERROR(__xludf.DUMMYFUNCTION("""COMPUTED_VALUE"""),23.5)</f>
        <v>23.5</v>
      </c>
      <c r="F2009" s="2">
        <f>IFERROR(__xludf.DUMMYFUNCTION("""COMPUTED_VALUE"""),1.2761903E7)</f>
        <v>12761903</v>
      </c>
    </row>
    <row r="2010">
      <c r="A2010" s="3">
        <f>IFERROR(__xludf.DUMMYFUNCTION("""COMPUTED_VALUE"""),43271.66666666667)</f>
        <v>43271.66667</v>
      </c>
      <c r="B2010" s="2">
        <f>IFERROR(__xludf.DUMMYFUNCTION("""COMPUTED_VALUE"""),23.87)</f>
        <v>23.87</v>
      </c>
      <c r="C2010" s="2">
        <f>IFERROR(__xludf.DUMMYFUNCTION("""COMPUTED_VALUE"""),24.29)</f>
        <v>24.29</v>
      </c>
      <c r="D2010" s="2">
        <f>IFERROR(__xludf.DUMMYFUNCTION("""COMPUTED_VALUE"""),23.47)</f>
        <v>23.47</v>
      </c>
      <c r="E2010" s="2">
        <f>IFERROR(__xludf.DUMMYFUNCTION("""COMPUTED_VALUE"""),24.15)</f>
        <v>24.15</v>
      </c>
      <c r="F2010" s="2">
        <f>IFERROR(__xludf.DUMMYFUNCTION("""COMPUTED_VALUE"""),8383656.0)</f>
        <v>8383656</v>
      </c>
    </row>
    <row r="2011">
      <c r="A2011" s="3">
        <f>IFERROR(__xludf.DUMMYFUNCTION("""COMPUTED_VALUE"""),43272.66666666667)</f>
        <v>43272.66667</v>
      </c>
      <c r="B2011" s="2">
        <f>IFERROR(__xludf.DUMMYFUNCTION("""COMPUTED_VALUE"""),24.13)</f>
        <v>24.13</v>
      </c>
      <c r="C2011" s="2">
        <f>IFERROR(__xludf.DUMMYFUNCTION("""COMPUTED_VALUE"""),24.41)</f>
        <v>24.41</v>
      </c>
      <c r="D2011" s="2">
        <f>IFERROR(__xludf.DUMMYFUNCTION("""COMPUTED_VALUE"""),23.08)</f>
        <v>23.08</v>
      </c>
      <c r="E2011" s="2">
        <f>IFERROR(__xludf.DUMMYFUNCTION("""COMPUTED_VALUE"""),23.17)</f>
        <v>23.17</v>
      </c>
      <c r="F2011" s="2">
        <f>IFERROR(__xludf.DUMMYFUNCTION("""COMPUTED_VALUE"""),7967145.0)</f>
        <v>7967145</v>
      </c>
    </row>
    <row r="2012">
      <c r="A2012" s="3">
        <f>IFERROR(__xludf.DUMMYFUNCTION("""COMPUTED_VALUE"""),43273.66666666667)</f>
        <v>43273.66667</v>
      </c>
      <c r="B2012" s="2">
        <f>IFERROR(__xludf.DUMMYFUNCTION("""COMPUTED_VALUE"""),23.44)</f>
        <v>23.44</v>
      </c>
      <c r="C2012" s="2">
        <f>IFERROR(__xludf.DUMMYFUNCTION("""COMPUTED_VALUE"""),23.48)</f>
        <v>23.48</v>
      </c>
      <c r="D2012" s="2">
        <f>IFERROR(__xludf.DUMMYFUNCTION("""COMPUTED_VALUE"""),22.13)</f>
        <v>22.13</v>
      </c>
      <c r="E2012" s="2">
        <f>IFERROR(__xludf.DUMMYFUNCTION("""COMPUTED_VALUE"""),22.24)</f>
        <v>22.24</v>
      </c>
      <c r="F2012" s="2">
        <f>IFERROR(__xludf.DUMMYFUNCTION("""COMPUTED_VALUE"""),1.0266059E7)</f>
        <v>10266059</v>
      </c>
    </row>
    <row r="2013">
      <c r="A2013" s="3">
        <f>IFERROR(__xludf.DUMMYFUNCTION("""COMPUTED_VALUE"""),43276.66666666667)</f>
        <v>43276.66667</v>
      </c>
      <c r="B2013" s="2">
        <f>IFERROR(__xludf.DUMMYFUNCTION("""COMPUTED_VALUE"""),22.01)</f>
        <v>22.01</v>
      </c>
      <c r="C2013" s="2">
        <f>IFERROR(__xludf.DUMMYFUNCTION("""COMPUTED_VALUE"""),22.56)</f>
        <v>22.56</v>
      </c>
      <c r="D2013" s="2">
        <f>IFERROR(__xludf.DUMMYFUNCTION("""COMPUTED_VALUE"""),21.83)</f>
        <v>21.83</v>
      </c>
      <c r="E2013" s="2">
        <f>IFERROR(__xludf.DUMMYFUNCTION("""COMPUTED_VALUE"""),22.2)</f>
        <v>22.2</v>
      </c>
      <c r="F2013" s="2">
        <f>IFERROR(__xludf.DUMMYFUNCTION("""COMPUTED_VALUE"""),6931304.0)</f>
        <v>6931304</v>
      </c>
    </row>
    <row r="2014">
      <c r="A2014" s="3">
        <f>IFERROR(__xludf.DUMMYFUNCTION("""COMPUTED_VALUE"""),43277.66666666667)</f>
        <v>43277.66667</v>
      </c>
      <c r="B2014" s="2">
        <f>IFERROR(__xludf.DUMMYFUNCTION("""COMPUTED_VALUE"""),22.4)</f>
        <v>22.4</v>
      </c>
      <c r="C2014" s="2">
        <f>IFERROR(__xludf.DUMMYFUNCTION("""COMPUTED_VALUE"""),22.9)</f>
        <v>22.9</v>
      </c>
      <c r="D2014" s="2">
        <f>IFERROR(__xludf.DUMMYFUNCTION("""COMPUTED_VALUE"""),21.72)</f>
        <v>21.72</v>
      </c>
      <c r="E2014" s="2">
        <f>IFERROR(__xludf.DUMMYFUNCTION("""COMPUTED_VALUE"""),22.8)</f>
        <v>22.8</v>
      </c>
      <c r="F2014" s="2">
        <f>IFERROR(__xludf.DUMMYFUNCTION("""COMPUTED_VALUE"""),7452487.0)</f>
        <v>7452487</v>
      </c>
    </row>
    <row r="2015">
      <c r="A2015" s="3">
        <f>IFERROR(__xludf.DUMMYFUNCTION("""COMPUTED_VALUE"""),43278.66666666667)</f>
        <v>43278.66667</v>
      </c>
      <c r="B2015" s="2">
        <f>IFERROR(__xludf.DUMMYFUNCTION("""COMPUTED_VALUE"""),23.0)</f>
        <v>23</v>
      </c>
      <c r="C2015" s="2">
        <f>IFERROR(__xludf.DUMMYFUNCTION("""COMPUTED_VALUE"""),23.39)</f>
        <v>23.39</v>
      </c>
      <c r="D2015" s="2">
        <f>IFERROR(__xludf.DUMMYFUNCTION("""COMPUTED_VALUE"""),22.63)</f>
        <v>22.63</v>
      </c>
      <c r="E2015" s="2">
        <f>IFERROR(__xludf.DUMMYFUNCTION("""COMPUTED_VALUE"""),22.97)</f>
        <v>22.97</v>
      </c>
      <c r="F2015" s="2">
        <f>IFERROR(__xludf.DUMMYFUNCTION("""COMPUTED_VALUE"""),8333727.0)</f>
        <v>8333727</v>
      </c>
    </row>
    <row r="2016">
      <c r="A2016" s="3">
        <f>IFERROR(__xludf.DUMMYFUNCTION("""COMPUTED_VALUE"""),43279.66666666667)</f>
        <v>43279.66667</v>
      </c>
      <c r="B2016" s="2">
        <f>IFERROR(__xludf.DUMMYFUNCTION("""COMPUTED_VALUE"""),23.24)</f>
        <v>23.24</v>
      </c>
      <c r="C2016" s="2">
        <f>IFERROR(__xludf.DUMMYFUNCTION("""COMPUTED_VALUE"""),23.8)</f>
        <v>23.8</v>
      </c>
      <c r="D2016" s="2">
        <f>IFERROR(__xludf.DUMMYFUNCTION("""COMPUTED_VALUE"""),23.07)</f>
        <v>23.07</v>
      </c>
      <c r="E2016" s="2">
        <f>IFERROR(__xludf.DUMMYFUNCTION("""COMPUTED_VALUE"""),23.33)</f>
        <v>23.33</v>
      </c>
      <c r="F2016" s="2">
        <f>IFERROR(__xludf.DUMMYFUNCTION("""COMPUTED_VALUE"""),8398005.0)</f>
        <v>8398005</v>
      </c>
    </row>
    <row r="2017">
      <c r="A2017" s="3">
        <f>IFERROR(__xludf.DUMMYFUNCTION("""COMPUTED_VALUE"""),43280.66666666667)</f>
        <v>43280.66667</v>
      </c>
      <c r="B2017" s="2">
        <f>IFERROR(__xludf.DUMMYFUNCTION("""COMPUTED_VALUE"""),23.56)</f>
        <v>23.56</v>
      </c>
      <c r="C2017" s="2">
        <f>IFERROR(__xludf.DUMMYFUNCTION("""COMPUTED_VALUE"""),23.59)</f>
        <v>23.59</v>
      </c>
      <c r="D2017" s="2">
        <f>IFERROR(__xludf.DUMMYFUNCTION("""COMPUTED_VALUE"""),22.83)</f>
        <v>22.83</v>
      </c>
      <c r="E2017" s="2">
        <f>IFERROR(__xludf.DUMMYFUNCTION("""COMPUTED_VALUE"""),22.86)</f>
        <v>22.86</v>
      </c>
      <c r="F2017" s="2">
        <f>IFERROR(__xludf.DUMMYFUNCTION("""COMPUTED_VALUE"""),6492396.0)</f>
        <v>6492396</v>
      </c>
    </row>
    <row r="2018">
      <c r="A2018" s="3">
        <f>IFERROR(__xludf.DUMMYFUNCTION("""COMPUTED_VALUE"""),43283.66666666667)</f>
        <v>43283.66667</v>
      </c>
      <c r="B2018" s="2">
        <f>IFERROR(__xludf.DUMMYFUNCTION("""COMPUTED_VALUE"""),24.0)</f>
        <v>24</v>
      </c>
      <c r="C2018" s="2">
        <f>IFERROR(__xludf.DUMMYFUNCTION("""COMPUTED_VALUE"""),24.32)</f>
        <v>24.32</v>
      </c>
      <c r="D2018" s="2">
        <f>IFERROR(__xludf.DUMMYFUNCTION("""COMPUTED_VALUE"""),21.99)</f>
        <v>21.99</v>
      </c>
      <c r="E2018" s="2">
        <f>IFERROR(__xludf.DUMMYFUNCTION("""COMPUTED_VALUE"""),22.34)</f>
        <v>22.34</v>
      </c>
      <c r="F2018" s="2">
        <f>IFERROR(__xludf.DUMMYFUNCTION("""COMPUTED_VALUE"""),1.8759765E7)</f>
        <v>18759765</v>
      </c>
    </row>
    <row r="2019">
      <c r="A2019" s="3">
        <f>IFERROR(__xludf.DUMMYFUNCTION("""COMPUTED_VALUE"""),43284.54166666667)</f>
        <v>43284.54167</v>
      </c>
      <c r="B2019" s="2">
        <f>IFERROR(__xludf.DUMMYFUNCTION("""COMPUTED_VALUE"""),22.12)</f>
        <v>22.12</v>
      </c>
      <c r="C2019" s="2">
        <f>IFERROR(__xludf.DUMMYFUNCTION("""COMPUTED_VALUE"""),22.17)</f>
        <v>22.17</v>
      </c>
      <c r="D2019" s="2">
        <f>IFERROR(__xludf.DUMMYFUNCTION("""COMPUTED_VALUE"""),20.65)</f>
        <v>20.65</v>
      </c>
      <c r="E2019" s="2">
        <f>IFERROR(__xludf.DUMMYFUNCTION("""COMPUTED_VALUE"""),20.72)</f>
        <v>20.72</v>
      </c>
      <c r="F2019" s="2">
        <f>IFERROR(__xludf.DUMMYFUNCTION("""COMPUTED_VALUE"""),1.2282638E7)</f>
        <v>12282638</v>
      </c>
    </row>
    <row r="2020">
      <c r="A2020" s="3">
        <f>IFERROR(__xludf.DUMMYFUNCTION("""COMPUTED_VALUE"""),43286.66666666667)</f>
        <v>43286.66667</v>
      </c>
      <c r="B2020" s="2">
        <f>IFERROR(__xludf.DUMMYFUNCTION("""COMPUTED_VALUE"""),20.92)</f>
        <v>20.92</v>
      </c>
      <c r="C2020" s="2">
        <f>IFERROR(__xludf.DUMMYFUNCTION("""COMPUTED_VALUE"""),20.96)</f>
        <v>20.96</v>
      </c>
      <c r="D2020" s="2">
        <f>IFERROR(__xludf.DUMMYFUNCTION("""COMPUTED_VALUE"""),19.75)</f>
        <v>19.75</v>
      </c>
      <c r="E2020" s="2">
        <f>IFERROR(__xludf.DUMMYFUNCTION("""COMPUTED_VALUE"""),20.61)</f>
        <v>20.61</v>
      </c>
      <c r="F2020" s="2">
        <f>IFERROR(__xludf.DUMMYFUNCTION("""COMPUTED_VALUE"""),1.7476374E7)</f>
        <v>17476374</v>
      </c>
    </row>
    <row r="2021">
      <c r="A2021" s="3">
        <f>IFERROR(__xludf.DUMMYFUNCTION("""COMPUTED_VALUE"""),43287.66666666667)</f>
        <v>43287.66667</v>
      </c>
      <c r="B2021" s="2">
        <f>IFERROR(__xludf.DUMMYFUNCTION("""COMPUTED_VALUE"""),20.33)</f>
        <v>20.33</v>
      </c>
      <c r="C2021" s="2">
        <f>IFERROR(__xludf.DUMMYFUNCTION("""COMPUTED_VALUE"""),20.8)</f>
        <v>20.8</v>
      </c>
      <c r="D2021" s="2">
        <f>IFERROR(__xludf.DUMMYFUNCTION("""COMPUTED_VALUE"""),20.13)</f>
        <v>20.13</v>
      </c>
      <c r="E2021" s="2">
        <f>IFERROR(__xludf.DUMMYFUNCTION("""COMPUTED_VALUE"""),20.59)</f>
        <v>20.59</v>
      </c>
      <c r="F2021" s="2">
        <f>IFERROR(__xludf.DUMMYFUNCTION("""COMPUTED_VALUE"""),8865451.0)</f>
        <v>8865451</v>
      </c>
    </row>
    <row r="2022">
      <c r="A2022" s="3">
        <f>IFERROR(__xludf.DUMMYFUNCTION("""COMPUTED_VALUE"""),43290.66666666667)</f>
        <v>43290.66667</v>
      </c>
      <c r="B2022" s="2">
        <f>IFERROR(__xludf.DUMMYFUNCTION("""COMPUTED_VALUE"""),20.8)</f>
        <v>20.8</v>
      </c>
      <c r="C2022" s="2">
        <f>IFERROR(__xludf.DUMMYFUNCTION("""COMPUTED_VALUE"""),21.23)</f>
        <v>21.23</v>
      </c>
      <c r="D2022" s="2">
        <f>IFERROR(__xludf.DUMMYFUNCTION("""COMPUTED_VALUE"""),20.53)</f>
        <v>20.53</v>
      </c>
      <c r="E2022" s="2">
        <f>IFERROR(__xludf.DUMMYFUNCTION("""COMPUTED_VALUE"""),21.23)</f>
        <v>21.23</v>
      </c>
      <c r="F2022" s="2">
        <f>IFERROR(__xludf.DUMMYFUNCTION("""COMPUTED_VALUE"""),7596753.0)</f>
        <v>7596753</v>
      </c>
    </row>
    <row r="2023">
      <c r="A2023" s="3">
        <f>IFERROR(__xludf.DUMMYFUNCTION("""COMPUTED_VALUE"""),43291.66666666667)</f>
        <v>43291.66667</v>
      </c>
      <c r="B2023" s="2">
        <f>IFERROR(__xludf.DUMMYFUNCTION("""COMPUTED_VALUE"""),21.64)</f>
        <v>21.64</v>
      </c>
      <c r="C2023" s="2">
        <f>IFERROR(__xludf.DUMMYFUNCTION("""COMPUTED_VALUE"""),21.85)</f>
        <v>21.85</v>
      </c>
      <c r="D2023" s="2">
        <f>IFERROR(__xludf.DUMMYFUNCTION("""COMPUTED_VALUE"""),21.28)</f>
        <v>21.28</v>
      </c>
      <c r="E2023" s="2">
        <f>IFERROR(__xludf.DUMMYFUNCTION("""COMPUTED_VALUE"""),21.5)</f>
        <v>21.5</v>
      </c>
      <c r="F2023" s="2">
        <f>IFERROR(__xludf.DUMMYFUNCTION("""COMPUTED_VALUE"""),9471498.0)</f>
        <v>9471498</v>
      </c>
    </row>
    <row r="2024">
      <c r="A2024" s="3">
        <f>IFERROR(__xludf.DUMMYFUNCTION("""COMPUTED_VALUE"""),43292.66666666667)</f>
        <v>43292.66667</v>
      </c>
      <c r="B2024" s="2">
        <f>IFERROR(__xludf.DUMMYFUNCTION("""COMPUTED_VALUE"""),21.05)</f>
        <v>21.05</v>
      </c>
      <c r="C2024" s="2">
        <f>IFERROR(__xludf.DUMMYFUNCTION("""COMPUTED_VALUE"""),21.46)</f>
        <v>21.46</v>
      </c>
      <c r="D2024" s="2">
        <f>IFERROR(__xludf.DUMMYFUNCTION("""COMPUTED_VALUE"""),21.0)</f>
        <v>21</v>
      </c>
      <c r="E2024" s="2">
        <f>IFERROR(__xludf.DUMMYFUNCTION("""COMPUTED_VALUE"""),21.26)</f>
        <v>21.26</v>
      </c>
      <c r="F2024" s="2">
        <f>IFERROR(__xludf.DUMMYFUNCTION("""COMPUTED_VALUE"""),4884076.0)</f>
        <v>4884076</v>
      </c>
    </row>
    <row r="2025">
      <c r="A2025" s="3">
        <f>IFERROR(__xludf.DUMMYFUNCTION("""COMPUTED_VALUE"""),43293.66666666667)</f>
        <v>43293.66667</v>
      </c>
      <c r="B2025" s="2">
        <f>IFERROR(__xludf.DUMMYFUNCTION("""COMPUTED_VALUE"""),21.43)</f>
        <v>21.43</v>
      </c>
      <c r="C2025" s="2">
        <f>IFERROR(__xludf.DUMMYFUNCTION("""COMPUTED_VALUE"""),21.55)</f>
        <v>21.55</v>
      </c>
      <c r="D2025" s="2">
        <f>IFERROR(__xludf.DUMMYFUNCTION("""COMPUTED_VALUE"""),20.85)</f>
        <v>20.85</v>
      </c>
      <c r="E2025" s="2">
        <f>IFERROR(__xludf.DUMMYFUNCTION("""COMPUTED_VALUE"""),21.11)</f>
        <v>21.11</v>
      </c>
      <c r="F2025" s="2">
        <f>IFERROR(__xludf.DUMMYFUNCTION("""COMPUTED_VALUE"""),5721166.0)</f>
        <v>5721166</v>
      </c>
    </row>
    <row r="2026">
      <c r="A2026" s="3">
        <f>IFERROR(__xludf.DUMMYFUNCTION("""COMPUTED_VALUE"""),43294.66666666667)</f>
        <v>43294.66667</v>
      </c>
      <c r="B2026" s="2">
        <f>IFERROR(__xludf.DUMMYFUNCTION("""COMPUTED_VALUE"""),21.04)</f>
        <v>21.04</v>
      </c>
      <c r="C2026" s="2">
        <f>IFERROR(__xludf.DUMMYFUNCTION("""COMPUTED_VALUE"""),21.31)</f>
        <v>21.31</v>
      </c>
      <c r="D2026" s="2">
        <f>IFERROR(__xludf.DUMMYFUNCTION("""COMPUTED_VALUE"""),20.62)</f>
        <v>20.62</v>
      </c>
      <c r="E2026" s="2">
        <f>IFERROR(__xludf.DUMMYFUNCTION("""COMPUTED_VALUE"""),21.26)</f>
        <v>21.26</v>
      </c>
      <c r="F2026" s="2">
        <f>IFERROR(__xludf.DUMMYFUNCTION("""COMPUTED_VALUE"""),5875770.0)</f>
        <v>5875770</v>
      </c>
    </row>
    <row r="2027">
      <c r="A2027" s="3">
        <f>IFERROR(__xludf.DUMMYFUNCTION("""COMPUTED_VALUE"""),43297.66666666667)</f>
        <v>43297.66667</v>
      </c>
      <c r="B2027" s="2">
        <f>IFERROR(__xludf.DUMMYFUNCTION("""COMPUTED_VALUE"""),20.78)</f>
        <v>20.78</v>
      </c>
      <c r="C2027" s="2">
        <f>IFERROR(__xludf.DUMMYFUNCTION("""COMPUTED_VALUE"""),21.01)</f>
        <v>21.01</v>
      </c>
      <c r="D2027" s="2">
        <f>IFERROR(__xludf.DUMMYFUNCTION("""COMPUTED_VALUE"""),20.42)</f>
        <v>20.42</v>
      </c>
      <c r="E2027" s="2">
        <f>IFERROR(__xludf.DUMMYFUNCTION("""COMPUTED_VALUE"""),20.67)</f>
        <v>20.67</v>
      </c>
      <c r="F2027" s="2">
        <f>IFERROR(__xludf.DUMMYFUNCTION("""COMPUTED_VALUE"""),7818655.0)</f>
        <v>7818655</v>
      </c>
    </row>
    <row r="2028">
      <c r="A2028" s="3">
        <f>IFERROR(__xludf.DUMMYFUNCTION("""COMPUTED_VALUE"""),43298.66666666667)</f>
        <v>43298.66667</v>
      </c>
      <c r="B2028" s="2">
        <f>IFERROR(__xludf.DUMMYFUNCTION("""COMPUTED_VALUE"""),20.59)</f>
        <v>20.59</v>
      </c>
      <c r="C2028" s="2">
        <f>IFERROR(__xludf.DUMMYFUNCTION("""COMPUTED_VALUE"""),21.65)</f>
        <v>21.65</v>
      </c>
      <c r="D2028" s="2">
        <f>IFERROR(__xludf.DUMMYFUNCTION("""COMPUTED_VALUE"""),20.57)</f>
        <v>20.57</v>
      </c>
      <c r="E2028" s="2">
        <f>IFERROR(__xludf.DUMMYFUNCTION("""COMPUTED_VALUE"""),21.51)</f>
        <v>21.51</v>
      </c>
      <c r="F2028" s="2">
        <f>IFERROR(__xludf.DUMMYFUNCTION("""COMPUTED_VALUE"""),6996232.0)</f>
        <v>6996232</v>
      </c>
    </row>
    <row r="2029">
      <c r="A2029" s="3">
        <f>IFERROR(__xludf.DUMMYFUNCTION("""COMPUTED_VALUE"""),43299.66666666667)</f>
        <v>43299.66667</v>
      </c>
      <c r="B2029" s="2">
        <f>IFERROR(__xludf.DUMMYFUNCTION("""COMPUTED_VALUE"""),21.67)</f>
        <v>21.67</v>
      </c>
      <c r="C2029" s="2">
        <f>IFERROR(__xludf.DUMMYFUNCTION("""COMPUTED_VALUE"""),21.7)</f>
        <v>21.7</v>
      </c>
      <c r="D2029" s="2">
        <f>IFERROR(__xludf.DUMMYFUNCTION("""COMPUTED_VALUE"""),21.08)</f>
        <v>21.08</v>
      </c>
      <c r="E2029" s="2">
        <f>IFERROR(__xludf.DUMMYFUNCTION("""COMPUTED_VALUE"""),21.59)</f>
        <v>21.59</v>
      </c>
      <c r="F2029" s="2">
        <f>IFERROR(__xludf.DUMMYFUNCTION("""COMPUTED_VALUE"""),5624211.0)</f>
        <v>5624211</v>
      </c>
    </row>
    <row r="2030">
      <c r="A2030" s="3">
        <f>IFERROR(__xludf.DUMMYFUNCTION("""COMPUTED_VALUE"""),43300.66666666667)</f>
        <v>43300.66667</v>
      </c>
      <c r="B2030" s="2">
        <f>IFERROR(__xludf.DUMMYFUNCTION("""COMPUTED_VALUE"""),21.09)</f>
        <v>21.09</v>
      </c>
      <c r="C2030" s="2">
        <f>IFERROR(__xludf.DUMMYFUNCTION("""COMPUTED_VALUE"""),21.57)</f>
        <v>21.57</v>
      </c>
      <c r="D2030" s="2">
        <f>IFERROR(__xludf.DUMMYFUNCTION("""COMPUTED_VALUE"""),20.93)</f>
        <v>20.93</v>
      </c>
      <c r="E2030" s="2">
        <f>IFERROR(__xludf.DUMMYFUNCTION("""COMPUTED_VALUE"""),21.35)</f>
        <v>21.35</v>
      </c>
      <c r="F2030" s="2">
        <f>IFERROR(__xludf.DUMMYFUNCTION("""COMPUTED_VALUE"""),5915345.0)</f>
        <v>5915345</v>
      </c>
    </row>
    <row r="2031">
      <c r="A2031" s="3">
        <f>IFERROR(__xludf.DUMMYFUNCTION("""COMPUTED_VALUE"""),43301.66666666667)</f>
        <v>43301.66667</v>
      </c>
      <c r="B2031" s="2">
        <f>IFERROR(__xludf.DUMMYFUNCTION("""COMPUTED_VALUE"""),21.42)</f>
        <v>21.42</v>
      </c>
      <c r="C2031" s="2">
        <f>IFERROR(__xludf.DUMMYFUNCTION("""COMPUTED_VALUE"""),21.55)</f>
        <v>21.55</v>
      </c>
      <c r="D2031" s="2">
        <f>IFERROR(__xludf.DUMMYFUNCTION("""COMPUTED_VALUE"""),20.78)</f>
        <v>20.78</v>
      </c>
      <c r="E2031" s="2">
        <f>IFERROR(__xludf.DUMMYFUNCTION("""COMPUTED_VALUE"""),20.91)</f>
        <v>20.91</v>
      </c>
      <c r="F2031" s="2">
        <f>IFERROR(__xludf.DUMMYFUNCTION("""COMPUTED_VALUE"""),5166547.0)</f>
        <v>5166547</v>
      </c>
    </row>
    <row r="2032">
      <c r="A2032" s="3">
        <f>IFERROR(__xludf.DUMMYFUNCTION("""COMPUTED_VALUE"""),43304.66666666667)</f>
        <v>43304.66667</v>
      </c>
      <c r="B2032" s="2">
        <f>IFERROR(__xludf.DUMMYFUNCTION("""COMPUTED_VALUE"""),20.12)</f>
        <v>20.12</v>
      </c>
      <c r="C2032" s="2">
        <f>IFERROR(__xludf.DUMMYFUNCTION("""COMPUTED_VALUE"""),20.37)</f>
        <v>20.37</v>
      </c>
      <c r="D2032" s="2">
        <f>IFERROR(__xludf.DUMMYFUNCTION("""COMPUTED_VALUE"""),19.52)</f>
        <v>19.52</v>
      </c>
      <c r="E2032" s="2">
        <f>IFERROR(__xludf.DUMMYFUNCTION("""COMPUTED_VALUE"""),20.21)</f>
        <v>20.21</v>
      </c>
      <c r="F2032" s="2">
        <f>IFERROR(__xludf.DUMMYFUNCTION("""COMPUTED_VALUE"""),1.0992947E7)</f>
        <v>10992947</v>
      </c>
    </row>
    <row r="2033">
      <c r="A2033" s="3">
        <f>IFERROR(__xludf.DUMMYFUNCTION("""COMPUTED_VALUE"""),43305.66666666667)</f>
        <v>43305.66667</v>
      </c>
      <c r="B2033" s="2">
        <f>IFERROR(__xludf.DUMMYFUNCTION("""COMPUTED_VALUE"""),20.29)</f>
        <v>20.29</v>
      </c>
      <c r="C2033" s="2">
        <f>IFERROR(__xludf.DUMMYFUNCTION("""COMPUTED_VALUE"""),20.51)</f>
        <v>20.51</v>
      </c>
      <c r="D2033" s="2">
        <f>IFERROR(__xludf.DUMMYFUNCTION("""COMPUTED_VALUE"""),19.5)</f>
        <v>19.5</v>
      </c>
      <c r="E2033" s="2">
        <f>IFERROR(__xludf.DUMMYFUNCTION("""COMPUTED_VALUE"""),19.83)</f>
        <v>19.83</v>
      </c>
      <c r="F2033" s="2">
        <f>IFERROR(__xludf.DUMMYFUNCTION("""COMPUTED_VALUE"""),9590784.0)</f>
        <v>9590784</v>
      </c>
    </row>
    <row r="2034">
      <c r="A2034" s="3">
        <f>IFERROR(__xludf.DUMMYFUNCTION("""COMPUTED_VALUE"""),43306.66666666667)</f>
        <v>43306.66667</v>
      </c>
      <c r="B2034" s="2">
        <f>IFERROR(__xludf.DUMMYFUNCTION("""COMPUTED_VALUE"""),19.78)</f>
        <v>19.78</v>
      </c>
      <c r="C2034" s="2">
        <f>IFERROR(__xludf.DUMMYFUNCTION("""COMPUTED_VALUE"""),20.64)</f>
        <v>20.64</v>
      </c>
      <c r="D2034" s="2">
        <f>IFERROR(__xludf.DUMMYFUNCTION("""COMPUTED_VALUE"""),19.63)</f>
        <v>19.63</v>
      </c>
      <c r="E2034" s="2">
        <f>IFERROR(__xludf.DUMMYFUNCTION("""COMPUTED_VALUE"""),20.58)</f>
        <v>20.58</v>
      </c>
      <c r="F2034" s="2">
        <f>IFERROR(__xludf.DUMMYFUNCTION("""COMPUTED_VALUE"""),7094180.0)</f>
        <v>7094180</v>
      </c>
    </row>
    <row r="2035">
      <c r="A2035" s="3">
        <f>IFERROR(__xludf.DUMMYFUNCTION("""COMPUTED_VALUE"""),43307.66666666667)</f>
        <v>43307.66667</v>
      </c>
      <c r="B2035" s="2">
        <f>IFERROR(__xludf.DUMMYFUNCTION("""COMPUTED_VALUE"""),20.32)</f>
        <v>20.32</v>
      </c>
      <c r="C2035" s="2">
        <f>IFERROR(__xludf.DUMMYFUNCTION("""COMPUTED_VALUE"""),20.71)</f>
        <v>20.71</v>
      </c>
      <c r="D2035" s="2">
        <f>IFERROR(__xludf.DUMMYFUNCTION("""COMPUTED_VALUE"""),20.24)</f>
        <v>20.24</v>
      </c>
      <c r="E2035" s="2">
        <f>IFERROR(__xludf.DUMMYFUNCTION("""COMPUTED_VALUE"""),20.44)</f>
        <v>20.44</v>
      </c>
      <c r="F2035" s="2">
        <f>IFERROR(__xludf.DUMMYFUNCTION("""COMPUTED_VALUE"""),4630522.0)</f>
        <v>4630522</v>
      </c>
    </row>
    <row r="2036">
      <c r="A2036" s="3">
        <f>IFERROR(__xludf.DUMMYFUNCTION("""COMPUTED_VALUE"""),43308.66666666667)</f>
        <v>43308.66667</v>
      </c>
      <c r="B2036" s="2">
        <f>IFERROR(__xludf.DUMMYFUNCTION("""COMPUTED_VALUE"""),20.48)</f>
        <v>20.48</v>
      </c>
      <c r="C2036" s="2">
        <f>IFERROR(__xludf.DUMMYFUNCTION("""COMPUTED_VALUE"""),20.51)</f>
        <v>20.51</v>
      </c>
      <c r="D2036" s="2">
        <f>IFERROR(__xludf.DUMMYFUNCTION("""COMPUTED_VALUE"""),19.69)</f>
        <v>19.69</v>
      </c>
      <c r="E2036" s="2">
        <f>IFERROR(__xludf.DUMMYFUNCTION("""COMPUTED_VALUE"""),19.81)</f>
        <v>19.81</v>
      </c>
      <c r="F2036" s="2">
        <f>IFERROR(__xludf.DUMMYFUNCTION("""COMPUTED_VALUE"""),5703326.0)</f>
        <v>5703326</v>
      </c>
    </row>
    <row r="2037">
      <c r="A2037" s="3">
        <f>IFERROR(__xludf.DUMMYFUNCTION("""COMPUTED_VALUE"""),43311.66666666667)</f>
        <v>43311.66667</v>
      </c>
      <c r="B2037" s="2">
        <f>IFERROR(__xludf.DUMMYFUNCTION("""COMPUTED_VALUE"""),19.73)</f>
        <v>19.73</v>
      </c>
      <c r="C2037" s="2">
        <f>IFERROR(__xludf.DUMMYFUNCTION("""COMPUTED_VALUE"""),19.74)</f>
        <v>19.74</v>
      </c>
      <c r="D2037" s="2">
        <f>IFERROR(__xludf.DUMMYFUNCTION("""COMPUTED_VALUE"""),19.08)</f>
        <v>19.08</v>
      </c>
      <c r="E2037" s="2">
        <f>IFERROR(__xludf.DUMMYFUNCTION("""COMPUTED_VALUE"""),19.34)</f>
        <v>19.34</v>
      </c>
      <c r="F2037" s="2">
        <f>IFERROR(__xludf.DUMMYFUNCTION("""COMPUTED_VALUE"""),6814072.0)</f>
        <v>6814072</v>
      </c>
    </row>
    <row r="2038">
      <c r="A2038" s="3">
        <f>IFERROR(__xludf.DUMMYFUNCTION("""COMPUTED_VALUE"""),43312.66666666667)</f>
        <v>43312.66667</v>
      </c>
      <c r="B2038" s="2">
        <f>IFERROR(__xludf.DUMMYFUNCTION("""COMPUTED_VALUE"""),19.48)</f>
        <v>19.48</v>
      </c>
      <c r="C2038" s="2">
        <f>IFERROR(__xludf.DUMMYFUNCTION("""COMPUTED_VALUE"""),19.89)</f>
        <v>19.89</v>
      </c>
      <c r="D2038" s="2">
        <f>IFERROR(__xludf.DUMMYFUNCTION("""COMPUTED_VALUE"""),19.27)</f>
        <v>19.27</v>
      </c>
      <c r="E2038" s="2">
        <f>IFERROR(__xludf.DUMMYFUNCTION("""COMPUTED_VALUE"""),19.88)</f>
        <v>19.88</v>
      </c>
      <c r="F2038" s="2">
        <f>IFERROR(__xludf.DUMMYFUNCTION("""COMPUTED_VALUE"""),5076916.0)</f>
        <v>5076916</v>
      </c>
    </row>
    <row r="2039">
      <c r="A2039" s="3">
        <f>IFERROR(__xludf.DUMMYFUNCTION("""COMPUTED_VALUE"""),43313.66666666667)</f>
        <v>43313.66667</v>
      </c>
      <c r="B2039" s="2">
        <f>IFERROR(__xludf.DUMMYFUNCTION("""COMPUTED_VALUE"""),19.87)</f>
        <v>19.87</v>
      </c>
      <c r="C2039" s="2">
        <f>IFERROR(__xludf.DUMMYFUNCTION("""COMPUTED_VALUE"""),20.2)</f>
        <v>20.2</v>
      </c>
      <c r="D2039" s="2">
        <f>IFERROR(__xludf.DUMMYFUNCTION("""COMPUTED_VALUE"""),19.53)</f>
        <v>19.53</v>
      </c>
      <c r="E2039" s="2">
        <f>IFERROR(__xludf.DUMMYFUNCTION("""COMPUTED_VALUE"""),20.06)</f>
        <v>20.06</v>
      </c>
      <c r="F2039" s="2">
        <f>IFERROR(__xludf.DUMMYFUNCTION("""COMPUTED_VALUE"""),1.012943E7)</f>
        <v>10129430</v>
      </c>
    </row>
    <row r="2040">
      <c r="A2040" s="3">
        <f>IFERROR(__xludf.DUMMYFUNCTION("""COMPUTED_VALUE"""),43314.66666666667)</f>
        <v>43314.66667</v>
      </c>
      <c r="B2040" s="2">
        <f>IFERROR(__xludf.DUMMYFUNCTION("""COMPUTED_VALUE"""),21.9)</f>
        <v>21.9</v>
      </c>
      <c r="C2040" s="2">
        <f>IFERROR(__xludf.DUMMYFUNCTION("""COMPUTED_VALUE"""),23.33)</f>
        <v>23.33</v>
      </c>
      <c r="D2040" s="2">
        <f>IFERROR(__xludf.DUMMYFUNCTION("""COMPUTED_VALUE"""),21.54)</f>
        <v>21.54</v>
      </c>
      <c r="E2040" s="2">
        <f>IFERROR(__xludf.DUMMYFUNCTION("""COMPUTED_VALUE"""),23.3)</f>
        <v>23.3</v>
      </c>
      <c r="F2040" s="2">
        <f>IFERROR(__xludf.DUMMYFUNCTION("""COMPUTED_VALUE"""),2.3214962E7)</f>
        <v>23214962</v>
      </c>
    </row>
    <row r="2041">
      <c r="A2041" s="3">
        <f>IFERROR(__xludf.DUMMYFUNCTION("""COMPUTED_VALUE"""),43315.66666666667)</f>
        <v>43315.66667</v>
      </c>
      <c r="B2041" s="2">
        <f>IFERROR(__xludf.DUMMYFUNCTION("""COMPUTED_VALUE"""),23.19)</f>
        <v>23.19</v>
      </c>
      <c r="C2041" s="2">
        <f>IFERROR(__xludf.DUMMYFUNCTION("""COMPUTED_VALUE"""),23.67)</f>
        <v>23.67</v>
      </c>
      <c r="D2041" s="2">
        <f>IFERROR(__xludf.DUMMYFUNCTION("""COMPUTED_VALUE"""),22.84)</f>
        <v>22.84</v>
      </c>
      <c r="E2041" s="2">
        <f>IFERROR(__xludf.DUMMYFUNCTION("""COMPUTED_VALUE"""),23.21)</f>
        <v>23.21</v>
      </c>
      <c r="F2041" s="2">
        <f>IFERROR(__xludf.DUMMYFUNCTION("""COMPUTED_VALUE"""),1.3656486E7)</f>
        <v>13656486</v>
      </c>
    </row>
    <row r="2042">
      <c r="A2042" s="3">
        <f>IFERROR(__xludf.DUMMYFUNCTION("""COMPUTED_VALUE"""),43318.66666666667)</f>
        <v>43318.66667</v>
      </c>
      <c r="B2042" s="2">
        <f>IFERROR(__xludf.DUMMYFUNCTION("""COMPUTED_VALUE"""),23.03)</f>
        <v>23.03</v>
      </c>
      <c r="C2042" s="2">
        <f>IFERROR(__xludf.DUMMYFUNCTION("""COMPUTED_VALUE"""),23.67)</f>
        <v>23.67</v>
      </c>
      <c r="D2042" s="2">
        <f>IFERROR(__xludf.DUMMYFUNCTION("""COMPUTED_VALUE"""),22.79)</f>
        <v>22.79</v>
      </c>
      <c r="E2042" s="2">
        <f>IFERROR(__xludf.DUMMYFUNCTION("""COMPUTED_VALUE"""),22.8)</f>
        <v>22.8</v>
      </c>
      <c r="F2042" s="2">
        <f>IFERROR(__xludf.DUMMYFUNCTION("""COMPUTED_VALUE"""),8564331.0)</f>
        <v>8564331</v>
      </c>
    </row>
    <row r="2043">
      <c r="A2043" s="3">
        <f>IFERROR(__xludf.DUMMYFUNCTION("""COMPUTED_VALUE"""),43319.66666666667)</f>
        <v>43319.66667</v>
      </c>
      <c r="B2043" s="2">
        <f>IFERROR(__xludf.DUMMYFUNCTION("""COMPUTED_VALUE"""),22.92)</f>
        <v>22.92</v>
      </c>
      <c r="C2043" s="2">
        <f>IFERROR(__xludf.DUMMYFUNCTION("""COMPUTED_VALUE"""),25.83)</f>
        <v>25.83</v>
      </c>
      <c r="D2043" s="2">
        <f>IFERROR(__xludf.DUMMYFUNCTION("""COMPUTED_VALUE"""),22.61)</f>
        <v>22.61</v>
      </c>
      <c r="E2043" s="2">
        <f>IFERROR(__xludf.DUMMYFUNCTION("""COMPUTED_VALUE"""),25.3)</f>
        <v>25.3</v>
      </c>
      <c r="F2043" s="2">
        <f>IFERROR(__xludf.DUMMYFUNCTION("""COMPUTED_VALUE"""),3.0875768E7)</f>
        <v>30875768</v>
      </c>
    </row>
    <row r="2044">
      <c r="A2044" s="3">
        <f>IFERROR(__xludf.DUMMYFUNCTION("""COMPUTED_VALUE"""),43320.66666666667)</f>
        <v>43320.66667</v>
      </c>
      <c r="B2044" s="2">
        <f>IFERROR(__xludf.DUMMYFUNCTION("""COMPUTED_VALUE"""),24.61)</f>
        <v>24.61</v>
      </c>
      <c r="C2044" s="2">
        <f>IFERROR(__xludf.DUMMYFUNCTION("""COMPUTED_VALUE"""),25.51)</f>
        <v>25.51</v>
      </c>
      <c r="D2044" s="2">
        <f>IFERROR(__xludf.DUMMYFUNCTION("""COMPUTED_VALUE"""),24.47)</f>
        <v>24.47</v>
      </c>
      <c r="E2044" s="2">
        <f>IFERROR(__xludf.DUMMYFUNCTION("""COMPUTED_VALUE"""),24.69)</f>
        <v>24.69</v>
      </c>
      <c r="F2044" s="2">
        <f>IFERROR(__xludf.DUMMYFUNCTION("""COMPUTED_VALUE"""),2.4571163E7)</f>
        <v>24571163</v>
      </c>
    </row>
    <row r="2045">
      <c r="A2045" s="3">
        <f>IFERROR(__xludf.DUMMYFUNCTION("""COMPUTED_VALUE"""),43321.66666666667)</f>
        <v>43321.66667</v>
      </c>
      <c r="B2045" s="2">
        <f>IFERROR(__xludf.DUMMYFUNCTION("""COMPUTED_VALUE"""),24.37)</f>
        <v>24.37</v>
      </c>
      <c r="C2045" s="2">
        <f>IFERROR(__xludf.DUMMYFUNCTION("""COMPUTED_VALUE"""),24.47)</f>
        <v>24.47</v>
      </c>
      <c r="D2045" s="2">
        <f>IFERROR(__xludf.DUMMYFUNCTION("""COMPUTED_VALUE"""),23.05)</f>
        <v>23.05</v>
      </c>
      <c r="E2045" s="2">
        <f>IFERROR(__xludf.DUMMYFUNCTION("""COMPUTED_VALUE"""),23.5)</f>
        <v>23.5</v>
      </c>
      <c r="F2045" s="2">
        <f>IFERROR(__xludf.DUMMYFUNCTION("""COMPUTED_VALUE"""),1.7183811E7)</f>
        <v>17183811</v>
      </c>
    </row>
    <row r="2046">
      <c r="A2046" s="3">
        <f>IFERROR(__xludf.DUMMYFUNCTION("""COMPUTED_VALUE"""),43322.66666666667)</f>
        <v>43322.66667</v>
      </c>
      <c r="B2046" s="2">
        <f>IFERROR(__xludf.DUMMYFUNCTION("""COMPUTED_VALUE"""),23.6)</f>
        <v>23.6</v>
      </c>
      <c r="C2046" s="2">
        <f>IFERROR(__xludf.DUMMYFUNCTION("""COMPUTED_VALUE"""),24.0)</f>
        <v>24</v>
      </c>
      <c r="D2046" s="2">
        <f>IFERROR(__xludf.DUMMYFUNCTION("""COMPUTED_VALUE"""),23.07)</f>
        <v>23.07</v>
      </c>
      <c r="E2046" s="2">
        <f>IFERROR(__xludf.DUMMYFUNCTION("""COMPUTED_VALUE"""),23.7)</f>
        <v>23.7</v>
      </c>
      <c r="F2046" s="2">
        <f>IFERROR(__xludf.DUMMYFUNCTION("""COMPUTED_VALUE"""),1.1552044E7)</f>
        <v>11552044</v>
      </c>
    </row>
    <row r="2047">
      <c r="A2047" s="3">
        <f>IFERROR(__xludf.DUMMYFUNCTION("""COMPUTED_VALUE"""),43325.66666666667)</f>
        <v>43325.66667</v>
      </c>
      <c r="B2047" s="2">
        <f>IFERROR(__xludf.DUMMYFUNCTION("""COMPUTED_VALUE"""),24.08)</f>
        <v>24.08</v>
      </c>
      <c r="C2047" s="2">
        <f>IFERROR(__xludf.DUMMYFUNCTION("""COMPUTED_VALUE"""),24.21)</f>
        <v>24.21</v>
      </c>
      <c r="D2047" s="2">
        <f>IFERROR(__xludf.DUMMYFUNCTION("""COMPUTED_VALUE"""),23.27)</f>
        <v>23.27</v>
      </c>
      <c r="E2047" s="2">
        <f>IFERROR(__xludf.DUMMYFUNCTION("""COMPUTED_VALUE"""),23.76)</f>
        <v>23.76</v>
      </c>
      <c r="F2047" s="2">
        <f>IFERROR(__xludf.DUMMYFUNCTION("""COMPUTED_VALUE"""),1.0463881E7)</f>
        <v>10463881</v>
      </c>
    </row>
    <row r="2048">
      <c r="A2048" s="3">
        <f>IFERROR(__xludf.DUMMYFUNCTION("""COMPUTED_VALUE"""),43326.66666666667)</f>
        <v>43326.66667</v>
      </c>
      <c r="B2048" s="2">
        <f>IFERROR(__xludf.DUMMYFUNCTION("""COMPUTED_VALUE"""),23.9)</f>
        <v>23.9</v>
      </c>
      <c r="C2048" s="2">
        <f>IFERROR(__xludf.DUMMYFUNCTION("""COMPUTED_VALUE"""),23.95)</f>
        <v>23.95</v>
      </c>
      <c r="D2048" s="2">
        <f>IFERROR(__xludf.DUMMYFUNCTION("""COMPUTED_VALUE"""),23.14)</f>
        <v>23.14</v>
      </c>
      <c r="E2048" s="2">
        <f>IFERROR(__xludf.DUMMYFUNCTION("""COMPUTED_VALUE"""),23.18)</f>
        <v>23.18</v>
      </c>
      <c r="F2048" s="2">
        <f>IFERROR(__xludf.DUMMYFUNCTION("""COMPUTED_VALUE"""),6986427.0)</f>
        <v>6986427</v>
      </c>
    </row>
    <row r="2049">
      <c r="A2049" s="3">
        <f>IFERROR(__xludf.DUMMYFUNCTION("""COMPUTED_VALUE"""),43327.66666666667)</f>
        <v>43327.66667</v>
      </c>
      <c r="B2049" s="2">
        <f>IFERROR(__xludf.DUMMYFUNCTION("""COMPUTED_VALUE"""),22.79)</f>
        <v>22.79</v>
      </c>
      <c r="C2049" s="2">
        <f>IFERROR(__xludf.DUMMYFUNCTION("""COMPUTED_VALUE"""),22.97)</f>
        <v>22.97</v>
      </c>
      <c r="D2049" s="2">
        <f>IFERROR(__xludf.DUMMYFUNCTION("""COMPUTED_VALUE"""),22.14)</f>
        <v>22.14</v>
      </c>
      <c r="E2049" s="2">
        <f>IFERROR(__xludf.DUMMYFUNCTION("""COMPUTED_VALUE"""),22.58)</f>
        <v>22.58</v>
      </c>
      <c r="F2049" s="2">
        <f>IFERROR(__xludf.DUMMYFUNCTION("""COMPUTED_VALUE"""),9101258.0)</f>
        <v>9101258</v>
      </c>
    </row>
    <row r="2050">
      <c r="A2050" s="3">
        <f>IFERROR(__xludf.DUMMYFUNCTION("""COMPUTED_VALUE"""),43328.66666666667)</f>
        <v>43328.66667</v>
      </c>
      <c r="B2050" s="2">
        <f>IFERROR(__xludf.DUMMYFUNCTION("""COMPUTED_VALUE"""),22.66)</f>
        <v>22.66</v>
      </c>
      <c r="C2050" s="2">
        <f>IFERROR(__xludf.DUMMYFUNCTION("""COMPUTED_VALUE"""),22.82)</f>
        <v>22.82</v>
      </c>
      <c r="D2050" s="2">
        <f>IFERROR(__xludf.DUMMYFUNCTION("""COMPUTED_VALUE"""),22.25)</f>
        <v>22.25</v>
      </c>
      <c r="E2050" s="2">
        <f>IFERROR(__xludf.DUMMYFUNCTION("""COMPUTED_VALUE"""),22.36)</f>
        <v>22.36</v>
      </c>
      <c r="F2050" s="2">
        <f>IFERROR(__xludf.DUMMYFUNCTION("""COMPUTED_VALUE"""),6064033.0)</f>
        <v>6064033</v>
      </c>
    </row>
    <row r="2051">
      <c r="A2051" s="3">
        <f>IFERROR(__xludf.DUMMYFUNCTION("""COMPUTED_VALUE"""),43329.66666666667)</f>
        <v>43329.66667</v>
      </c>
      <c r="B2051" s="2">
        <f>IFERROR(__xludf.DUMMYFUNCTION("""COMPUTED_VALUE"""),21.57)</f>
        <v>21.57</v>
      </c>
      <c r="C2051" s="2">
        <f>IFERROR(__xludf.DUMMYFUNCTION("""COMPUTED_VALUE"""),21.78)</f>
        <v>21.78</v>
      </c>
      <c r="D2051" s="2">
        <f>IFERROR(__xludf.DUMMYFUNCTION("""COMPUTED_VALUE"""),20.24)</f>
        <v>20.24</v>
      </c>
      <c r="E2051" s="2">
        <f>IFERROR(__xludf.DUMMYFUNCTION("""COMPUTED_VALUE"""),20.37)</f>
        <v>20.37</v>
      </c>
      <c r="F2051" s="2">
        <f>IFERROR(__xludf.DUMMYFUNCTION("""COMPUTED_VALUE"""),1.8958612E7)</f>
        <v>18958612</v>
      </c>
    </row>
    <row r="2052">
      <c r="A2052" s="3">
        <f>IFERROR(__xludf.DUMMYFUNCTION("""COMPUTED_VALUE"""),43332.66666666667)</f>
        <v>43332.66667</v>
      </c>
      <c r="B2052" s="2">
        <f>IFERROR(__xludf.DUMMYFUNCTION("""COMPUTED_VALUE"""),19.45)</f>
        <v>19.45</v>
      </c>
      <c r="C2052" s="2">
        <f>IFERROR(__xludf.DUMMYFUNCTION("""COMPUTED_VALUE"""),20.57)</f>
        <v>20.57</v>
      </c>
      <c r="D2052" s="2">
        <f>IFERROR(__xludf.DUMMYFUNCTION("""COMPUTED_VALUE"""),19.21)</f>
        <v>19.21</v>
      </c>
      <c r="E2052" s="2">
        <f>IFERROR(__xludf.DUMMYFUNCTION("""COMPUTED_VALUE"""),20.56)</f>
        <v>20.56</v>
      </c>
      <c r="F2052" s="2">
        <f>IFERROR(__xludf.DUMMYFUNCTION("""COMPUTED_VALUE"""),1.7402335E7)</f>
        <v>17402335</v>
      </c>
    </row>
    <row r="2053">
      <c r="A2053" s="3">
        <f>IFERROR(__xludf.DUMMYFUNCTION("""COMPUTED_VALUE"""),43333.66666666667)</f>
        <v>43333.66667</v>
      </c>
      <c r="B2053" s="2">
        <f>IFERROR(__xludf.DUMMYFUNCTION("""COMPUTED_VALUE"""),20.71)</f>
        <v>20.71</v>
      </c>
      <c r="C2053" s="2">
        <f>IFERROR(__xludf.DUMMYFUNCTION("""COMPUTED_VALUE"""),21.65)</f>
        <v>21.65</v>
      </c>
      <c r="D2053" s="2">
        <f>IFERROR(__xludf.DUMMYFUNCTION("""COMPUTED_VALUE"""),20.6)</f>
        <v>20.6</v>
      </c>
      <c r="E2053" s="2">
        <f>IFERROR(__xludf.DUMMYFUNCTION("""COMPUTED_VALUE"""),21.46)</f>
        <v>21.46</v>
      </c>
      <c r="F2053" s="2">
        <f>IFERROR(__xludf.DUMMYFUNCTION("""COMPUTED_VALUE"""),1.317223E7)</f>
        <v>13172230</v>
      </c>
    </row>
    <row r="2054">
      <c r="A2054" s="3">
        <f>IFERROR(__xludf.DUMMYFUNCTION("""COMPUTED_VALUE"""),43334.66666666667)</f>
        <v>43334.66667</v>
      </c>
      <c r="B2054" s="2">
        <f>IFERROR(__xludf.DUMMYFUNCTION("""COMPUTED_VALUE"""),21.39)</f>
        <v>21.39</v>
      </c>
      <c r="C2054" s="2">
        <f>IFERROR(__xludf.DUMMYFUNCTION("""COMPUTED_VALUE"""),21.59)</f>
        <v>21.59</v>
      </c>
      <c r="D2054" s="2">
        <f>IFERROR(__xludf.DUMMYFUNCTION("""COMPUTED_VALUE"""),20.98)</f>
        <v>20.98</v>
      </c>
      <c r="E2054" s="2">
        <f>IFERROR(__xludf.DUMMYFUNCTION("""COMPUTED_VALUE"""),21.44)</f>
        <v>21.44</v>
      </c>
      <c r="F2054" s="2">
        <f>IFERROR(__xludf.DUMMYFUNCTION("""COMPUTED_VALUE"""),5945955.0)</f>
        <v>5945955</v>
      </c>
    </row>
    <row r="2055">
      <c r="A2055" s="3">
        <f>IFERROR(__xludf.DUMMYFUNCTION("""COMPUTED_VALUE"""),43335.66666666667)</f>
        <v>43335.66667</v>
      </c>
      <c r="B2055" s="2">
        <f>IFERROR(__xludf.DUMMYFUNCTION("""COMPUTED_VALUE"""),21.28)</f>
        <v>21.28</v>
      </c>
      <c r="C2055" s="2">
        <f>IFERROR(__xludf.DUMMYFUNCTION("""COMPUTED_VALUE"""),21.82)</f>
        <v>21.82</v>
      </c>
      <c r="D2055" s="2">
        <f>IFERROR(__xludf.DUMMYFUNCTION("""COMPUTED_VALUE"""),21.21)</f>
        <v>21.21</v>
      </c>
      <c r="E2055" s="2">
        <f>IFERROR(__xludf.DUMMYFUNCTION("""COMPUTED_VALUE"""),21.34)</f>
        <v>21.34</v>
      </c>
      <c r="F2055" s="2">
        <f>IFERROR(__xludf.DUMMYFUNCTION("""COMPUTED_VALUE"""),5147286.0)</f>
        <v>5147286</v>
      </c>
    </row>
    <row r="2056">
      <c r="A2056" s="3">
        <f>IFERROR(__xludf.DUMMYFUNCTION("""COMPUTED_VALUE"""),43336.66666666667)</f>
        <v>43336.66667</v>
      </c>
      <c r="B2056" s="2">
        <f>IFERROR(__xludf.DUMMYFUNCTION("""COMPUTED_VALUE"""),21.38)</f>
        <v>21.38</v>
      </c>
      <c r="C2056" s="2">
        <f>IFERROR(__xludf.DUMMYFUNCTION("""COMPUTED_VALUE"""),21.59)</f>
        <v>21.59</v>
      </c>
      <c r="D2056" s="2">
        <f>IFERROR(__xludf.DUMMYFUNCTION("""COMPUTED_VALUE"""),21.29)</f>
        <v>21.29</v>
      </c>
      <c r="E2056" s="2">
        <f>IFERROR(__xludf.DUMMYFUNCTION("""COMPUTED_VALUE"""),21.52)</f>
        <v>21.52</v>
      </c>
      <c r="F2056" s="2">
        <f>IFERROR(__xludf.DUMMYFUNCTION("""COMPUTED_VALUE"""),3602564.0)</f>
        <v>3602564</v>
      </c>
    </row>
    <row r="2057">
      <c r="A2057" s="3">
        <f>IFERROR(__xludf.DUMMYFUNCTION("""COMPUTED_VALUE"""),43339.66666666667)</f>
        <v>43339.66667</v>
      </c>
      <c r="B2057" s="2">
        <f>IFERROR(__xludf.DUMMYFUNCTION("""COMPUTED_VALUE"""),21.2)</f>
        <v>21.2</v>
      </c>
      <c r="C2057" s="2">
        <f>IFERROR(__xludf.DUMMYFUNCTION("""COMPUTED_VALUE"""),21.5)</f>
        <v>21.5</v>
      </c>
      <c r="D2057" s="2">
        <f>IFERROR(__xludf.DUMMYFUNCTION("""COMPUTED_VALUE"""),20.59)</f>
        <v>20.59</v>
      </c>
      <c r="E2057" s="2">
        <f>IFERROR(__xludf.DUMMYFUNCTION("""COMPUTED_VALUE"""),21.28)</f>
        <v>21.28</v>
      </c>
      <c r="F2057" s="2">
        <f>IFERROR(__xludf.DUMMYFUNCTION("""COMPUTED_VALUE"""),1.3079288E7)</f>
        <v>13079288</v>
      </c>
    </row>
    <row r="2058">
      <c r="A2058" s="3">
        <f>IFERROR(__xludf.DUMMYFUNCTION("""COMPUTED_VALUE"""),43340.66666666667)</f>
        <v>43340.66667</v>
      </c>
      <c r="B2058" s="2">
        <f>IFERROR(__xludf.DUMMYFUNCTION("""COMPUTED_VALUE"""),21.23)</f>
        <v>21.23</v>
      </c>
      <c r="C2058" s="2">
        <f>IFERROR(__xludf.DUMMYFUNCTION("""COMPUTED_VALUE"""),21.26)</f>
        <v>21.26</v>
      </c>
      <c r="D2058" s="2">
        <f>IFERROR(__xludf.DUMMYFUNCTION("""COMPUTED_VALUE"""),20.75)</f>
        <v>20.75</v>
      </c>
      <c r="E2058" s="2">
        <f>IFERROR(__xludf.DUMMYFUNCTION("""COMPUTED_VALUE"""),20.79)</f>
        <v>20.79</v>
      </c>
      <c r="F2058" s="2">
        <f>IFERROR(__xludf.DUMMYFUNCTION("""COMPUTED_VALUE"""),7649091.0)</f>
        <v>7649091</v>
      </c>
    </row>
    <row r="2059">
      <c r="A2059" s="3">
        <f>IFERROR(__xludf.DUMMYFUNCTION("""COMPUTED_VALUE"""),43341.66666666667)</f>
        <v>43341.66667</v>
      </c>
      <c r="B2059" s="2">
        <f>IFERROR(__xludf.DUMMYFUNCTION("""COMPUTED_VALUE"""),20.68)</f>
        <v>20.68</v>
      </c>
      <c r="C2059" s="2">
        <f>IFERROR(__xludf.DUMMYFUNCTION("""COMPUTED_VALUE"""),20.79)</f>
        <v>20.79</v>
      </c>
      <c r="D2059" s="2">
        <f>IFERROR(__xludf.DUMMYFUNCTION("""COMPUTED_VALUE"""),20.25)</f>
        <v>20.25</v>
      </c>
      <c r="E2059" s="2">
        <f>IFERROR(__xludf.DUMMYFUNCTION("""COMPUTED_VALUE"""),20.33)</f>
        <v>20.33</v>
      </c>
      <c r="F2059" s="2">
        <f>IFERROR(__xludf.DUMMYFUNCTION("""COMPUTED_VALUE"""),7447392.0)</f>
        <v>7447392</v>
      </c>
    </row>
    <row r="2060">
      <c r="A2060" s="3">
        <f>IFERROR(__xludf.DUMMYFUNCTION("""COMPUTED_VALUE"""),43342.66666666667)</f>
        <v>43342.66667</v>
      </c>
      <c r="B2060" s="2">
        <f>IFERROR(__xludf.DUMMYFUNCTION("""COMPUTED_VALUE"""),20.15)</f>
        <v>20.15</v>
      </c>
      <c r="C2060" s="2">
        <f>IFERROR(__xludf.DUMMYFUNCTION("""COMPUTED_VALUE"""),20.31)</f>
        <v>20.31</v>
      </c>
      <c r="D2060" s="2">
        <f>IFERROR(__xludf.DUMMYFUNCTION("""COMPUTED_VALUE"""),19.85)</f>
        <v>19.85</v>
      </c>
      <c r="E2060" s="2">
        <f>IFERROR(__xludf.DUMMYFUNCTION("""COMPUTED_VALUE"""),20.21)</f>
        <v>20.21</v>
      </c>
      <c r="F2060" s="2">
        <f>IFERROR(__xludf.DUMMYFUNCTION("""COMPUTED_VALUE"""),7216706.0)</f>
        <v>7216706</v>
      </c>
    </row>
    <row r="2061">
      <c r="A2061" s="3">
        <f>IFERROR(__xludf.DUMMYFUNCTION("""COMPUTED_VALUE"""),43343.66666666667)</f>
        <v>43343.66667</v>
      </c>
      <c r="B2061" s="2">
        <f>IFERROR(__xludf.DUMMYFUNCTION("""COMPUTED_VALUE"""),20.13)</f>
        <v>20.13</v>
      </c>
      <c r="C2061" s="2">
        <f>IFERROR(__xludf.DUMMYFUNCTION("""COMPUTED_VALUE"""),20.35)</f>
        <v>20.35</v>
      </c>
      <c r="D2061" s="2">
        <f>IFERROR(__xludf.DUMMYFUNCTION("""COMPUTED_VALUE"""),19.91)</f>
        <v>19.91</v>
      </c>
      <c r="E2061" s="2">
        <f>IFERROR(__xludf.DUMMYFUNCTION("""COMPUTED_VALUE"""),20.11)</f>
        <v>20.11</v>
      </c>
      <c r="F2061" s="2">
        <f>IFERROR(__xludf.DUMMYFUNCTION("""COMPUTED_VALUE"""),5375104.0)</f>
        <v>5375104</v>
      </c>
    </row>
    <row r="2062">
      <c r="A2062" s="3">
        <f>IFERROR(__xludf.DUMMYFUNCTION("""COMPUTED_VALUE"""),43347.66666666667)</f>
        <v>43347.66667</v>
      </c>
      <c r="B2062" s="2">
        <f>IFERROR(__xludf.DUMMYFUNCTION("""COMPUTED_VALUE"""),19.8)</f>
        <v>19.8</v>
      </c>
      <c r="C2062" s="2">
        <f>IFERROR(__xludf.DUMMYFUNCTION("""COMPUTED_VALUE"""),19.88)</f>
        <v>19.88</v>
      </c>
      <c r="D2062" s="2">
        <f>IFERROR(__xludf.DUMMYFUNCTION("""COMPUTED_VALUE"""),19.2)</f>
        <v>19.2</v>
      </c>
      <c r="E2062" s="2">
        <f>IFERROR(__xludf.DUMMYFUNCTION("""COMPUTED_VALUE"""),19.26)</f>
        <v>19.26</v>
      </c>
      <c r="F2062" s="2">
        <f>IFERROR(__xludf.DUMMYFUNCTION("""COMPUTED_VALUE"""),8350469.0)</f>
        <v>8350469</v>
      </c>
    </row>
    <row r="2063">
      <c r="A2063" s="3">
        <f>IFERROR(__xludf.DUMMYFUNCTION("""COMPUTED_VALUE"""),43348.66666666667)</f>
        <v>43348.66667</v>
      </c>
      <c r="B2063" s="2">
        <f>IFERROR(__xludf.DUMMYFUNCTION("""COMPUTED_VALUE"""),19.0)</f>
        <v>19</v>
      </c>
      <c r="C2063" s="2">
        <f>IFERROR(__xludf.DUMMYFUNCTION("""COMPUTED_VALUE"""),19.12)</f>
        <v>19.12</v>
      </c>
      <c r="D2063" s="2">
        <f>IFERROR(__xludf.DUMMYFUNCTION("""COMPUTED_VALUE"""),18.48)</f>
        <v>18.48</v>
      </c>
      <c r="E2063" s="2">
        <f>IFERROR(__xludf.DUMMYFUNCTION("""COMPUTED_VALUE"""),18.72)</f>
        <v>18.72</v>
      </c>
      <c r="F2063" s="2">
        <f>IFERROR(__xludf.DUMMYFUNCTION("""COMPUTED_VALUE"""),7720821.0)</f>
        <v>7720821</v>
      </c>
    </row>
    <row r="2064">
      <c r="A2064" s="3">
        <f>IFERROR(__xludf.DUMMYFUNCTION("""COMPUTED_VALUE"""),43349.66666666667)</f>
        <v>43349.66667</v>
      </c>
      <c r="B2064" s="2">
        <f>IFERROR(__xludf.DUMMYFUNCTION("""COMPUTED_VALUE"""),18.99)</f>
        <v>18.99</v>
      </c>
      <c r="C2064" s="2">
        <f>IFERROR(__xludf.DUMMYFUNCTION("""COMPUTED_VALUE"""),19.41)</f>
        <v>19.41</v>
      </c>
      <c r="D2064" s="2">
        <f>IFERROR(__xludf.DUMMYFUNCTION("""COMPUTED_VALUE"""),18.59)</f>
        <v>18.59</v>
      </c>
      <c r="E2064" s="2">
        <f>IFERROR(__xludf.DUMMYFUNCTION("""COMPUTED_VALUE"""),18.73)</f>
        <v>18.73</v>
      </c>
      <c r="F2064" s="2">
        <f>IFERROR(__xludf.DUMMYFUNCTION("""COMPUTED_VALUE"""),7480760.0)</f>
        <v>7480760</v>
      </c>
    </row>
    <row r="2065">
      <c r="A2065" s="3">
        <f>IFERROR(__xludf.DUMMYFUNCTION("""COMPUTED_VALUE"""),43350.66666666667)</f>
        <v>43350.66667</v>
      </c>
      <c r="B2065" s="2">
        <f>IFERROR(__xludf.DUMMYFUNCTION("""COMPUTED_VALUE"""),17.34)</f>
        <v>17.34</v>
      </c>
      <c r="C2065" s="2">
        <f>IFERROR(__xludf.DUMMYFUNCTION("""COMPUTED_VALUE"""),17.89)</f>
        <v>17.89</v>
      </c>
      <c r="D2065" s="2">
        <f>IFERROR(__xludf.DUMMYFUNCTION("""COMPUTED_VALUE"""),16.82)</f>
        <v>16.82</v>
      </c>
      <c r="E2065" s="2">
        <f>IFERROR(__xludf.DUMMYFUNCTION("""COMPUTED_VALUE"""),17.55)</f>
        <v>17.55</v>
      </c>
      <c r="F2065" s="2">
        <f>IFERROR(__xludf.DUMMYFUNCTION("""COMPUTED_VALUE"""),2.2491931E7)</f>
        <v>22491931</v>
      </c>
    </row>
    <row r="2066">
      <c r="A2066" s="3">
        <f>IFERROR(__xludf.DUMMYFUNCTION("""COMPUTED_VALUE"""),43353.66666666667)</f>
        <v>43353.66667</v>
      </c>
      <c r="B2066" s="2">
        <f>IFERROR(__xludf.DUMMYFUNCTION("""COMPUTED_VALUE"""),18.22)</f>
        <v>18.22</v>
      </c>
      <c r="C2066" s="2">
        <f>IFERROR(__xludf.DUMMYFUNCTION("""COMPUTED_VALUE"""),19.07)</f>
        <v>19.07</v>
      </c>
      <c r="D2066" s="2">
        <f>IFERROR(__xludf.DUMMYFUNCTION("""COMPUTED_VALUE"""),18.07)</f>
        <v>18.07</v>
      </c>
      <c r="E2066" s="2">
        <f>IFERROR(__xludf.DUMMYFUNCTION("""COMPUTED_VALUE"""),19.03)</f>
        <v>19.03</v>
      </c>
      <c r="F2066" s="2">
        <f>IFERROR(__xludf.DUMMYFUNCTION("""COMPUTED_VALUE"""),1.4283528E7)</f>
        <v>14283528</v>
      </c>
    </row>
    <row r="2067">
      <c r="A2067" s="3">
        <f>IFERROR(__xludf.DUMMYFUNCTION("""COMPUTED_VALUE"""),43354.66666666667)</f>
        <v>43354.66667</v>
      </c>
      <c r="B2067" s="2">
        <f>IFERROR(__xludf.DUMMYFUNCTION("""COMPUTED_VALUE"""),18.63)</f>
        <v>18.63</v>
      </c>
      <c r="C2067" s="2">
        <f>IFERROR(__xludf.DUMMYFUNCTION("""COMPUTED_VALUE"""),18.8)</f>
        <v>18.8</v>
      </c>
      <c r="D2067" s="2">
        <f>IFERROR(__xludf.DUMMYFUNCTION("""COMPUTED_VALUE"""),18.24)</f>
        <v>18.24</v>
      </c>
      <c r="E2067" s="2">
        <f>IFERROR(__xludf.DUMMYFUNCTION("""COMPUTED_VALUE"""),18.63)</f>
        <v>18.63</v>
      </c>
      <c r="F2067" s="2">
        <f>IFERROR(__xludf.DUMMYFUNCTION("""COMPUTED_VALUE"""),9169989.0)</f>
        <v>9169989</v>
      </c>
    </row>
    <row r="2068">
      <c r="A2068" s="3">
        <f>IFERROR(__xludf.DUMMYFUNCTION("""COMPUTED_VALUE"""),43355.66666666667)</f>
        <v>43355.66667</v>
      </c>
      <c r="B2068" s="2">
        <f>IFERROR(__xludf.DUMMYFUNCTION("""COMPUTED_VALUE"""),18.76)</f>
        <v>18.76</v>
      </c>
      <c r="C2068" s="2">
        <f>IFERROR(__xludf.DUMMYFUNCTION("""COMPUTED_VALUE"""),19.5)</f>
        <v>19.5</v>
      </c>
      <c r="D2068" s="2">
        <f>IFERROR(__xludf.DUMMYFUNCTION("""COMPUTED_VALUE"""),18.58)</f>
        <v>18.58</v>
      </c>
      <c r="E2068" s="2">
        <f>IFERROR(__xludf.DUMMYFUNCTION("""COMPUTED_VALUE"""),19.37)</f>
        <v>19.37</v>
      </c>
      <c r="F2068" s="2">
        <f>IFERROR(__xludf.DUMMYFUNCTION("""COMPUTED_VALUE"""),1.0015427E7)</f>
        <v>10015427</v>
      </c>
    </row>
    <row r="2069">
      <c r="A2069" s="3">
        <f>IFERROR(__xludf.DUMMYFUNCTION("""COMPUTED_VALUE"""),43356.66666666667)</f>
        <v>43356.66667</v>
      </c>
      <c r="B2069" s="2">
        <f>IFERROR(__xludf.DUMMYFUNCTION("""COMPUTED_VALUE"""),19.2)</f>
        <v>19.2</v>
      </c>
      <c r="C2069" s="2">
        <f>IFERROR(__xludf.DUMMYFUNCTION("""COMPUTED_VALUE"""),19.67)</f>
        <v>19.67</v>
      </c>
      <c r="D2069" s="2">
        <f>IFERROR(__xludf.DUMMYFUNCTION("""COMPUTED_VALUE"""),19.01)</f>
        <v>19.01</v>
      </c>
      <c r="E2069" s="2">
        <f>IFERROR(__xludf.DUMMYFUNCTION("""COMPUTED_VALUE"""),19.3)</f>
        <v>19.3</v>
      </c>
      <c r="F2069" s="2">
        <f>IFERROR(__xludf.DUMMYFUNCTION("""COMPUTED_VALUE"""),6340336.0)</f>
        <v>6340336</v>
      </c>
    </row>
    <row r="2070">
      <c r="A2070" s="3">
        <f>IFERROR(__xludf.DUMMYFUNCTION("""COMPUTED_VALUE"""),43357.66666666667)</f>
        <v>43357.66667</v>
      </c>
      <c r="B2070" s="2">
        <f>IFERROR(__xludf.DUMMYFUNCTION("""COMPUTED_VALUE"""),19.25)</f>
        <v>19.25</v>
      </c>
      <c r="C2070" s="2">
        <f>IFERROR(__xludf.DUMMYFUNCTION("""COMPUTED_VALUE"""),19.82)</f>
        <v>19.82</v>
      </c>
      <c r="D2070" s="2">
        <f>IFERROR(__xludf.DUMMYFUNCTION("""COMPUTED_VALUE"""),19.1)</f>
        <v>19.1</v>
      </c>
      <c r="E2070" s="2">
        <f>IFERROR(__xludf.DUMMYFUNCTION("""COMPUTED_VALUE"""),19.68)</f>
        <v>19.68</v>
      </c>
      <c r="F2070" s="2">
        <f>IFERROR(__xludf.DUMMYFUNCTION("""COMPUTED_VALUE"""),6765612.0)</f>
        <v>6765612</v>
      </c>
    </row>
    <row r="2071">
      <c r="A2071" s="3">
        <f>IFERROR(__xludf.DUMMYFUNCTION("""COMPUTED_VALUE"""),43360.66666666667)</f>
        <v>43360.66667</v>
      </c>
      <c r="B2071" s="2">
        <f>IFERROR(__xludf.DUMMYFUNCTION("""COMPUTED_VALUE"""),19.34)</f>
        <v>19.34</v>
      </c>
      <c r="C2071" s="2">
        <f>IFERROR(__xludf.DUMMYFUNCTION("""COMPUTED_VALUE"""),20.06)</f>
        <v>20.06</v>
      </c>
      <c r="D2071" s="2">
        <f>IFERROR(__xludf.DUMMYFUNCTION("""COMPUTED_VALUE"""),19.21)</f>
        <v>19.21</v>
      </c>
      <c r="E2071" s="2">
        <f>IFERROR(__xludf.DUMMYFUNCTION("""COMPUTED_VALUE"""),19.66)</f>
        <v>19.66</v>
      </c>
      <c r="F2071" s="2">
        <f>IFERROR(__xludf.DUMMYFUNCTION("""COMPUTED_VALUE"""),6887577.0)</f>
        <v>6887577</v>
      </c>
    </row>
    <row r="2072">
      <c r="A2072" s="3">
        <f>IFERROR(__xludf.DUMMYFUNCTION("""COMPUTED_VALUE"""),43361.66666666667)</f>
        <v>43361.66667</v>
      </c>
      <c r="B2072" s="2">
        <f>IFERROR(__xludf.DUMMYFUNCTION("""COMPUTED_VALUE"""),19.78)</f>
        <v>19.78</v>
      </c>
      <c r="C2072" s="2">
        <f>IFERROR(__xludf.DUMMYFUNCTION("""COMPUTED_VALUE"""),20.18)</f>
        <v>20.18</v>
      </c>
      <c r="D2072" s="2">
        <f>IFERROR(__xludf.DUMMYFUNCTION("""COMPUTED_VALUE"""),18.37)</f>
        <v>18.37</v>
      </c>
      <c r="E2072" s="2">
        <f>IFERROR(__xludf.DUMMYFUNCTION("""COMPUTED_VALUE"""),19.0)</f>
        <v>19</v>
      </c>
      <c r="F2072" s="2">
        <f>IFERROR(__xludf.DUMMYFUNCTION("""COMPUTED_VALUE"""),1.6547522E7)</f>
        <v>16547522</v>
      </c>
    </row>
    <row r="2073">
      <c r="A2073" s="3">
        <f>IFERROR(__xludf.DUMMYFUNCTION("""COMPUTED_VALUE"""),43362.66666666667)</f>
        <v>43362.66667</v>
      </c>
      <c r="B2073" s="2">
        <f>IFERROR(__xludf.DUMMYFUNCTION("""COMPUTED_VALUE"""),18.7)</f>
        <v>18.7</v>
      </c>
      <c r="C2073" s="2">
        <f>IFERROR(__xludf.DUMMYFUNCTION("""COMPUTED_VALUE"""),20.0)</f>
        <v>20</v>
      </c>
      <c r="D2073" s="2">
        <f>IFERROR(__xludf.DUMMYFUNCTION("""COMPUTED_VALUE"""),18.7)</f>
        <v>18.7</v>
      </c>
      <c r="E2073" s="2">
        <f>IFERROR(__xludf.DUMMYFUNCTION("""COMPUTED_VALUE"""),19.93)</f>
        <v>19.93</v>
      </c>
      <c r="F2073" s="2">
        <f>IFERROR(__xludf.DUMMYFUNCTION("""COMPUTED_VALUE"""),8294917.0)</f>
        <v>8294917</v>
      </c>
    </row>
    <row r="2074">
      <c r="A2074" s="3">
        <f>IFERROR(__xludf.DUMMYFUNCTION("""COMPUTED_VALUE"""),43363.66666666667)</f>
        <v>43363.66667</v>
      </c>
      <c r="B2074" s="2">
        <f>IFERROR(__xludf.DUMMYFUNCTION("""COMPUTED_VALUE"""),20.24)</f>
        <v>20.24</v>
      </c>
      <c r="C2074" s="2">
        <f>IFERROR(__xludf.DUMMYFUNCTION("""COMPUTED_VALUE"""),20.4)</f>
        <v>20.4</v>
      </c>
      <c r="D2074" s="2">
        <f>IFERROR(__xludf.DUMMYFUNCTION("""COMPUTED_VALUE"""),19.56)</f>
        <v>19.56</v>
      </c>
      <c r="E2074" s="2">
        <f>IFERROR(__xludf.DUMMYFUNCTION("""COMPUTED_VALUE"""),19.89)</f>
        <v>19.89</v>
      </c>
      <c r="F2074" s="2">
        <f>IFERROR(__xludf.DUMMYFUNCTION("""COMPUTED_VALUE"""),7349422.0)</f>
        <v>7349422</v>
      </c>
    </row>
    <row r="2075">
      <c r="A2075" s="3">
        <f>IFERROR(__xludf.DUMMYFUNCTION("""COMPUTED_VALUE"""),43364.66666666667)</f>
        <v>43364.66667</v>
      </c>
      <c r="B2075" s="2">
        <f>IFERROR(__xludf.DUMMYFUNCTION("""COMPUTED_VALUE"""),19.85)</f>
        <v>19.85</v>
      </c>
      <c r="C2075" s="2">
        <f>IFERROR(__xludf.DUMMYFUNCTION("""COMPUTED_VALUE"""),20.04)</f>
        <v>20.04</v>
      </c>
      <c r="D2075" s="2">
        <f>IFERROR(__xludf.DUMMYFUNCTION("""COMPUTED_VALUE"""),19.69)</f>
        <v>19.69</v>
      </c>
      <c r="E2075" s="2">
        <f>IFERROR(__xludf.DUMMYFUNCTION("""COMPUTED_VALUE"""),19.94)</f>
        <v>19.94</v>
      </c>
      <c r="F2075" s="2">
        <f>IFERROR(__xludf.DUMMYFUNCTION("""COMPUTED_VALUE"""),5050478.0)</f>
        <v>5050478</v>
      </c>
    </row>
    <row r="2076">
      <c r="A2076" s="3">
        <f>IFERROR(__xludf.DUMMYFUNCTION("""COMPUTED_VALUE"""),43367.66666666667)</f>
        <v>43367.66667</v>
      </c>
      <c r="B2076" s="2">
        <f>IFERROR(__xludf.DUMMYFUNCTION("""COMPUTED_VALUE"""),19.9)</f>
        <v>19.9</v>
      </c>
      <c r="C2076" s="2">
        <f>IFERROR(__xludf.DUMMYFUNCTION("""COMPUTED_VALUE"""),20.2)</f>
        <v>20.2</v>
      </c>
      <c r="D2076" s="2">
        <f>IFERROR(__xludf.DUMMYFUNCTION("""COMPUTED_VALUE"""),19.57)</f>
        <v>19.57</v>
      </c>
      <c r="E2076" s="2">
        <f>IFERROR(__xludf.DUMMYFUNCTION("""COMPUTED_VALUE"""),19.98)</f>
        <v>19.98</v>
      </c>
      <c r="F2076" s="2">
        <f>IFERROR(__xludf.DUMMYFUNCTION("""COMPUTED_VALUE"""),4842961.0)</f>
        <v>4842961</v>
      </c>
    </row>
    <row r="2077">
      <c r="A2077" s="3">
        <f>IFERROR(__xludf.DUMMYFUNCTION("""COMPUTED_VALUE"""),43368.66666666667)</f>
        <v>43368.66667</v>
      </c>
      <c r="B2077" s="2">
        <f>IFERROR(__xludf.DUMMYFUNCTION("""COMPUTED_VALUE"""),20.0)</f>
        <v>20</v>
      </c>
      <c r="C2077" s="2">
        <f>IFERROR(__xludf.DUMMYFUNCTION("""COMPUTED_VALUE"""),20.31)</f>
        <v>20.31</v>
      </c>
      <c r="D2077" s="2">
        <f>IFERROR(__xludf.DUMMYFUNCTION("""COMPUTED_VALUE"""),19.77)</f>
        <v>19.77</v>
      </c>
      <c r="E2077" s="2">
        <f>IFERROR(__xludf.DUMMYFUNCTION("""COMPUTED_VALUE"""),20.07)</f>
        <v>20.07</v>
      </c>
      <c r="F2077" s="2">
        <f>IFERROR(__xludf.DUMMYFUNCTION("""COMPUTED_VALUE"""),4481729.0)</f>
        <v>4481729</v>
      </c>
    </row>
    <row r="2078">
      <c r="A2078" s="3">
        <f>IFERROR(__xludf.DUMMYFUNCTION("""COMPUTED_VALUE"""),43369.66666666667)</f>
        <v>43369.66667</v>
      </c>
      <c r="B2078" s="2">
        <f>IFERROR(__xludf.DUMMYFUNCTION("""COMPUTED_VALUE"""),20.13)</f>
        <v>20.13</v>
      </c>
      <c r="C2078" s="2">
        <f>IFERROR(__xludf.DUMMYFUNCTION("""COMPUTED_VALUE"""),20.93)</f>
        <v>20.93</v>
      </c>
      <c r="D2078" s="2">
        <f>IFERROR(__xludf.DUMMYFUNCTION("""COMPUTED_VALUE"""),20.07)</f>
        <v>20.07</v>
      </c>
      <c r="E2078" s="2">
        <f>IFERROR(__xludf.DUMMYFUNCTION("""COMPUTED_VALUE"""),20.64)</f>
        <v>20.64</v>
      </c>
      <c r="F2078" s="2">
        <f>IFERROR(__xludf.DUMMYFUNCTION("""COMPUTED_VALUE"""),7843216.0)</f>
        <v>7843216</v>
      </c>
    </row>
    <row r="2079">
      <c r="A2079" s="3">
        <f>IFERROR(__xludf.DUMMYFUNCTION("""COMPUTED_VALUE"""),43370.66666666667)</f>
        <v>43370.66667</v>
      </c>
      <c r="B2079" s="2">
        <f>IFERROR(__xludf.DUMMYFUNCTION("""COMPUTED_VALUE"""),20.86)</f>
        <v>20.86</v>
      </c>
      <c r="C2079" s="2">
        <f>IFERROR(__xludf.DUMMYFUNCTION("""COMPUTED_VALUE"""),21.0)</f>
        <v>21</v>
      </c>
      <c r="D2079" s="2">
        <f>IFERROR(__xludf.DUMMYFUNCTION("""COMPUTED_VALUE"""),20.46)</f>
        <v>20.46</v>
      </c>
      <c r="E2079" s="2">
        <f>IFERROR(__xludf.DUMMYFUNCTION("""COMPUTED_VALUE"""),20.5)</f>
        <v>20.5</v>
      </c>
      <c r="F2079" s="2">
        <f>IFERROR(__xludf.DUMMYFUNCTION("""COMPUTED_VALUE"""),8509084.0)</f>
        <v>8509084</v>
      </c>
    </row>
    <row r="2080">
      <c r="A2080" s="3">
        <f>IFERROR(__xludf.DUMMYFUNCTION("""COMPUTED_VALUE"""),43371.66666666667)</f>
        <v>43371.66667</v>
      </c>
      <c r="B2080" s="2">
        <f>IFERROR(__xludf.DUMMYFUNCTION("""COMPUTED_VALUE"""),18.02)</f>
        <v>18.02</v>
      </c>
      <c r="C2080" s="2">
        <f>IFERROR(__xludf.DUMMYFUNCTION("""COMPUTED_VALUE"""),18.53)</f>
        <v>18.53</v>
      </c>
      <c r="D2080" s="2">
        <f>IFERROR(__xludf.DUMMYFUNCTION("""COMPUTED_VALUE"""),17.37)</f>
        <v>17.37</v>
      </c>
      <c r="E2080" s="2">
        <f>IFERROR(__xludf.DUMMYFUNCTION("""COMPUTED_VALUE"""),17.65)</f>
        <v>17.65</v>
      </c>
      <c r="F2080" s="2">
        <f>IFERROR(__xludf.DUMMYFUNCTION("""COMPUTED_VALUE"""),3.3649694E7)</f>
        <v>33649694</v>
      </c>
    </row>
    <row r="2081">
      <c r="A2081" s="3">
        <f>IFERROR(__xludf.DUMMYFUNCTION("""COMPUTED_VALUE"""),43374.66666666667)</f>
        <v>43374.66667</v>
      </c>
      <c r="B2081" s="2">
        <f>IFERROR(__xludf.DUMMYFUNCTION("""COMPUTED_VALUE"""),20.38)</f>
        <v>20.38</v>
      </c>
      <c r="C2081" s="2">
        <f>IFERROR(__xludf.DUMMYFUNCTION("""COMPUTED_VALUE"""),20.76)</f>
        <v>20.76</v>
      </c>
      <c r="D2081" s="2">
        <f>IFERROR(__xludf.DUMMYFUNCTION("""COMPUTED_VALUE"""),20.07)</f>
        <v>20.07</v>
      </c>
      <c r="E2081" s="2">
        <f>IFERROR(__xludf.DUMMYFUNCTION("""COMPUTED_VALUE"""),20.71)</f>
        <v>20.71</v>
      </c>
      <c r="F2081" s="2">
        <f>IFERROR(__xludf.DUMMYFUNCTION("""COMPUTED_VALUE"""),2.1777597E7)</f>
        <v>21777597</v>
      </c>
    </row>
    <row r="2082">
      <c r="A2082" s="3">
        <f>IFERROR(__xludf.DUMMYFUNCTION("""COMPUTED_VALUE"""),43375.66666666667)</f>
        <v>43375.66667</v>
      </c>
      <c r="B2082" s="2">
        <f>IFERROR(__xludf.DUMMYFUNCTION("""COMPUTED_VALUE"""),20.93)</f>
        <v>20.93</v>
      </c>
      <c r="C2082" s="2">
        <f>IFERROR(__xludf.DUMMYFUNCTION("""COMPUTED_VALUE"""),21.12)</f>
        <v>21.12</v>
      </c>
      <c r="D2082" s="2">
        <f>IFERROR(__xludf.DUMMYFUNCTION("""COMPUTED_VALUE"""),19.94)</f>
        <v>19.94</v>
      </c>
      <c r="E2082" s="2">
        <f>IFERROR(__xludf.DUMMYFUNCTION("""COMPUTED_VALUE"""),20.07)</f>
        <v>20.07</v>
      </c>
      <c r="F2082" s="2">
        <f>IFERROR(__xludf.DUMMYFUNCTION("""COMPUTED_VALUE"""),1.1743511E7)</f>
        <v>11743511</v>
      </c>
    </row>
    <row r="2083">
      <c r="A2083" s="3">
        <f>IFERROR(__xludf.DUMMYFUNCTION("""COMPUTED_VALUE"""),43376.66666666667)</f>
        <v>43376.66667</v>
      </c>
      <c r="B2083" s="2">
        <f>IFERROR(__xludf.DUMMYFUNCTION("""COMPUTED_VALUE"""),20.22)</f>
        <v>20.22</v>
      </c>
      <c r="C2083" s="2">
        <f>IFERROR(__xludf.DUMMYFUNCTION("""COMPUTED_VALUE"""),20.31)</f>
        <v>20.31</v>
      </c>
      <c r="D2083" s="2">
        <f>IFERROR(__xludf.DUMMYFUNCTION("""COMPUTED_VALUE"""),19.44)</f>
        <v>19.44</v>
      </c>
      <c r="E2083" s="2">
        <f>IFERROR(__xludf.DUMMYFUNCTION("""COMPUTED_VALUE"""),19.65)</f>
        <v>19.65</v>
      </c>
      <c r="F2083" s="2">
        <f>IFERROR(__xludf.DUMMYFUNCTION("""COMPUTED_VALUE"""),7994988.0)</f>
        <v>7994988</v>
      </c>
    </row>
    <row r="2084">
      <c r="A2084" s="3">
        <f>IFERROR(__xludf.DUMMYFUNCTION("""COMPUTED_VALUE"""),43377.66666666667)</f>
        <v>43377.66667</v>
      </c>
      <c r="B2084" s="2">
        <f>IFERROR(__xludf.DUMMYFUNCTION("""COMPUTED_VALUE"""),19.6)</f>
        <v>19.6</v>
      </c>
      <c r="C2084" s="2">
        <f>IFERROR(__xludf.DUMMYFUNCTION("""COMPUTED_VALUE"""),19.6)</f>
        <v>19.6</v>
      </c>
      <c r="D2084" s="2">
        <f>IFERROR(__xludf.DUMMYFUNCTION("""COMPUTED_VALUE"""),18.51)</f>
        <v>18.51</v>
      </c>
      <c r="E2084" s="2">
        <f>IFERROR(__xludf.DUMMYFUNCTION("""COMPUTED_VALUE"""),18.79)</f>
        <v>18.79</v>
      </c>
      <c r="F2084" s="2">
        <f>IFERROR(__xludf.DUMMYFUNCTION("""COMPUTED_VALUE"""),9814212.0)</f>
        <v>9814212</v>
      </c>
    </row>
    <row r="2085">
      <c r="A2085" s="3">
        <f>IFERROR(__xludf.DUMMYFUNCTION("""COMPUTED_VALUE"""),43378.66666666667)</f>
        <v>43378.66667</v>
      </c>
      <c r="B2085" s="2">
        <f>IFERROR(__xludf.DUMMYFUNCTION("""COMPUTED_VALUE"""),18.31)</f>
        <v>18.31</v>
      </c>
      <c r="C2085" s="2">
        <f>IFERROR(__xludf.DUMMYFUNCTION("""COMPUTED_VALUE"""),18.33)</f>
        <v>18.33</v>
      </c>
      <c r="D2085" s="2">
        <f>IFERROR(__xludf.DUMMYFUNCTION("""COMPUTED_VALUE"""),17.33)</f>
        <v>17.33</v>
      </c>
      <c r="E2085" s="2">
        <f>IFERROR(__xludf.DUMMYFUNCTION("""COMPUTED_VALUE"""),17.46)</f>
        <v>17.46</v>
      </c>
      <c r="F2085" s="2">
        <f>IFERROR(__xludf.DUMMYFUNCTION("""COMPUTED_VALUE"""),1.7944537E7)</f>
        <v>17944537</v>
      </c>
    </row>
    <row r="2086">
      <c r="A2086" s="3">
        <f>IFERROR(__xludf.DUMMYFUNCTION("""COMPUTED_VALUE"""),43381.66666666667)</f>
        <v>43381.66667</v>
      </c>
      <c r="B2086" s="2">
        <f>IFERROR(__xludf.DUMMYFUNCTION("""COMPUTED_VALUE"""),17.63)</f>
        <v>17.63</v>
      </c>
      <c r="C2086" s="2">
        <f>IFERROR(__xludf.DUMMYFUNCTION("""COMPUTED_VALUE"""),17.85)</f>
        <v>17.85</v>
      </c>
      <c r="D2086" s="2">
        <f>IFERROR(__xludf.DUMMYFUNCTION("""COMPUTED_VALUE"""),16.6)</f>
        <v>16.6</v>
      </c>
      <c r="E2086" s="2">
        <f>IFERROR(__xludf.DUMMYFUNCTION("""COMPUTED_VALUE"""),16.7)</f>
        <v>16.7</v>
      </c>
      <c r="F2086" s="2">
        <f>IFERROR(__xludf.DUMMYFUNCTION("""COMPUTED_VALUE"""),1.3472653E7)</f>
        <v>13472653</v>
      </c>
    </row>
    <row r="2087">
      <c r="A2087" s="3">
        <f>IFERROR(__xludf.DUMMYFUNCTION("""COMPUTED_VALUE"""),43382.66666666667)</f>
        <v>43382.66667</v>
      </c>
      <c r="B2087" s="2">
        <f>IFERROR(__xludf.DUMMYFUNCTION("""COMPUTED_VALUE"""),17.02)</f>
        <v>17.02</v>
      </c>
      <c r="C2087" s="2">
        <f>IFERROR(__xludf.DUMMYFUNCTION("""COMPUTED_VALUE"""),17.78)</f>
        <v>17.78</v>
      </c>
      <c r="D2087" s="2">
        <f>IFERROR(__xludf.DUMMYFUNCTION("""COMPUTED_VALUE"""),16.89)</f>
        <v>16.89</v>
      </c>
      <c r="E2087" s="2">
        <f>IFERROR(__xludf.DUMMYFUNCTION("""COMPUTED_VALUE"""),17.52)</f>
        <v>17.52</v>
      </c>
      <c r="F2087" s="2">
        <f>IFERROR(__xludf.DUMMYFUNCTION("""COMPUTED_VALUE"""),1.2060574E7)</f>
        <v>12060574</v>
      </c>
    </row>
    <row r="2088">
      <c r="A2088" s="3">
        <f>IFERROR(__xludf.DUMMYFUNCTION("""COMPUTED_VALUE"""),43383.66666666667)</f>
        <v>43383.66667</v>
      </c>
      <c r="B2088" s="2">
        <f>IFERROR(__xludf.DUMMYFUNCTION("""COMPUTED_VALUE"""),17.64)</f>
        <v>17.64</v>
      </c>
      <c r="C2088" s="2">
        <f>IFERROR(__xludf.DUMMYFUNCTION("""COMPUTED_VALUE"""),17.7)</f>
        <v>17.7</v>
      </c>
      <c r="D2088" s="2">
        <f>IFERROR(__xludf.DUMMYFUNCTION("""COMPUTED_VALUE"""),16.52)</f>
        <v>16.52</v>
      </c>
      <c r="E2088" s="2">
        <f>IFERROR(__xludf.DUMMYFUNCTION("""COMPUTED_VALUE"""),17.13)</f>
        <v>17.13</v>
      </c>
      <c r="F2088" s="2">
        <f>IFERROR(__xludf.DUMMYFUNCTION("""COMPUTED_VALUE"""),1.2815278E7)</f>
        <v>12815278</v>
      </c>
    </row>
    <row r="2089">
      <c r="A2089" s="3">
        <f>IFERROR(__xludf.DUMMYFUNCTION("""COMPUTED_VALUE"""),43384.66666666667)</f>
        <v>43384.66667</v>
      </c>
      <c r="B2089" s="2">
        <f>IFERROR(__xludf.DUMMYFUNCTION("""COMPUTED_VALUE"""),17.17)</f>
        <v>17.17</v>
      </c>
      <c r="C2089" s="2">
        <f>IFERROR(__xludf.DUMMYFUNCTION("""COMPUTED_VALUE"""),17.48)</f>
        <v>17.48</v>
      </c>
      <c r="D2089" s="2">
        <f>IFERROR(__xludf.DUMMYFUNCTION("""COMPUTED_VALUE"""),16.6)</f>
        <v>16.6</v>
      </c>
      <c r="E2089" s="2">
        <f>IFERROR(__xludf.DUMMYFUNCTION("""COMPUTED_VALUE"""),16.82)</f>
        <v>16.82</v>
      </c>
      <c r="F2089" s="2">
        <f>IFERROR(__xludf.DUMMYFUNCTION("""COMPUTED_VALUE"""),8167738.0)</f>
        <v>8167738</v>
      </c>
    </row>
    <row r="2090">
      <c r="A2090" s="3">
        <f>IFERROR(__xludf.DUMMYFUNCTION("""COMPUTED_VALUE"""),43385.66666666667)</f>
        <v>43385.66667</v>
      </c>
      <c r="B2090" s="2">
        <f>IFERROR(__xludf.DUMMYFUNCTION("""COMPUTED_VALUE"""),17.4)</f>
        <v>17.4</v>
      </c>
      <c r="C2090" s="2">
        <f>IFERROR(__xludf.DUMMYFUNCTION("""COMPUTED_VALUE"""),17.47)</f>
        <v>17.47</v>
      </c>
      <c r="D2090" s="2">
        <f>IFERROR(__xludf.DUMMYFUNCTION("""COMPUTED_VALUE"""),16.8)</f>
        <v>16.8</v>
      </c>
      <c r="E2090" s="2">
        <f>IFERROR(__xludf.DUMMYFUNCTION("""COMPUTED_VALUE"""),17.25)</f>
        <v>17.25</v>
      </c>
      <c r="F2090" s="2">
        <f>IFERROR(__xludf.DUMMYFUNCTION("""COMPUTED_VALUE"""),7201404.0)</f>
        <v>7201404</v>
      </c>
    </row>
    <row r="2091">
      <c r="A2091" s="3">
        <f>IFERROR(__xludf.DUMMYFUNCTION("""COMPUTED_VALUE"""),43388.66666666667)</f>
        <v>43388.66667</v>
      </c>
      <c r="B2091" s="2">
        <f>IFERROR(__xludf.DUMMYFUNCTION("""COMPUTED_VALUE"""),17.27)</f>
        <v>17.27</v>
      </c>
      <c r="C2091" s="2">
        <f>IFERROR(__xludf.DUMMYFUNCTION("""COMPUTED_VALUE"""),17.55)</f>
        <v>17.55</v>
      </c>
      <c r="D2091" s="2">
        <f>IFERROR(__xludf.DUMMYFUNCTION("""COMPUTED_VALUE"""),16.97)</f>
        <v>16.97</v>
      </c>
      <c r="E2091" s="2">
        <f>IFERROR(__xludf.DUMMYFUNCTION("""COMPUTED_VALUE"""),17.31)</f>
        <v>17.31</v>
      </c>
      <c r="F2091" s="2">
        <f>IFERROR(__xludf.DUMMYFUNCTION("""COMPUTED_VALUE"""),6199965.0)</f>
        <v>6199965</v>
      </c>
    </row>
    <row r="2092">
      <c r="A2092" s="3">
        <f>IFERROR(__xludf.DUMMYFUNCTION("""COMPUTED_VALUE"""),43389.66666666667)</f>
        <v>43389.66667</v>
      </c>
      <c r="B2092" s="2">
        <f>IFERROR(__xludf.DUMMYFUNCTION("""COMPUTED_VALUE"""),17.71)</f>
        <v>17.71</v>
      </c>
      <c r="C2092" s="2">
        <f>IFERROR(__xludf.DUMMYFUNCTION("""COMPUTED_VALUE"""),18.49)</f>
        <v>18.49</v>
      </c>
      <c r="D2092" s="2">
        <f>IFERROR(__xludf.DUMMYFUNCTION("""COMPUTED_VALUE"""),17.48)</f>
        <v>17.48</v>
      </c>
      <c r="E2092" s="2">
        <f>IFERROR(__xludf.DUMMYFUNCTION("""COMPUTED_VALUE"""),18.44)</f>
        <v>18.44</v>
      </c>
      <c r="F2092" s="2">
        <f>IFERROR(__xludf.DUMMYFUNCTION("""COMPUTED_VALUE"""),9526401.0)</f>
        <v>9526401</v>
      </c>
    </row>
    <row r="2093">
      <c r="A2093" s="3">
        <f>IFERROR(__xludf.DUMMYFUNCTION("""COMPUTED_VALUE"""),43390.66666666667)</f>
        <v>43390.66667</v>
      </c>
      <c r="B2093" s="2">
        <f>IFERROR(__xludf.DUMMYFUNCTION("""COMPUTED_VALUE"""),18.83)</f>
        <v>18.83</v>
      </c>
      <c r="C2093" s="2">
        <f>IFERROR(__xludf.DUMMYFUNCTION("""COMPUTED_VALUE"""),18.85)</f>
        <v>18.85</v>
      </c>
      <c r="D2093" s="2">
        <f>IFERROR(__xludf.DUMMYFUNCTION("""COMPUTED_VALUE"""),17.72)</f>
        <v>17.72</v>
      </c>
      <c r="E2093" s="2">
        <f>IFERROR(__xludf.DUMMYFUNCTION("""COMPUTED_VALUE"""),18.12)</f>
        <v>18.12</v>
      </c>
      <c r="F2093" s="2">
        <f>IFERROR(__xludf.DUMMYFUNCTION("""COMPUTED_VALUE"""),8655542.0)</f>
        <v>8655542</v>
      </c>
    </row>
    <row r="2094">
      <c r="A2094" s="3">
        <f>IFERROR(__xludf.DUMMYFUNCTION("""COMPUTED_VALUE"""),43391.66666666667)</f>
        <v>43391.66667</v>
      </c>
      <c r="B2094" s="2">
        <f>IFERROR(__xludf.DUMMYFUNCTION("""COMPUTED_VALUE"""),17.95)</f>
        <v>17.95</v>
      </c>
      <c r="C2094" s="2">
        <f>IFERROR(__xludf.DUMMYFUNCTION("""COMPUTED_VALUE"""),18.07)</f>
        <v>18.07</v>
      </c>
      <c r="D2094" s="2">
        <f>IFERROR(__xludf.DUMMYFUNCTION("""COMPUTED_VALUE"""),17.53)</f>
        <v>17.53</v>
      </c>
      <c r="E2094" s="2">
        <f>IFERROR(__xludf.DUMMYFUNCTION("""COMPUTED_VALUE"""),17.59)</f>
        <v>17.59</v>
      </c>
      <c r="F2094" s="2">
        <f>IFERROR(__xludf.DUMMYFUNCTION("""COMPUTED_VALUE"""),5421184.0)</f>
        <v>5421184</v>
      </c>
    </row>
    <row r="2095">
      <c r="A2095" s="3">
        <f>IFERROR(__xludf.DUMMYFUNCTION("""COMPUTED_VALUE"""),43392.66666666667)</f>
        <v>43392.66667</v>
      </c>
      <c r="B2095" s="2">
        <f>IFERROR(__xludf.DUMMYFUNCTION("""COMPUTED_VALUE"""),17.83)</f>
        <v>17.83</v>
      </c>
      <c r="C2095" s="2">
        <f>IFERROR(__xludf.DUMMYFUNCTION("""COMPUTED_VALUE"""),17.98)</f>
        <v>17.98</v>
      </c>
      <c r="D2095" s="2">
        <f>IFERROR(__xludf.DUMMYFUNCTION("""COMPUTED_VALUE"""),16.9)</f>
        <v>16.9</v>
      </c>
      <c r="E2095" s="2">
        <f>IFERROR(__xludf.DUMMYFUNCTION("""COMPUTED_VALUE"""),17.33)</f>
        <v>17.33</v>
      </c>
      <c r="F2095" s="2">
        <f>IFERROR(__xludf.DUMMYFUNCTION("""COMPUTED_VALUE"""),9375549.0)</f>
        <v>9375549</v>
      </c>
    </row>
    <row r="2096">
      <c r="A2096" s="3">
        <f>IFERROR(__xludf.DUMMYFUNCTION("""COMPUTED_VALUE"""),43395.66666666667)</f>
        <v>43395.66667</v>
      </c>
      <c r="B2096" s="2">
        <f>IFERROR(__xludf.DUMMYFUNCTION("""COMPUTED_VALUE"""),17.38)</f>
        <v>17.38</v>
      </c>
      <c r="C2096" s="2">
        <f>IFERROR(__xludf.DUMMYFUNCTION("""COMPUTED_VALUE"""),17.46)</f>
        <v>17.46</v>
      </c>
      <c r="D2096" s="2">
        <f>IFERROR(__xludf.DUMMYFUNCTION("""COMPUTED_VALUE"""),16.84)</f>
        <v>16.84</v>
      </c>
      <c r="E2096" s="2">
        <f>IFERROR(__xludf.DUMMYFUNCTION("""COMPUTED_VALUE"""),17.4)</f>
        <v>17.4</v>
      </c>
      <c r="F2096" s="2">
        <f>IFERROR(__xludf.DUMMYFUNCTION("""COMPUTED_VALUE"""),5600260.0)</f>
        <v>5600260</v>
      </c>
    </row>
    <row r="2097">
      <c r="A2097" s="3">
        <f>IFERROR(__xludf.DUMMYFUNCTION("""COMPUTED_VALUE"""),43396.66666666667)</f>
        <v>43396.66667</v>
      </c>
      <c r="B2097" s="2">
        <f>IFERROR(__xludf.DUMMYFUNCTION("""COMPUTED_VALUE"""),17.59)</f>
        <v>17.59</v>
      </c>
      <c r="C2097" s="2">
        <f>IFERROR(__xludf.DUMMYFUNCTION("""COMPUTED_VALUE"""),19.86)</f>
        <v>19.86</v>
      </c>
      <c r="D2097" s="2">
        <f>IFERROR(__xludf.DUMMYFUNCTION("""COMPUTED_VALUE"""),17.47)</f>
        <v>17.47</v>
      </c>
      <c r="E2097" s="2">
        <f>IFERROR(__xludf.DUMMYFUNCTION("""COMPUTED_VALUE"""),19.61)</f>
        <v>19.61</v>
      </c>
      <c r="F2097" s="2">
        <f>IFERROR(__xludf.DUMMYFUNCTION("""COMPUTED_VALUE"""),1.9027753E7)</f>
        <v>19027753</v>
      </c>
    </row>
    <row r="2098">
      <c r="A2098" s="3">
        <f>IFERROR(__xludf.DUMMYFUNCTION("""COMPUTED_VALUE"""),43397.66666666667)</f>
        <v>43397.66667</v>
      </c>
      <c r="B2098" s="2">
        <f>IFERROR(__xludf.DUMMYFUNCTION("""COMPUTED_VALUE"""),20.07)</f>
        <v>20.07</v>
      </c>
      <c r="C2098" s="2">
        <f>IFERROR(__xludf.DUMMYFUNCTION("""COMPUTED_VALUE"""),20.3)</f>
        <v>20.3</v>
      </c>
      <c r="D2098" s="2">
        <f>IFERROR(__xludf.DUMMYFUNCTION("""COMPUTED_VALUE"""),19.05)</f>
        <v>19.05</v>
      </c>
      <c r="E2098" s="2">
        <f>IFERROR(__xludf.DUMMYFUNCTION("""COMPUTED_VALUE"""),19.23)</f>
        <v>19.23</v>
      </c>
      <c r="F2098" s="2">
        <f>IFERROR(__xludf.DUMMYFUNCTION("""COMPUTED_VALUE"""),2.0058258E7)</f>
        <v>20058258</v>
      </c>
    </row>
    <row r="2099">
      <c r="A2099" s="3">
        <f>IFERROR(__xludf.DUMMYFUNCTION("""COMPUTED_VALUE"""),43398.66666666667)</f>
        <v>43398.66667</v>
      </c>
      <c r="B2099" s="2">
        <f>IFERROR(__xludf.DUMMYFUNCTION("""COMPUTED_VALUE"""),21.15)</f>
        <v>21.15</v>
      </c>
      <c r="C2099" s="2">
        <f>IFERROR(__xludf.DUMMYFUNCTION("""COMPUTED_VALUE"""),21.4)</f>
        <v>21.4</v>
      </c>
      <c r="D2099" s="2">
        <f>IFERROR(__xludf.DUMMYFUNCTION("""COMPUTED_VALUE"""),20.07)</f>
        <v>20.07</v>
      </c>
      <c r="E2099" s="2">
        <f>IFERROR(__xludf.DUMMYFUNCTION("""COMPUTED_VALUE"""),20.99)</f>
        <v>20.99</v>
      </c>
      <c r="F2099" s="2">
        <f>IFERROR(__xludf.DUMMYFUNCTION("""COMPUTED_VALUE"""),2.0840724E7)</f>
        <v>20840724</v>
      </c>
    </row>
    <row r="2100">
      <c r="A2100" s="3">
        <f>IFERROR(__xludf.DUMMYFUNCTION("""COMPUTED_VALUE"""),43399.66666666667)</f>
        <v>43399.66667</v>
      </c>
      <c r="B2100" s="2">
        <f>IFERROR(__xludf.DUMMYFUNCTION("""COMPUTED_VALUE"""),20.55)</f>
        <v>20.55</v>
      </c>
      <c r="C2100" s="2">
        <f>IFERROR(__xludf.DUMMYFUNCTION("""COMPUTED_VALUE"""),22.66)</f>
        <v>22.66</v>
      </c>
      <c r="D2100" s="2">
        <f>IFERROR(__xludf.DUMMYFUNCTION("""COMPUTED_VALUE"""),20.44)</f>
        <v>20.44</v>
      </c>
      <c r="E2100" s="2">
        <f>IFERROR(__xludf.DUMMYFUNCTION("""COMPUTED_VALUE"""),22.06)</f>
        <v>22.06</v>
      </c>
      <c r="F2100" s="2">
        <f>IFERROR(__xludf.DUMMYFUNCTION("""COMPUTED_VALUE"""),2.742552E7)</f>
        <v>27425520</v>
      </c>
    </row>
    <row r="2101">
      <c r="A2101" s="3">
        <f>IFERROR(__xludf.DUMMYFUNCTION("""COMPUTED_VALUE"""),43402.66666666667)</f>
        <v>43402.66667</v>
      </c>
      <c r="B2101" s="2">
        <f>IFERROR(__xludf.DUMMYFUNCTION("""COMPUTED_VALUE"""),22.5)</f>
        <v>22.5</v>
      </c>
      <c r="C2101" s="2">
        <f>IFERROR(__xludf.DUMMYFUNCTION("""COMPUTED_VALUE"""),23.14)</f>
        <v>23.14</v>
      </c>
      <c r="D2101" s="2">
        <f>IFERROR(__xludf.DUMMYFUNCTION("""COMPUTED_VALUE"""),21.77)</f>
        <v>21.77</v>
      </c>
      <c r="E2101" s="2">
        <f>IFERROR(__xludf.DUMMYFUNCTION("""COMPUTED_VALUE"""),22.32)</f>
        <v>22.32</v>
      </c>
      <c r="F2101" s="2">
        <f>IFERROR(__xludf.DUMMYFUNCTION("""COMPUTED_VALUE"""),1.4486027E7)</f>
        <v>14486027</v>
      </c>
    </row>
    <row r="2102">
      <c r="A2102" s="3">
        <f>IFERROR(__xludf.DUMMYFUNCTION("""COMPUTED_VALUE"""),43403.66666666667)</f>
        <v>43403.66667</v>
      </c>
      <c r="B2102" s="2">
        <f>IFERROR(__xludf.DUMMYFUNCTION("""COMPUTED_VALUE"""),21.89)</f>
        <v>21.89</v>
      </c>
      <c r="C2102" s="2">
        <f>IFERROR(__xludf.DUMMYFUNCTION("""COMPUTED_VALUE"""),22.53)</f>
        <v>22.53</v>
      </c>
      <c r="D2102" s="2">
        <f>IFERROR(__xludf.DUMMYFUNCTION("""COMPUTED_VALUE"""),21.48)</f>
        <v>21.48</v>
      </c>
      <c r="E2102" s="2">
        <f>IFERROR(__xludf.DUMMYFUNCTION("""COMPUTED_VALUE"""),21.99)</f>
        <v>21.99</v>
      </c>
      <c r="F2102" s="2">
        <f>IFERROR(__xludf.DUMMYFUNCTION("""COMPUTED_VALUE"""),9126704.0)</f>
        <v>9126704</v>
      </c>
    </row>
    <row r="2103">
      <c r="A2103" s="3">
        <f>IFERROR(__xludf.DUMMYFUNCTION("""COMPUTED_VALUE"""),43404.66666666667)</f>
        <v>43404.66667</v>
      </c>
      <c r="B2103" s="2">
        <f>IFERROR(__xludf.DUMMYFUNCTION("""COMPUTED_VALUE"""),22.17)</f>
        <v>22.17</v>
      </c>
      <c r="C2103" s="2">
        <f>IFERROR(__xludf.DUMMYFUNCTION("""COMPUTED_VALUE"""),22.8)</f>
        <v>22.8</v>
      </c>
      <c r="D2103" s="2">
        <f>IFERROR(__xludf.DUMMYFUNCTION("""COMPUTED_VALUE"""),21.94)</f>
        <v>21.94</v>
      </c>
      <c r="E2103" s="2">
        <f>IFERROR(__xludf.DUMMYFUNCTION("""COMPUTED_VALUE"""),22.49)</f>
        <v>22.49</v>
      </c>
      <c r="F2103" s="2">
        <f>IFERROR(__xludf.DUMMYFUNCTION("""COMPUTED_VALUE"""),7624348.0)</f>
        <v>7624348</v>
      </c>
    </row>
    <row r="2104">
      <c r="A2104" s="3">
        <f>IFERROR(__xludf.DUMMYFUNCTION("""COMPUTED_VALUE"""),43405.66666666667)</f>
        <v>43405.66667</v>
      </c>
      <c r="B2104" s="2">
        <f>IFERROR(__xludf.DUMMYFUNCTION("""COMPUTED_VALUE"""),22.55)</f>
        <v>22.55</v>
      </c>
      <c r="C2104" s="2">
        <f>IFERROR(__xludf.DUMMYFUNCTION("""COMPUTED_VALUE"""),23.19)</f>
        <v>23.19</v>
      </c>
      <c r="D2104" s="2">
        <f>IFERROR(__xludf.DUMMYFUNCTION("""COMPUTED_VALUE"""),22.32)</f>
        <v>22.32</v>
      </c>
      <c r="E2104" s="2">
        <f>IFERROR(__xludf.DUMMYFUNCTION("""COMPUTED_VALUE"""),22.95)</f>
        <v>22.95</v>
      </c>
      <c r="F2104" s="2">
        <f>IFERROR(__xludf.DUMMYFUNCTION("""COMPUTED_VALUE"""),8000132.0)</f>
        <v>8000132</v>
      </c>
    </row>
    <row r="2105">
      <c r="A2105" s="3">
        <f>IFERROR(__xludf.DUMMYFUNCTION("""COMPUTED_VALUE"""),43406.66666666667)</f>
        <v>43406.66667</v>
      </c>
      <c r="B2105" s="2">
        <f>IFERROR(__xludf.DUMMYFUNCTION("""COMPUTED_VALUE"""),22.92)</f>
        <v>22.92</v>
      </c>
      <c r="C2105" s="2">
        <f>IFERROR(__xludf.DUMMYFUNCTION("""COMPUTED_VALUE"""),23.28)</f>
        <v>23.28</v>
      </c>
      <c r="D2105" s="2">
        <f>IFERROR(__xludf.DUMMYFUNCTION("""COMPUTED_VALUE"""),22.73)</f>
        <v>22.73</v>
      </c>
      <c r="E2105" s="2">
        <f>IFERROR(__xludf.DUMMYFUNCTION("""COMPUTED_VALUE"""),23.09)</f>
        <v>23.09</v>
      </c>
      <c r="F2105" s="2">
        <f>IFERROR(__xludf.DUMMYFUNCTION("""COMPUTED_VALUE"""),7807971.0)</f>
        <v>7807971</v>
      </c>
    </row>
    <row r="2106">
      <c r="A2106" s="3">
        <f>IFERROR(__xludf.DUMMYFUNCTION("""COMPUTED_VALUE"""),43409.66666666667)</f>
        <v>43409.66667</v>
      </c>
      <c r="B2106" s="2">
        <f>IFERROR(__xludf.DUMMYFUNCTION("""COMPUTED_VALUE"""),22.7)</f>
        <v>22.7</v>
      </c>
      <c r="C2106" s="2">
        <f>IFERROR(__xludf.DUMMYFUNCTION("""COMPUTED_VALUE"""),22.93)</f>
        <v>22.93</v>
      </c>
      <c r="D2106" s="2">
        <f>IFERROR(__xludf.DUMMYFUNCTION("""COMPUTED_VALUE"""),22.01)</f>
        <v>22.01</v>
      </c>
      <c r="E2106" s="2">
        <f>IFERROR(__xludf.DUMMYFUNCTION("""COMPUTED_VALUE"""),22.76)</f>
        <v>22.76</v>
      </c>
      <c r="F2106" s="2">
        <f>IFERROR(__xludf.DUMMYFUNCTION("""COMPUTED_VALUE"""),7831048.0)</f>
        <v>7831048</v>
      </c>
    </row>
    <row r="2107">
      <c r="A2107" s="3">
        <f>IFERROR(__xludf.DUMMYFUNCTION("""COMPUTED_VALUE"""),43410.66666666667)</f>
        <v>43410.66667</v>
      </c>
      <c r="B2107" s="2">
        <f>IFERROR(__xludf.DUMMYFUNCTION("""COMPUTED_VALUE"""),22.6)</f>
        <v>22.6</v>
      </c>
      <c r="C2107" s="2">
        <f>IFERROR(__xludf.DUMMYFUNCTION("""COMPUTED_VALUE"""),23.25)</f>
        <v>23.25</v>
      </c>
      <c r="D2107" s="2">
        <f>IFERROR(__xludf.DUMMYFUNCTION("""COMPUTED_VALUE"""),22.41)</f>
        <v>22.41</v>
      </c>
      <c r="E2107" s="2">
        <f>IFERROR(__xludf.DUMMYFUNCTION("""COMPUTED_VALUE"""),22.74)</f>
        <v>22.74</v>
      </c>
      <c r="F2107" s="2">
        <f>IFERROR(__xludf.DUMMYFUNCTION("""COMPUTED_VALUE"""),6762889.0)</f>
        <v>6762889</v>
      </c>
    </row>
    <row r="2108">
      <c r="A2108" s="3">
        <f>IFERROR(__xludf.DUMMYFUNCTION("""COMPUTED_VALUE"""),43411.66666666667)</f>
        <v>43411.66667</v>
      </c>
      <c r="B2108" s="2">
        <f>IFERROR(__xludf.DUMMYFUNCTION("""COMPUTED_VALUE"""),22.89)</f>
        <v>22.89</v>
      </c>
      <c r="C2108" s="2">
        <f>IFERROR(__xludf.DUMMYFUNCTION("""COMPUTED_VALUE"""),23.41)</f>
        <v>23.41</v>
      </c>
      <c r="D2108" s="2">
        <f>IFERROR(__xludf.DUMMYFUNCTION("""COMPUTED_VALUE"""),22.72)</f>
        <v>22.72</v>
      </c>
      <c r="E2108" s="2">
        <f>IFERROR(__xludf.DUMMYFUNCTION("""COMPUTED_VALUE"""),23.21)</f>
        <v>23.21</v>
      </c>
      <c r="F2108" s="2">
        <f>IFERROR(__xludf.DUMMYFUNCTION("""COMPUTED_VALUE"""),7374522.0)</f>
        <v>7374522</v>
      </c>
    </row>
    <row r="2109">
      <c r="A2109" s="3">
        <f>IFERROR(__xludf.DUMMYFUNCTION("""COMPUTED_VALUE"""),43412.66666666667)</f>
        <v>43412.66667</v>
      </c>
      <c r="B2109" s="2">
        <f>IFERROR(__xludf.DUMMYFUNCTION("""COMPUTED_VALUE"""),23.23)</f>
        <v>23.23</v>
      </c>
      <c r="C2109" s="2">
        <f>IFERROR(__xludf.DUMMYFUNCTION("""COMPUTED_VALUE"""),23.84)</f>
        <v>23.84</v>
      </c>
      <c r="D2109" s="2">
        <f>IFERROR(__xludf.DUMMYFUNCTION("""COMPUTED_VALUE"""),23.23)</f>
        <v>23.23</v>
      </c>
      <c r="E2109" s="2">
        <f>IFERROR(__xludf.DUMMYFUNCTION("""COMPUTED_VALUE"""),23.43)</f>
        <v>23.43</v>
      </c>
      <c r="F2109" s="2">
        <f>IFERROR(__xludf.DUMMYFUNCTION("""COMPUTED_VALUE"""),7090674.0)</f>
        <v>7090674</v>
      </c>
    </row>
    <row r="2110">
      <c r="A2110" s="3">
        <f>IFERROR(__xludf.DUMMYFUNCTION("""COMPUTED_VALUE"""),43413.66666666667)</f>
        <v>43413.66667</v>
      </c>
      <c r="B2110" s="2">
        <f>IFERROR(__xludf.DUMMYFUNCTION("""COMPUTED_VALUE"""),23.27)</f>
        <v>23.27</v>
      </c>
      <c r="C2110" s="2">
        <f>IFERROR(__xludf.DUMMYFUNCTION("""COMPUTED_VALUE"""),23.6)</f>
        <v>23.6</v>
      </c>
      <c r="D2110" s="2">
        <f>IFERROR(__xludf.DUMMYFUNCTION("""COMPUTED_VALUE"""),23.02)</f>
        <v>23.02</v>
      </c>
      <c r="E2110" s="2">
        <f>IFERROR(__xludf.DUMMYFUNCTION("""COMPUTED_VALUE"""),23.37)</f>
        <v>23.37</v>
      </c>
      <c r="F2110" s="2">
        <f>IFERROR(__xludf.DUMMYFUNCTION("""COMPUTED_VALUE"""),5098846.0)</f>
        <v>5098846</v>
      </c>
    </row>
    <row r="2111">
      <c r="A2111" s="3">
        <f>IFERROR(__xludf.DUMMYFUNCTION("""COMPUTED_VALUE"""),43416.66666666667)</f>
        <v>43416.66667</v>
      </c>
      <c r="B2111" s="2">
        <f>IFERROR(__xludf.DUMMYFUNCTION("""COMPUTED_VALUE"""),23.22)</f>
        <v>23.22</v>
      </c>
      <c r="C2111" s="2">
        <f>IFERROR(__xludf.DUMMYFUNCTION("""COMPUTED_VALUE"""),23.32)</f>
        <v>23.32</v>
      </c>
      <c r="D2111" s="2">
        <f>IFERROR(__xludf.DUMMYFUNCTION("""COMPUTED_VALUE"""),22.02)</f>
        <v>22.02</v>
      </c>
      <c r="E2111" s="2">
        <f>IFERROR(__xludf.DUMMYFUNCTION("""COMPUTED_VALUE"""),22.09)</f>
        <v>22.09</v>
      </c>
      <c r="F2111" s="2">
        <f>IFERROR(__xludf.DUMMYFUNCTION("""COMPUTED_VALUE"""),6941523.0)</f>
        <v>6941523</v>
      </c>
    </row>
    <row r="2112">
      <c r="A2112" s="3">
        <f>IFERROR(__xludf.DUMMYFUNCTION("""COMPUTED_VALUE"""),43417.66666666667)</f>
        <v>43417.66667</v>
      </c>
      <c r="B2112" s="2">
        <f>IFERROR(__xludf.DUMMYFUNCTION("""COMPUTED_VALUE"""),22.21)</f>
        <v>22.21</v>
      </c>
      <c r="C2112" s="2">
        <f>IFERROR(__xludf.DUMMYFUNCTION("""COMPUTED_VALUE"""),22.98)</f>
        <v>22.98</v>
      </c>
      <c r="D2112" s="2">
        <f>IFERROR(__xludf.DUMMYFUNCTION("""COMPUTED_VALUE"""),22.15)</f>
        <v>22.15</v>
      </c>
      <c r="E2112" s="2">
        <f>IFERROR(__xludf.DUMMYFUNCTION("""COMPUTED_VALUE"""),22.58)</f>
        <v>22.58</v>
      </c>
      <c r="F2112" s="2">
        <f>IFERROR(__xludf.DUMMYFUNCTION("""COMPUTED_VALUE"""),5448597.0)</f>
        <v>5448597</v>
      </c>
    </row>
    <row r="2113">
      <c r="A2113" s="3">
        <f>IFERROR(__xludf.DUMMYFUNCTION("""COMPUTED_VALUE"""),43418.66666666667)</f>
        <v>43418.66667</v>
      </c>
      <c r="B2113" s="2">
        <f>IFERROR(__xludf.DUMMYFUNCTION("""COMPUTED_VALUE"""),22.85)</f>
        <v>22.85</v>
      </c>
      <c r="C2113" s="2">
        <f>IFERROR(__xludf.DUMMYFUNCTION("""COMPUTED_VALUE"""),23.14)</f>
        <v>23.14</v>
      </c>
      <c r="D2113" s="2">
        <f>IFERROR(__xludf.DUMMYFUNCTION("""COMPUTED_VALUE"""),22.48)</f>
        <v>22.48</v>
      </c>
      <c r="E2113" s="2">
        <f>IFERROR(__xludf.DUMMYFUNCTION("""COMPUTED_VALUE"""),22.93)</f>
        <v>22.93</v>
      </c>
      <c r="F2113" s="2">
        <f>IFERROR(__xludf.DUMMYFUNCTION("""COMPUTED_VALUE"""),5040287.0)</f>
        <v>5040287</v>
      </c>
    </row>
    <row r="2114">
      <c r="A2114" s="3">
        <f>IFERROR(__xludf.DUMMYFUNCTION("""COMPUTED_VALUE"""),43419.66666666667)</f>
        <v>43419.66667</v>
      </c>
      <c r="B2114" s="2">
        <f>IFERROR(__xludf.DUMMYFUNCTION("""COMPUTED_VALUE"""),22.82)</f>
        <v>22.82</v>
      </c>
      <c r="C2114" s="2">
        <f>IFERROR(__xludf.DUMMYFUNCTION("""COMPUTED_VALUE"""),23.24)</f>
        <v>23.24</v>
      </c>
      <c r="D2114" s="2">
        <f>IFERROR(__xludf.DUMMYFUNCTION("""COMPUTED_VALUE"""),22.6)</f>
        <v>22.6</v>
      </c>
      <c r="E2114" s="2">
        <f>IFERROR(__xludf.DUMMYFUNCTION("""COMPUTED_VALUE"""),23.23)</f>
        <v>23.23</v>
      </c>
      <c r="F2114" s="2">
        <f>IFERROR(__xludf.DUMMYFUNCTION("""COMPUTED_VALUE"""),4625719.0)</f>
        <v>4625719</v>
      </c>
    </row>
    <row r="2115">
      <c r="A2115" s="3">
        <f>IFERROR(__xludf.DUMMYFUNCTION("""COMPUTED_VALUE"""),43420.66666666667)</f>
        <v>43420.66667</v>
      </c>
      <c r="B2115" s="2">
        <f>IFERROR(__xludf.DUMMYFUNCTION("""COMPUTED_VALUE"""),23.01)</f>
        <v>23.01</v>
      </c>
      <c r="C2115" s="2">
        <f>IFERROR(__xludf.DUMMYFUNCTION("""COMPUTED_VALUE"""),23.71)</f>
        <v>23.71</v>
      </c>
      <c r="D2115" s="2">
        <f>IFERROR(__xludf.DUMMYFUNCTION("""COMPUTED_VALUE"""),23.01)</f>
        <v>23.01</v>
      </c>
      <c r="E2115" s="2">
        <f>IFERROR(__xludf.DUMMYFUNCTION("""COMPUTED_VALUE"""),23.62)</f>
        <v>23.62</v>
      </c>
      <c r="F2115" s="2">
        <f>IFERROR(__xludf.DUMMYFUNCTION("""COMPUTED_VALUE"""),7206191.0)</f>
        <v>7206191</v>
      </c>
    </row>
    <row r="2116">
      <c r="A2116" s="3">
        <f>IFERROR(__xludf.DUMMYFUNCTION("""COMPUTED_VALUE"""),43423.66666666667)</f>
        <v>43423.66667</v>
      </c>
      <c r="B2116" s="2">
        <f>IFERROR(__xludf.DUMMYFUNCTION("""COMPUTED_VALUE"""),23.76)</f>
        <v>23.76</v>
      </c>
      <c r="C2116" s="2">
        <f>IFERROR(__xludf.DUMMYFUNCTION("""COMPUTED_VALUE"""),24.45)</f>
        <v>24.45</v>
      </c>
      <c r="D2116" s="2">
        <f>IFERROR(__xludf.DUMMYFUNCTION("""COMPUTED_VALUE"""),23.53)</f>
        <v>23.53</v>
      </c>
      <c r="E2116" s="2">
        <f>IFERROR(__xludf.DUMMYFUNCTION("""COMPUTED_VALUE"""),23.56)</f>
        <v>23.56</v>
      </c>
      <c r="F2116" s="2">
        <f>IFERROR(__xludf.DUMMYFUNCTION("""COMPUTED_VALUE"""),9708871.0)</f>
        <v>9708871</v>
      </c>
    </row>
    <row r="2117">
      <c r="A2117" s="3">
        <f>IFERROR(__xludf.DUMMYFUNCTION("""COMPUTED_VALUE"""),43424.66666666667)</f>
        <v>43424.66667</v>
      </c>
      <c r="B2117" s="2">
        <f>IFERROR(__xludf.DUMMYFUNCTION("""COMPUTED_VALUE"""),22.78)</f>
        <v>22.78</v>
      </c>
      <c r="C2117" s="2">
        <f>IFERROR(__xludf.DUMMYFUNCTION("""COMPUTED_VALUE"""),23.32)</f>
        <v>23.32</v>
      </c>
      <c r="D2117" s="2">
        <f>IFERROR(__xludf.DUMMYFUNCTION("""COMPUTED_VALUE"""),22.24)</f>
        <v>22.24</v>
      </c>
      <c r="E2117" s="2">
        <f>IFERROR(__xludf.DUMMYFUNCTION("""COMPUTED_VALUE"""),23.17)</f>
        <v>23.17</v>
      </c>
      <c r="F2117" s="2">
        <f>IFERROR(__xludf.DUMMYFUNCTION("""COMPUTED_VALUE"""),8004709.0)</f>
        <v>8004709</v>
      </c>
    </row>
    <row r="2118">
      <c r="A2118" s="3">
        <f>IFERROR(__xludf.DUMMYFUNCTION("""COMPUTED_VALUE"""),43425.66666666667)</f>
        <v>43425.66667</v>
      </c>
      <c r="B2118" s="2">
        <f>IFERROR(__xludf.DUMMYFUNCTION("""COMPUTED_VALUE"""),23.47)</f>
        <v>23.47</v>
      </c>
      <c r="C2118" s="2">
        <f>IFERROR(__xludf.DUMMYFUNCTION("""COMPUTED_VALUE"""),23.54)</f>
        <v>23.54</v>
      </c>
      <c r="D2118" s="2">
        <f>IFERROR(__xludf.DUMMYFUNCTION("""COMPUTED_VALUE"""),22.49)</f>
        <v>22.49</v>
      </c>
      <c r="E2118" s="2">
        <f>IFERROR(__xludf.DUMMYFUNCTION("""COMPUTED_VALUE"""),22.55)</f>
        <v>22.55</v>
      </c>
      <c r="F2118" s="2">
        <f>IFERROR(__xludf.DUMMYFUNCTION("""COMPUTED_VALUE"""),4686808.0)</f>
        <v>4686808</v>
      </c>
    </row>
    <row r="2119">
      <c r="A2119" s="3">
        <f>IFERROR(__xludf.DUMMYFUNCTION("""COMPUTED_VALUE"""),43427.54166666667)</f>
        <v>43427.54167</v>
      </c>
      <c r="B2119" s="2">
        <f>IFERROR(__xludf.DUMMYFUNCTION("""COMPUTED_VALUE"""),22.29)</f>
        <v>22.29</v>
      </c>
      <c r="C2119" s="2">
        <f>IFERROR(__xludf.DUMMYFUNCTION("""COMPUTED_VALUE"""),22.5)</f>
        <v>22.5</v>
      </c>
      <c r="D2119" s="2">
        <f>IFERROR(__xludf.DUMMYFUNCTION("""COMPUTED_VALUE"""),21.7)</f>
        <v>21.7</v>
      </c>
      <c r="E2119" s="2">
        <f>IFERROR(__xludf.DUMMYFUNCTION("""COMPUTED_VALUE"""),21.72)</f>
        <v>21.72</v>
      </c>
      <c r="F2119" s="2">
        <f>IFERROR(__xludf.DUMMYFUNCTION("""COMPUTED_VALUE"""),4202642.0)</f>
        <v>4202642</v>
      </c>
    </row>
    <row r="2120">
      <c r="A2120" s="3">
        <f>IFERROR(__xludf.DUMMYFUNCTION("""COMPUTED_VALUE"""),43430.66666666667)</f>
        <v>43430.66667</v>
      </c>
      <c r="B2120" s="2">
        <f>IFERROR(__xludf.DUMMYFUNCTION("""COMPUTED_VALUE"""),21.67)</f>
        <v>21.67</v>
      </c>
      <c r="C2120" s="2">
        <f>IFERROR(__xludf.DUMMYFUNCTION("""COMPUTED_VALUE"""),23.08)</f>
        <v>23.08</v>
      </c>
      <c r="D2120" s="2">
        <f>IFERROR(__xludf.DUMMYFUNCTION("""COMPUTED_VALUE"""),21.67)</f>
        <v>21.67</v>
      </c>
      <c r="E2120" s="2">
        <f>IFERROR(__xludf.DUMMYFUNCTION("""COMPUTED_VALUE"""),23.07)</f>
        <v>23.07</v>
      </c>
      <c r="F2120" s="2">
        <f>IFERROR(__xludf.DUMMYFUNCTION("""COMPUTED_VALUE"""),7992141.0)</f>
        <v>7992141</v>
      </c>
    </row>
    <row r="2121">
      <c r="A2121" s="3">
        <f>IFERROR(__xludf.DUMMYFUNCTION("""COMPUTED_VALUE"""),43431.66666666667)</f>
        <v>43431.66667</v>
      </c>
      <c r="B2121" s="2">
        <f>IFERROR(__xludf.DUMMYFUNCTION("""COMPUTED_VALUE"""),22.67)</f>
        <v>22.67</v>
      </c>
      <c r="C2121" s="2">
        <f>IFERROR(__xludf.DUMMYFUNCTION("""COMPUTED_VALUE"""),23.13)</f>
        <v>23.13</v>
      </c>
      <c r="D2121" s="2">
        <f>IFERROR(__xludf.DUMMYFUNCTION("""COMPUTED_VALUE"""),22.37)</f>
        <v>22.37</v>
      </c>
      <c r="E2121" s="2">
        <f>IFERROR(__xludf.DUMMYFUNCTION("""COMPUTED_VALUE"""),22.93)</f>
        <v>22.93</v>
      </c>
      <c r="F2121" s="2">
        <f>IFERROR(__xludf.DUMMYFUNCTION("""COMPUTED_VALUE"""),6358300.0)</f>
        <v>6358300</v>
      </c>
    </row>
    <row r="2122">
      <c r="A2122" s="3">
        <f>IFERROR(__xludf.DUMMYFUNCTION("""COMPUTED_VALUE"""),43432.66666666667)</f>
        <v>43432.66667</v>
      </c>
      <c r="B2122" s="2">
        <f>IFERROR(__xludf.DUMMYFUNCTION("""COMPUTED_VALUE"""),23.07)</f>
        <v>23.07</v>
      </c>
      <c r="C2122" s="2">
        <f>IFERROR(__xludf.DUMMYFUNCTION("""COMPUTED_VALUE"""),23.22)</f>
        <v>23.22</v>
      </c>
      <c r="D2122" s="2">
        <f>IFERROR(__xludf.DUMMYFUNCTION("""COMPUTED_VALUE"""),22.81)</f>
        <v>22.81</v>
      </c>
      <c r="E2122" s="2">
        <f>IFERROR(__xludf.DUMMYFUNCTION("""COMPUTED_VALUE"""),23.19)</f>
        <v>23.19</v>
      </c>
      <c r="F2122" s="2">
        <f>IFERROR(__xludf.DUMMYFUNCTION("""COMPUTED_VALUE"""),4127578.0)</f>
        <v>4127578</v>
      </c>
    </row>
    <row r="2123">
      <c r="A2123" s="3">
        <f>IFERROR(__xludf.DUMMYFUNCTION("""COMPUTED_VALUE"""),43433.66666666667)</f>
        <v>43433.66667</v>
      </c>
      <c r="B2123" s="2">
        <f>IFERROR(__xludf.DUMMYFUNCTION("""COMPUTED_VALUE"""),23.13)</f>
        <v>23.13</v>
      </c>
      <c r="C2123" s="2">
        <f>IFERROR(__xludf.DUMMYFUNCTION("""COMPUTED_VALUE"""),23.17)</f>
        <v>23.17</v>
      </c>
      <c r="D2123" s="2">
        <f>IFERROR(__xludf.DUMMYFUNCTION("""COMPUTED_VALUE"""),22.64)</f>
        <v>22.64</v>
      </c>
      <c r="E2123" s="2">
        <f>IFERROR(__xludf.DUMMYFUNCTION("""COMPUTED_VALUE"""),22.74)</f>
        <v>22.74</v>
      </c>
      <c r="F2123" s="2">
        <f>IFERROR(__xludf.DUMMYFUNCTION("""COMPUTED_VALUE"""),3080724.0)</f>
        <v>3080724</v>
      </c>
    </row>
    <row r="2124">
      <c r="A2124" s="3">
        <f>IFERROR(__xludf.DUMMYFUNCTION("""COMPUTED_VALUE"""),43434.66666666667)</f>
        <v>43434.66667</v>
      </c>
      <c r="B2124" s="2">
        <f>IFERROR(__xludf.DUMMYFUNCTION("""COMPUTED_VALUE"""),22.79)</f>
        <v>22.79</v>
      </c>
      <c r="C2124" s="2">
        <f>IFERROR(__xludf.DUMMYFUNCTION("""COMPUTED_VALUE"""),23.44)</f>
        <v>23.44</v>
      </c>
      <c r="D2124" s="2">
        <f>IFERROR(__xludf.DUMMYFUNCTION("""COMPUTED_VALUE"""),22.55)</f>
        <v>22.55</v>
      </c>
      <c r="E2124" s="2">
        <f>IFERROR(__xludf.DUMMYFUNCTION("""COMPUTED_VALUE"""),23.37)</f>
        <v>23.37</v>
      </c>
      <c r="F2124" s="2">
        <f>IFERROR(__xludf.DUMMYFUNCTION("""COMPUTED_VALUE"""),5628895.0)</f>
        <v>5628895</v>
      </c>
    </row>
    <row r="2125">
      <c r="A2125" s="3">
        <f>IFERROR(__xludf.DUMMYFUNCTION("""COMPUTED_VALUE"""),43437.66666666667)</f>
        <v>43437.66667</v>
      </c>
      <c r="B2125" s="2">
        <f>IFERROR(__xludf.DUMMYFUNCTION("""COMPUTED_VALUE"""),24.0)</f>
        <v>24</v>
      </c>
      <c r="C2125" s="2">
        <f>IFERROR(__xludf.DUMMYFUNCTION("""COMPUTED_VALUE"""),24.4)</f>
        <v>24.4</v>
      </c>
      <c r="D2125" s="2">
        <f>IFERROR(__xludf.DUMMYFUNCTION("""COMPUTED_VALUE"""),23.47)</f>
        <v>23.47</v>
      </c>
      <c r="E2125" s="2">
        <f>IFERROR(__xludf.DUMMYFUNCTION("""COMPUTED_VALUE"""),23.9)</f>
        <v>23.9</v>
      </c>
      <c r="F2125" s="2">
        <f>IFERROR(__xludf.DUMMYFUNCTION("""COMPUTED_VALUE"""),8306511.0)</f>
        <v>8306511</v>
      </c>
    </row>
    <row r="2126">
      <c r="A2126" s="3">
        <f>IFERROR(__xludf.DUMMYFUNCTION("""COMPUTED_VALUE"""),43438.66666666667)</f>
        <v>43438.66667</v>
      </c>
      <c r="B2126" s="2">
        <f>IFERROR(__xludf.DUMMYFUNCTION("""COMPUTED_VALUE"""),23.74)</f>
        <v>23.74</v>
      </c>
      <c r="C2126" s="2">
        <f>IFERROR(__xludf.DUMMYFUNCTION("""COMPUTED_VALUE"""),24.58)</f>
        <v>24.58</v>
      </c>
      <c r="D2126" s="2">
        <f>IFERROR(__xludf.DUMMYFUNCTION("""COMPUTED_VALUE"""),23.47)</f>
        <v>23.47</v>
      </c>
      <c r="E2126" s="2">
        <f>IFERROR(__xludf.DUMMYFUNCTION("""COMPUTED_VALUE"""),23.98)</f>
        <v>23.98</v>
      </c>
      <c r="F2126" s="2">
        <f>IFERROR(__xludf.DUMMYFUNCTION("""COMPUTED_VALUE"""),8461945.0)</f>
        <v>8461945</v>
      </c>
    </row>
    <row r="2127">
      <c r="A2127" s="3">
        <f>IFERROR(__xludf.DUMMYFUNCTION("""COMPUTED_VALUE"""),43440.66666666667)</f>
        <v>43440.66667</v>
      </c>
      <c r="B2127" s="2">
        <f>IFERROR(__xludf.DUMMYFUNCTION("""COMPUTED_VALUE"""),23.73)</f>
        <v>23.73</v>
      </c>
      <c r="C2127" s="2">
        <f>IFERROR(__xludf.DUMMYFUNCTION("""COMPUTED_VALUE"""),24.49)</f>
        <v>24.49</v>
      </c>
      <c r="D2127" s="2">
        <f>IFERROR(__xludf.DUMMYFUNCTION("""COMPUTED_VALUE"""),23.38)</f>
        <v>23.38</v>
      </c>
      <c r="E2127" s="2">
        <f>IFERROR(__xludf.DUMMYFUNCTION("""COMPUTED_VALUE"""),24.2)</f>
        <v>24.2</v>
      </c>
      <c r="F2127" s="2">
        <f>IFERROR(__xludf.DUMMYFUNCTION("""COMPUTED_VALUE"""),7842508.0)</f>
        <v>7842508</v>
      </c>
    </row>
    <row r="2128">
      <c r="A2128" s="3">
        <f>IFERROR(__xludf.DUMMYFUNCTION("""COMPUTED_VALUE"""),43441.66666666667)</f>
        <v>43441.66667</v>
      </c>
      <c r="B2128" s="2">
        <f>IFERROR(__xludf.DUMMYFUNCTION("""COMPUTED_VALUE"""),24.6)</f>
        <v>24.6</v>
      </c>
      <c r="C2128" s="2">
        <f>IFERROR(__xludf.DUMMYFUNCTION("""COMPUTED_VALUE"""),25.3)</f>
        <v>25.3</v>
      </c>
      <c r="D2128" s="2">
        <f>IFERROR(__xludf.DUMMYFUNCTION("""COMPUTED_VALUE"""),23.84)</f>
        <v>23.84</v>
      </c>
      <c r="E2128" s="2">
        <f>IFERROR(__xludf.DUMMYFUNCTION("""COMPUTED_VALUE"""),23.86)</f>
        <v>23.86</v>
      </c>
      <c r="F2128" s="2">
        <f>IFERROR(__xludf.DUMMYFUNCTION("""COMPUTED_VALUE"""),1.1511177E7)</f>
        <v>11511177</v>
      </c>
    </row>
    <row r="2129">
      <c r="A2129" s="3">
        <f>IFERROR(__xludf.DUMMYFUNCTION("""COMPUTED_VALUE"""),43444.66666666667)</f>
        <v>43444.66667</v>
      </c>
      <c r="B2129" s="2">
        <f>IFERROR(__xludf.DUMMYFUNCTION("""COMPUTED_VALUE"""),24.0)</f>
        <v>24</v>
      </c>
      <c r="C2129" s="2">
        <f>IFERROR(__xludf.DUMMYFUNCTION("""COMPUTED_VALUE"""),24.4)</f>
        <v>24.4</v>
      </c>
      <c r="D2129" s="2">
        <f>IFERROR(__xludf.DUMMYFUNCTION("""COMPUTED_VALUE"""),23.54)</f>
        <v>23.54</v>
      </c>
      <c r="E2129" s="2">
        <f>IFERROR(__xludf.DUMMYFUNCTION("""COMPUTED_VALUE"""),24.34)</f>
        <v>24.34</v>
      </c>
      <c r="F2129" s="2">
        <f>IFERROR(__xludf.DUMMYFUNCTION("""COMPUTED_VALUE"""),6613455.0)</f>
        <v>6613455</v>
      </c>
    </row>
    <row r="2130">
      <c r="A2130" s="3">
        <f>IFERROR(__xludf.DUMMYFUNCTION("""COMPUTED_VALUE"""),43445.66666666667)</f>
        <v>43445.66667</v>
      </c>
      <c r="B2130" s="2">
        <f>IFERROR(__xludf.DUMMYFUNCTION("""COMPUTED_VALUE"""),24.66)</f>
        <v>24.66</v>
      </c>
      <c r="C2130" s="2">
        <f>IFERROR(__xludf.DUMMYFUNCTION("""COMPUTED_VALUE"""),24.81)</f>
        <v>24.81</v>
      </c>
      <c r="D2130" s="2">
        <f>IFERROR(__xludf.DUMMYFUNCTION("""COMPUTED_VALUE"""),24.02)</f>
        <v>24.02</v>
      </c>
      <c r="E2130" s="2">
        <f>IFERROR(__xludf.DUMMYFUNCTION("""COMPUTED_VALUE"""),24.45)</f>
        <v>24.45</v>
      </c>
      <c r="F2130" s="2">
        <f>IFERROR(__xludf.DUMMYFUNCTION("""COMPUTED_VALUE"""),6308769.0)</f>
        <v>6308769</v>
      </c>
    </row>
    <row r="2131">
      <c r="A2131" s="3">
        <f>IFERROR(__xludf.DUMMYFUNCTION("""COMPUTED_VALUE"""),43446.66666666667)</f>
        <v>43446.66667</v>
      </c>
      <c r="B2131" s="2">
        <f>IFERROR(__xludf.DUMMYFUNCTION("""COMPUTED_VALUE"""),24.63)</f>
        <v>24.63</v>
      </c>
      <c r="C2131" s="2">
        <f>IFERROR(__xludf.DUMMYFUNCTION("""COMPUTED_VALUE"""),24.79)</f>
        <v>24.79</v>
      </c>
      <c r="D2131" s="2">
        <f>IFERROR(__xludf.DUMMYFUNCTION("""COMPUTED_VALUE"""),24.34)</f>
        <v>24.34</v>
      </c>
      <c r="E2131" s="2">
        <f>IFERROR(__xludf.DUMMYFUNCTION("""COMPUTED_VALUE"""),24.44)</f>
        <v>24.44</v>
      </c>
      <c r="F2131" s="2">
        <f>IFERROR(__xludf.DUMMYFUNCTION("""COMPUTED_VALUE"""),5027048.0)</f>
        <v>5027048</v>
      </c>
    </row>
    <row r="2132">
      <c r="A2132" s="3">
        <f>IFERROR(__xludf.DUMMYFUNCTION("""COMPUTED_VALUE"""),43447.66666666667)</f>
        <v>43447.66667</v>
      </c>
      <c r="B2132" s="2">
        <f>IFERROR(__xludf.DUMMYFUNCTION("""COMPUTED_VALUE"""),24.68)</f>
        <v>24.68</v>
      </c>
      <c r="C2132" s="2">
        <f>IFERROR(__xludf.DUMMYFUNCTION("""COMPUTED_VALUE"""),25.16)</f>
        <v>25.16</v>
      </c>
      <c r="D2132" s="2">
        <f>IFERROR(__xludf.DUMMYFUNCTION("""COMPUTED_VALUE"""),24.45)</f>
        <v>24.45</v>
      </c>
      <c r="E2132" s="2">
        <f>IFERROR(__xludf.DUMMYFUNCTION("""COMPUTED_VALUE"""),25.12)</f>
        <v>25.12</v>
      </c>
      <c r="F2132" s="2">
        <f>IFERROR(__xludf.DUMMYFUNCTION("""COMPUTED_VALUE"""),7365854.0)</f>
        <v>7365854</v>
      </c>
    </row>
    <row r="2133">
      <c r="A2133" s="3">
        <f>IFERROR(__xludf.DUMMYFUNCTION("""COMPUTED_VALUE"""),43448.66666666667)</f>
        <v>43448.66667</v>
      </c>
      <c r="B2133" s="2">
        <f>IFERROR(__xludf.DUMMYFUNCTION("""COMPUTED_VALUE"""),25.0)</f>
        <v>25</v>
      </c>
      <c r="C2133" s="2">
        <f>IFERROR(__xludf.DUMMYFUNCTION("""COMPUTED_VALUE"""),25.19)</f>
        <v>25.19</v>
      </c>
      <c r="D2133" s="2">
        <f>IFERROR(__xludf.DUMMYFUNCTION("""COMPUTED_VALUE"""),24.29)</f>
        <v>24.29</v>
      </c>
      <c r="E2133" s="2">
        <f>IFERROR(__xludf.DUMMYFUNCTION("""COMPUTED_VALUE"""),24.38)</f>
        <v>24.38</v>
      </c>
      <c r="F2133" s="2">
        <f>IFERROR(__xludf.DUMMYFUNCTION("""COMPUTED_VALUE"""),6337555.0)</f>
        <v>6337555</v>
      </c>
    </row>
    <row r="2134">
      <c r="A2134" s="3">
        <f>IFERROR(__xludf.DUMMYFUNCTION("""COMPUTED_VALUE"""),43451.66666666667)</f>
        <v>43451.66667</v>
      </c>
      <c r="B2134" s="2">
        <f>IFERROR(__xludf.DUMMYFUNCTION("""COMPUTED_VALUE"""),24.13)</f>
        <v>24.13</v>
      </c>
      <c r="C2134" s="2">
        <f>IFERROR(__xludf.DUMMYFUNCTION("""COMPUTED_VALUE"""),24.38)</f>
        <v>24.38</v>
      </c>
      <c r="D2134" s="2">
        <f>IFERROR(__xludf.DUMMYFUNCTION("""COMPUTED_VALUE"""),22.93)</f>
        <v>22.93</v>
      </c>
      <c r="E2134" s="2">
        <f>IFERROR(__xludf.DUMMYFUNCTION("""COMPUTED_VALUE"""),23.23)</f>
        <v>23.23</v>
      </c>
      <c r="F2134" s="2">
        <f>IFERROR(__xludf.DUMMYFUNCTION("""COMPUTED_VALUE"""),7674008.0)</f>
        <v>7674008</v>
      </c>
    </row>
    <row r="2135">
      <c r="A2135" s="3">
        <f>IFERROR(__xludf.DUMMYFUNCTION("""COMPUTED_VALUE"""),43452.66666666667)</f>
        <v>43452.66667</v>
      </c>
      <c r="B2135" s="2">
        <f>IFERROR(__xludf.DUMMYFUNCTION("""COMPUTED_VALUE"""),23.37)</f>
        <v>23.37</v>
      </c>
      <c r="C2135" s="2">
        <f>IFERROR(__xludf.DUMMYFUNCTION("""COMPUTED_VALUE"""),23.44)</f>
        <v>23.44</v>
      </c>
      <c r="D2135" s="2">
        <f>IFERROR(__xludf.DUMMYFUNCTION("""COMPUTED_VALUE"""),22.25)</f>
        <v>22.25</v>
      </c>
      <c r="E2135" s="2">
        <f>IFERROR(__xludf.DUMMYFUNCTION("""COMPUTED_VALUE"""),22.47)</f>
        <v>22.47</v>
      </c>
      <c r="F2135" s="2">
        <f>IFERROR(__xludf.DUMMYFUNCTION("""COMPUTED_VALUE"""),7099999.0)</f>
        <v>7099999</v>
      </c>
    </row>
    <row r="2136">
      <c r="A2136" s="3">
        <f>IFERROR(__xludf.DUMMYFUNCTION("""COMPUTED_VALUE"""),43453.66666666667)</f>
        <v>43453.66667</v>
      </c>
      <c r="B2136" s="2">
        <f>IFERROR(__xludf.DUMMYFUNCTION("""COMPUTED_VALUE"""),22.51)</f>
        <v>22.51</v>
      </c>
      <c r="C2136" s="2">
        <f>IFERROR(__xludf.DUMMYFUNCTION("""COMPUTED_VALUE"""),23.13)</f>
        <v>23.13</v>
      </c>
      <c r="D2136" s="2">
        <f>IFERROR(__xludf.DUMMYFUNCTION("""COMPUTED_VALUE"""),21.98)</f>
        <v>21.98</v>
      </c>
      <c r="E2136" s="2">
        <f>IFERROR(__xludf.DUMMYFUNCTION("""COMPUTED_VALUE"""),22.2)</f>
        <v>22.2</v>
      </c>
      <c r="F2136" s="2">
        <f>IFERROR(__xludf.DUMMYFUNCTION("""COMPUTED_VALUE"""),8274181.0)</f>
        <v>8274181</v>
      </c>
    </row>
    <row r="2137">
      <c r="A2137" s="3">
        <f>IFERROR(__xludf.DUMMYFUNCTION("""COMPUTED_VALUE"""),43454.66666666667)</f>
        <v>43454.66667</v>
      </c>
      <c r="B2137" s="2">
        <f>IFERROR(__xludf.DUMMYFUNCTION("""COMPUTED_VALUE"""),21.8)</f>
        <v>21.8</v>
      </c>
      <c r="C2137" s="2">
        <f>IFERROR(__xludf.DUMMYFUNCTION("""COMPUTED_VALUE"""),22.02)</f>
        <v>22.02</v>
      </c>
      <c r="D2137" s="2">
        <f>IFERROR(__xludf.DUMMYFUNCTION("""COMPUTED_VALUE"""),20.79)</f>
        <v>20.79</v>
      </c>
      <c r="E2137" s="2">
        <f>IFERROR(__xludf.DUMMYFUNCTION("""COMPUTED_VALUE"""),21.03)</f>
        <v>21.03</v>
      </c>
      <c r="F2137" s="2">
        <f>IFERROR(__xludf.DUMMYFUNCTION("""COMPUTED_VALUE"""),9071858.0)</f>
        <v>9071858</v>
      </c>
    </row>
    <row r="2138">
      <c r="A2138" s="3">
        <f>IFERROR(__xludf.DUMMYFUNCTION("""COMPUTED_VALUE"""),43455.66666666667)</f>
        <v>43455.66667</v>
      </c>
      <c r="B2138" s="2">
        <f>IFERROR(__xludf.DUMMYFUNCTION("""COMPUTED_VALUE"""),21.16)</f>
        <v>21.16</v>
      </c>
      <c r="C2138" s="2">
        <f>IFERROR(__xludf.DUMMYFUNCTION("""COMPUTED_VALUE"""),21.56)</f>
        <v>21.56</v>
      </c>
      <c r="D2138" s="2">
        <f>IFERROR(__xludf.DUMMYFUNCTION("""COMPUTED_VALUE"""),20.83)</f>
        <v>20.83</v>
      </c>
      <c r="E2138" s="2">
        <f>IFERROR(__xludf.DUMMYFUNCTION("""COMPUTED_VALUE"""),21.32)</f>
        <v>21.32</v>
      </c>
      <c r="F2138" s="2">
        <f>IFERROR(__xludf.DUMMYFUNCTION("""COMPUTED_VALUE"""),8016801.0)</f>
        <v>8016801</v>
      </c>
    </row>
    <row r="2139">
      <c r="A2139" s="3">
        <f>IFERROR(__xludf.DUMMYFUNCTION("""COMPUTED_VALUE"""),43458.54166666667)</f>
        <v>43458.54167</v>
      </c>
      <c r="B2139" s="2">
        <f>IFERROR(__xludf.DUMMYFUNCTION("""COMPUTED_VALUE"""),20.9)</f>
        <v>20.9</v>
      </c>
      <c r="C2139" s="2">
        <f>IFERROR(__xludf.DUMMYFUNCTION("""COMPUTED_VALUE"""),20.97)</f>
        <v>20.97</v>
      </c>
      <c r="D2139" s="2">
        <f>IFERROR(__xludf.DUMMYFUNCTION("""COMPUTED_VALUE"""),19.68)</f>
        <v>19.68</v>
      </c>
      <c r="E2139" s="2">
        <f>IFERROR(__xludf.DUMMYFUNCTION("""COMPUTED_VALUE"""),19.69)</f>
        <v>19.69</v>
      </c>
      <c r="F2139" s="2">
        <f>IFERROR(__xludf.DUMMYFUNCTION("""COMPUTED_VALUE"""),5559913.0)</f>
        <v>5559913</v>
      </c>
    </row>
    <row r="2140">
      <c r="A2140" s="3">
        <f>IFERROR(__xludf.DUMMYFUNCTION("""COMPUTED_VALUE"""),43460.66666666667)</f>
        <v>43460.66667</v>
      </c>
      <c r="B2140" s="2">
        <f>IFERROR(__xludf.DUMMYFUNCTION("""COMPUTED_VALUE"""),20.0)</f>
        <v>20</v>
      </c>
      <c r="C2140" s="2">
        <f>IFERROR(__xludf.DUMMYFUNCTION("""COMPUTED_VALUE"""),21.8)</f>
        <v>21.8</v>
      </c>
      <c r="D2140" s="2">
        <f>IFERROR(__xludf.DUMMYFUNCTION("""COMPUTED_VALUE"""),19.61)</f>
        <v>19.61</v>
      </c>
      <c r="E2140" s="2">
        <f>IFERROR(__xludf.DUMMYFUNCTION("""COMPUTED_VALUE"""),21.74)</f>
        <v>21.74</v>
      </c>
      <c r="F2140" s="2">
        <f>IFERROR(__xludf.DUMMYFUNCTION("""COMPUTED_VALUE"""),8163138.0)</f>
        <v>8163138</v>
      </c>
    </row>
    <row r="2141">
      <c r="A2141" s="3">
        <f>IFERROR(__xludf.DUMMYFUNCTION("""COMPUTED_VALUE"""),43461.66666666667)</f>
        <v>43461.66667</v>
      </c>
      <c r="B2141" s="2">
        <f>IFERROR(__xludf.DUMMYFUNCTION("""COMPUTED_VALUE"""),21.32)</f>
        <v>21.32</v>
      </c>
      <c r="C2141" s="2">
        <f>IFERROR(__xludf.DUMMYFUNCTION("""COMPUTED_VALUE"""),21.48)</f>
        <v>21.48</v>
      </c>
      <c r="D2141" s="2">
        <f>IFERROR(__xludf.DUMMYFUNCTION("""COMPUTED_VALUE"""),20.1)</f>
        <v>20.1</v>
      </c>
      <c r="E2141" s="2">
        <f>IFERROR(__xludf.DUMMYFUNCTION("""COMPUTED_VALUE"""),21.08)</f>
        <v>21.08</v>
      </c>
      <c r="F2141" s="2">
        <f>IFERROR(__xludf.DUMMYFUNCTION("""COMPUTED_VALUE"""),8575133.0)</f>
        <v>8575133</v>
      </c>
    </row>
    <row r="2142">
      <c r="A2142" s="3">
        <f>IFERROR(__xludf.DUMMYFUNCTION("""COMPUTED_VALUE"""),43462.66666666667)</f>
        <v>43462.66667</v>
      </c>
      <c r="B2142" s="2">
        <f>IFERROR(__xludf.DUMMYFUNCTION("""COMPUTED_VALUE"""),21.54)</f>
        <v>21.54</v>
      </c>
      <c r="C2142" s="2">
        <f>IFERROR(__xludf.DUMMYFUNCTION("""COMPUTED_VALUE"""),22.42)</f>
        <v>22.42</v>
      </c>
      <c r="D2142" s="2">
        <f>IFERROR(__xludf.DUMMYFUNCTION("""COMPUTED_VALUE"""),21.23)</f>
        <v>21.23</v>
      </c>
      <c r="E2142" s="2">
        <f>IFERROR(__xludf.DUMMYFUNCTION("""COMPUTED_VALUE"""),22.26)</f>
        <v>22.26</v>
      </c>
      <c r="F2142" s="2">
        <f>IFERROR(__xludf.DUMMYFUNCTION("""COMPUTED_VALUE"""),9938992.0)</f>
        <v>9938992</v>
      </c>
    </row>
    <row r="2143">
      <c r="A2143" s="3">
        <f>IFERROR(__xludf.DUMMYFUNCTION("""COMPUTED_VALUE"""),43465.66666666667)</f>
        <v>43465.66667</v>
      </c>
      <c r="B2143" s="2">
        <f>IFERROR(__xludf.DUMMYFUNCTION("""COMPUTED_VALUE"""),22.52)</f>
        <v>22.52</v>
      </c>
      <c r="C2143" s="2">
        <f>IFERROR(__xludf.DUMMYFUNCTION("""COMPUTED_VALUE"""),22.61)</f>
        <v>22.61</v>
      </c>
      <c r="D2143" s="2">
        <f>IFERROR(__xludf.DUMMYFUNCTION("""COMPUTED_VALUE"""),21.68)</f>
        <v>21.68</v>
      </c>
      <c r="E2143" s="2">
        <f>IFERROR(__xludf.DUMMYFUNCTION("""COMPUTED_VALUE"""),22.19)</f>
        <v>22.19</v>
      </c>
      <c r="F2143" s="2">
        <f>IFERROR(__xludf.DUMMYFUNCTION("""COMPUTED_VALUE"""),6302338.0)</f>
        <v>6302338</v>
      </c>
    </row>
    <row r="2144">
      <c r="A2144" s="3">
        <f>IFERROR(__xludf.DUMMYFUNCTION("""COMPUTED_VALUE"""),43467.66666666667)</f>
        <v>43467.66667</v>
      </c>
      <c r="B2144" s="2">
        <f>IFERROR(__xludf.DUMMYFUNCTION("""COMPUTED_VALUE"""),20.41)</f>
        <v>20.41</v>
      </c>
      <c r="C2144" s="2">
        <f>IFERROR(__xludf.DUMMYFUNCTION("""COMPUTED_VALUE"""),21.01)</f>
        <v>21.01</v>
      </c>
      <c r="D2144" s="2">
        <f>IFERROR(__xludf.DUMMYFUNCTION("""COMPUTED_VALUE"""),19.92)</f>
        <v>19.92</v>
      </c>
      <c r="E2144" s="2">
        <f>IFERROR(__xludf.DUMMYFUNCTION("""COMPUTED_VALUE"""),20.67)</f>
        <v>20.67</v>
      </c>
      <c r="F2144" s="2">
        <f>IFERROR(__xludf.DUMMYFUNCTION("""COMPUTED_VALUE"""),1.1658648E7)</f>
        <v>11658648</v>
      </c>
    </row>
    <row r="2145">
      <c r="A2145" s="3">
        <f>IFERROR(__xludf.DUMMYFUNCTION("""COMPUTED_VALUE"""),43468.66666666667)</f>
        <v>43468.66667</v>
      </c>
      <c r="B2145" s="2">
        <f>IFERROR(__xludf.DUMMYFUNCTION("""COMPUTED_VALUE"""),20.47)</f>
        <v>20.47</v>
      </c>
      <c r="C2145" s="2">
        <f>IFERROR(__xludf.DUMMYFUNCTION("""COMPUTED_VALUE"""),20.63)</f>
        <v>20.63</v>
      </c>
      <c r="D2145" s="2">
        <f>IFERROR(__xludf.DUMMYFUNCTION("""COMPUTED_VALUE"""),19.83)</f>
        <v>19.83</v>
      </c>
      <c r="E2145" s="2">
        <f>IFERROR(__xludf.DUMMYFUNCTION("""COMPUTED_VALUE"""),20.02)</f>
        <v>20.02</v>
      </c>
      <c r="F2145" s="2">
        <f>IFERROR(__xludf.DUMMYFUNCTION("""COMPUTED_VALUE"""),6965184.0)</f>
        <v>6965184</v>
      </c>
    </row>
    <row r="2146">
      <c r="A2146" s="3">
        <f>IFERROR(__xludf.DUMMYFUNCTION("""COMPUTED_VALUE"""),43469.66666666667)</f>
        <v>43469.66667</v>
      </c>
      <c r="B2146" s="2">
        <f>IFERROR(__xludf.DUMMYFUNCTION("""COMPUTED_VALUE"""),20.4)</f>
        <v>20.4</v>
      </c>
      <c r="C2146" s="2">
        <f>IFERROR(__xludf.DUMMYFUNCTION("""COMPUTED_VALUE"""),21.2)</f>
        <v>21.2</v>
      </c>
      <c r="D2146" s="2">
        <f>IFERROR(__xludf.DUMMYFUNCTION("""COMPUTED_VALUE"""),20.18)</f>
        <v>20.18</v>
      </c>
      <c r="E2146" s="2">
        <f>IFERROR(__xludf.DUMMYFUNCTION("""COMPUTED_VALUE"""),21.18)</f>
        <v>21.18</v>
      </c>
      <c r="F2146" s="2">
        <f>IFERROR(__xludf.DUMMYFUNCTION("""COMPUTED_VALUE"""),7394116.0)</f>
        <v>7394116</v>
      </c>
    </row>
    <row r="2147">
      <c r="A2147" s="3">
        <f>IFERROR(__xludf.DUMMYFUNCTION("""COMPUTED_VALUE"""),43472.66666666667)</f>
        <v>43472.66667</v>
      </c>
      <c r="B2147" s="2">
        <f>IFERROR(__xludf.DUMMYFUNCTION("""COMPUTED_VALUE"""),21.45)</f>
        <v>21.45</v>
      </c>
      <c r="C2147" s="2">
        <f>IFERROR(__xludf.DUMMYFUNCTION("""COMPUTED_VALUE"""),22.45)</f>
        <v>22.45</v>
      </c>
      <c r="D2147" s="2">
        <f>IFERROR(__xludf.DUMMYFUNCTION("""COMPUTED_VALUE"""),21.18)</f>
        <v>21.18</v>
      </c>
      <c r="E2147" s="2">
        <f>IFERROR(__xludf.DUMMYFUNCTION("""COMPUTED_VALUE"""),22.33)</f>
        <v>22.33</v>
      </c>
      <c r="F2147" s="2">
        <f>IFERROR(__xludf.DUMMYFUNCTION("""COMPUTED_VALUE"""),7551225.0)</f>
        <v>7551225</v>
      </c>
    </row>
    <row r="2148">
      <c r="A2148" s="3">
        <f>IFERROR(__xludf.DUMMYFUNCTION("""COMPUTED_VALUE"""),43473.66666666667)</f>
        <v>43473.66667</v>
      </c>
      <c r="B2148" s="2">
        <f>IFERROR(__xludf.DUMMYFUNCTION("""COMPUTED_VALUE"""),22.8)</f>
        <v>22.8</v>
      </c>
      <c r="C2148" s="2">
        <f>IFERROR(__xludf.DUMMYFUNCTION("""COMPUTED_VALUE"""),22.93)</f>
        <v>22.93</v>
      </c>
      <c r="D2148" s="2">
        <f>IFERROR(__xludf.DUMMYFUNCTION("""COMPUTED_VALUE"""),21.8)</f>
        <v>21.8</v>
      </c>
      <c r="E2148" s="2">
        <f>IFERROR(__xludf.DUMMYFUNCTION("""COMPUTED_VALUE"""),22.36)</f>
        <v>22.36</v>
      </c>
      <c r="F2148" s="2">
        <f>IFERROR(__xludf.DUMMYFUNCTION("""COMPUTED_VALUE"""),7008516.0)</f>
        <v>7008516</v>
      </c>
    </row>
    <row r="2149">
      <c r="A2149" s="3">
        <f>IFERROR(__xludf.DUMMYFUNCTION("""COMPUTED_VALUE"""),43474.66666666667)</f>
        <v>43474.66667</v>
      </c>
      <c r="B2149" s="2">
        <f>IFERROR(__xludf.DUMMYFUNCTION("""COMPUTED_VALUE"""),22.37)</f>
        <v>22.37</v>
      </c>
      <c r="C2149" s="2">
        <f>IFERROR(__xludf.DUMMYFUNCTION("""COMPUTED_VALUE"""),22.9)</f>
        <v>22.9</v>
      </c>
      <c r="D2149" s="2">
        <f>IFERROR(__xludf.DUMMYFUNCTION("""COMPUTED_VALUE"""),22.1)</f>
        <v>22.1</v>
      </c>
      <c r="E2149" s="2">
        <f>IFERROR(__xludf.DUMMYFUNCTION("""COMPUTED_VALUE"""),22.57)</f>
        <v>22.57</v>
      </c>
      <c r="F2149" s="2">
        <f>IFERROR(__xludf.DUMMYFUNCTION("""COMPUTED_VALUE"""),5432945.0)</f>
        <v>5432945</v>
      </c>
    </row>
    <row r="2150">
      <c r="A2150" s="3">
        <f>IFERROR(__xludf.DUMMYFUNCTION("""COMPUTED_VALUE"""),43475.66666666667)</f>
        <v>43475.66667</v>
      </c>
      <c r="B2150" s="2">
        <f>IFERROR(__xludf.DUMMYFUNCTION("""COMPUTED_VALUE"""),22.29)</f>
        <v>22.29</v>
      </c>
      <c r="C2150" s="2">
        <f>IFERROR(__xludf.DUMMYFUNCTION("""COMPUTED_VALUE"""),23.03)</f>
        <v>23.03</v>
      </c>
      <c r="D2150" s="2">
        <f>IFERROR(__xludf.DUMMYFUNCTION("""COMPUTED_VALUE"""),22.12)</f>
        <v>22.12</v>
      </c>
      <c r="E2150" s="2">
        <f>IFERROR(__xludf.DUMMYFUNCTION("""COMPUTED_VALUE"""),23.0)</f>
        <v>23</v>
      </c>
      <c r="F2150" s="2">
        <f>IFERROR(__xludf.DUMMYFUNCTION("""COMPUTED_VALUE"""),6056354.0)</f>
        <v>6056354</v>
      </c>
    </row>
    <row r="2151">
      <c r="A2151" s="3">
        <f>IFERROR(__xludf.DUMMYFUNCTION("""COMPUTED_VALUE"""),43476.66666666667)</f>
        <v>43476.66667</v>
      </c>
      <c r="B2151" s="2">
        <f>IFERROR(__xludf.DUMMYFUNCTION("""COMPUTED_VALUE"""),22.81)</f>
        <v>22.81</v>
      </c>
      <c r="C2151" s="2">
        <f>IFERROR(__xludf.DUMMYFUNCTION("""COMPUTED_VALUE"""),23.23)</f>
        <v>23.23</v>
      </c>
      <c r="D2151" s="2">
        <f>IFERROR(__xludf.DUMMYFUNCTION("""COMPUTED_VALUE"""),22.58)</f>
        <v>22.58</v>
      </c>
      <c r="E2151" s="2">
        <f>IFERROR(__xludf.DUMMYFUNCTION("""COMPUTED_VALUE"""),23.15)</f>
        <v>23.15</v>
      </c>
      <c r="F2151" s="2">
        <f>IFERROR(__xludf.DUMMYFUNCTION("""COMPUTED_VALUE"""),5039052.0)</f>
        <v>5039052</v>
      </c>
    </row>
    <row r="2152">
      <c r="A2152" s="3">
        <f>IFERROR(__xludf.DUMMYFUNCTION("""COMPUTED_VALUE"""),43479.66666666667)</f>
        <v>43479.66667</v>
      </c>
      <c r="B2152" s="2">
        <f>IFERROR(__xludf.DUMMYFUNCTION("""COMPUTED_VALUE"""),22.83)</f>
        <v>22.83</v>
      </c>
      <c r="C2152" s="2">
        <f>IFERROR(__xludf.DUMMYFUNCTION("""COMPUTED_VALUE"""),22.83)</f>
        <v>22.83</v>
      </c>
      <c r="D2152" s="2">
        <f>IFERROR(__xludf.DUMMYFUNCTION("""COMPUTED_VALUE"""),22.27)</f>
        <v>22.27</v>
      </c>
      <c r="E2152" s="2">
        <f>IFERROR(__xludf.DUMMYFUNCTION("""COMPUTED_VALUE"""),22.29)</f>
        <v>22.29</v>
      </c>
      <c r="F2152" s="2">
        <f>IFERROR(__xludf.DUMMYFUNCTION("""COMPUTED_VALUE"""),5247284.0)</f>
        <v>5247284</v>
      </c>
    </row>
    <row r="2153">
      <c r="A2153" s="3">
        <f>IFERROR(__xludf.DUMMYFUNCTION("""COMPUTED_VALUE"""),43480.66666666667)</f>
        <v>43480.66667</v>
      </c>
      <c r="B2153" s="2">
        <f>IFERROR(__xludf.DUMMYFUNCTION("""COMPUTED_VALUE"""),22.33)</f>
        <v>22.33</v>
      </c>
      <c r="C2153" s="2">
        <f>IFERROR(__xludf.DUMMYFUNCTION("""COMPUTED_VALUE"""),23.25)</f>
        <v>23.25</v>
      </c>
      <c r="D2153" s="2">
        <f>IFERROR(__xludf.DUMMYFUNCTION("""COMPUTED_VALUE"""),22.3)</f>
        <v>22.3</v>
      </c>
      <c r="E2153" s="2">
        <f>IFERROR(__xludf.DUMMYFUNCTION("""COMPUTED_VALUE"""),22.96)</f>
        <v>22.96</v>
      </c>
      <c r="F2153" s="2">
        <f>IFERROR(__xludf.DUMMYFUNCTION("""COMPUTED_VALUE"""),6056590.0)</f>
        <v>6056590</v>
      </c>
    </row>
    <row r="2154">
      <c r="A2154" s="3">
        <f>IFERROR(__xludf.DUMMYFUNCTION("""COMPUTED_VALUE"""),43481.66666666667)</f>
        <v>43481.66667</v>
      </c>
      <c r="B2154" s="2">
        <f>IFERROR(__xludf.DUMMYFUNCTION("""COMPUTED_VALUE"""),22.99)</f>
        <v>22.99</v>
      </c>
      <c r="C2154" s="2">
        <f>IFERROR(__xludf.DUMMYFUNCTION("""COMPUTED_VALUE"""),23.47)</f>
        <v>23.47</v>
      </c>
      <c r="D2154" s="2">
        <f>IFERROR(__xludf.DUMMYFUNCTION("""COMPUTED_VALUE"""),22.9)</f>
        <v>22.9</v>
      </c>
      <c r="E2154" s="2">
        <f>IFERROR(__xludf.DUMMYFUNCTION("""COMPUTED_VALUE"""),23.07)</f>
        <v>23.07</v>
      </c>
      <c r="F2154" s="2">
        <f>IFERROR(__xludf.DUMMYFUNCTION("""COMPUTED_VALUE"""),4691739.0)</f>
        <v>4691739</v>
      </c>
    </row>
    <row r="2155">
      <c r="A2155" s="3">
        <f>IFERROR(__xludf.DUMMYFUNCTION("""COMPUTED_VALUE"""),43482.66666666667)</f>
        <v>43482.66667</v>
      </c>
      <c r="B2155" s="2">
        <f>IFERROR(__xludf.DUMMYFUNCTION("""COMPUTED_VALUE"""),23.08)</f>
        <v>23.08</v>
      </c>
      <c r="C2155" s="2">
        <f>IFERROR(__xludf.DUMMYFUNCTION("""COMPUTED_VALUE"""),23.43)</f>
        <v>23.43</v>
      </c>
      <c r="D2155" s="2">
        <f>IFERROR(__xludf.DUMMYFUNCTION("""COMPUTED_VALUE"""),22.94)</f>
        <v>22.94</v>
      </c>
      <c r="E2155" s="2">
        <f>IFERROR(__xludf.DUMMYFUNCTION("""COMPUTED_VALUE"""),23.15)</f>
        <v>23.15</v>
      </c>
      <c r="F2155" s="2">
        <f>IFERROR(__xludf.DUMMYFUNCTION("""COMPUTED_VALUE"""),3676733.0)</f>
        <v>3676733</v>
      </c>
    </row>
    <row r="2156">
      <c r="A2156" s="3">
        <f>IFERROR(__xludf.DUMMYFUNCTION("""COMPUTED_VALUE"""),43483.66666666667)</f>
        <v>43483.66667</v>
      </c>
      <c r="B2156" s="2">
        <f>IFERROR(__xludf.DUMMYFUNCTION("""COMPUTED_VALUE"""),21.53)</f>
        <v>21.53</v>
      </c>
      <c r="C2156" s="2">
        <f>IFERROR(__xludf.DUMMYFUNCTION("""COMPUTED_VALUE"""),21.81)</f>
        <v>21.81</v>
      </c>
      <c r="D2156" s="2">
        <f>IFERROR(__xludf.DUMMYFUNCTION("""COMPUTED_VALUE"""),19.98)</f>
        <v>19.98</v>
      </c>
      <c r="E2156" s="2">
        <f>IFERROR(__xludf.DUMMYFUNCTION("""COMPUTED_VALUE"""),20.15)</f>
        <v>20.15</v>
      </c>
      <c r="F2156" s="2">
        <f>IFERROR(__xludf.DUMMYFUNCTION("""COMPUTED_VALUE"""),2.4150763E7)</f>
        <v>24150763</v>
      </c>
    </row>
    <row r="2157">
      <c r="A2157" s="3">
        <f>IFERROR(__xludf.DUMMYFUNCTION("""COMPUTED_VALUE"""),43487.66666666667)</f>
        <v>43487.66667</v>
      </c>
      <c r="B2157" s="2">
        <f>IFERROR(__xludf.DUMMYFUNCTION("""COMPUTED_VALUE"""),20.32)</f>
        <v>20.32</v>
      </c>
      <c r="C2157" s="2">
        <f>IFERROR(__xludf.DUMMYFUNCTION("""COMPUTED_VALUE"""),20.53)</f>
        <v>20.53</v>
      </c>
      <c r="D2157" s="2">
        <f>IFERROR(__xludf.DUMMYFUNCTION("""COMPUTED_VALUE"""),19.7)</f>
        <v>19.7</v>
      </c>
      <c r="E2157" s="2">
        <f>IFERROR(__xludf.DUMMYFUNCTION("""COMPUTED_VALUE"""),19.93)</f>
        <v>19.93</v>
      </c>
      <c r="F2157" s="2">
        <f>IFERROR(__xludf.DUMMYFUNCTION("""COMPUTED_VALUE"""),1.2066741E7)</f>
        <v>12066741</v>
      </c>
    </row>
    <row r="2158">
      <c r="A2158" s="3">
        <f>IFERROR(__xludf.DUMMYFUNCTION("""COMPUTED_VALUE"""),43488.66666666667)</f>
        <v>43488.66667</v>
      </c>
      <c r="B2158" s="2">
        <f>IFERROR(__xludf.DUMMYFUNCTION("""COMPUTED_VALUE"""),19.5)</f>
        <v>19.5</v>
      </c>
      <c r="C2158" s="2">
        <f>IFERROR(__xludf.DUMMYFUNCTION("""COMPUTED_VALUE"""),19.63)</f>
        <v>19.63</v>
      </c>
      <c r="D2158" s="2">
        <f>IFERROR(__xludf.DUMMYFUNCTION("""COMPUTED_VALUE"""),18.78)</f>
        <v>18.78</v>
      </c>
      <c r="E2158" s="2">
        <f>IFERROR(__xludf.DUMMYFUNCTION("""COMPUTED_VALUE"""),19.17)</f>
        <v>19.17</v>
      </c>
      <c r="F2158" s="2">
        <f>IFERROR(__xludf.DUMMYFUNCTION("""COMPUTED_VALUE"""),1.2529993E7)</f>
        <v>12529993</v>
      </c>
    </row>
    <row r="2159">
      <c r="A2159" s="3">
        <f>IFERROR(__xludf.DUMMYFUNCTION("""COMPUTED_VALUE"""),43489.66666666667)</f>
        <v>43489.66667</v>
      </c>
      <c r="B2159" s="2">
        <f>IFERROR(__xludf.DUMMYFUNCTION("""COMPUTED_VALUE"""),18.87)</f>
        <v>18.87</v>
      </c>
      <c r="C2159" s="2">
        <f>IFERROR(__xludf.DUMMYFUNCTION("""COMPUTED_VALUE"""),19.58)</f>
        <v>19.58</v>
      </c>
      <c r="D2159" s="2">
        <f>IFERROR(__xludf.DUMMYFUNCTION("""COMPUTED_VALUE"""),18.62)</f>
        <v>18.62</v>
      </c>
      <c r="E2159" s="2">
        <f>IFERROR(__xludf.DUMMYFUNCTION("""COMPUTED_VALUE"""),19.43)</f>
        <v>19.43</v>
      </c>
      <c r="F2159" s="2">
        <f>IFERROR(__xludf.DUMMYFUNCTION("""COMPUTED_VALUE"""),8012155.0)</f>
        <v>8012155</v>
      </c>
    </row>
    <row r="2160">
      <c r="A2160" s="3">
        <f>IFERROR(__xludf.DUMMYFUNCTION("""COMPUTED_VALUE"""),43490.66666666667)</f>
        <v>43490.66667</v>
      </c>
      <c r="B2160" s="2">
        <f>IFERROR(__xludf.DUMMYFUNCTION("""COMPUTED_VALUE"""),19.63)</f>
        <v>19.63</v>
      </c>
      <c r="C2160" s="2">
        <f>IFERROR(__xludf.DUMMYFUNCTION("""COMPUTED_VALUE"""),19.9)</f>
        <v>19.9</v>
      </c>
      <c r="D2160" s="2">
        <f>IFERROR(__xludf.DUMMYFUNCTION("""COMPUTED_VALUE"""),19.3)</f>
        <v>19.3</v>
      </c>
      <c r="E2160" s="2">
        <f>IFERROR(__xludf.DUMMYFUNCTION("""COMPUTED_VALUE"""),19.8)</f>
        <v>19.8</v>
      </c>
      <c r="F2160" s="2">
        <f>IFERROR(__xludf.DUMMYFUNCTION("""COMPUTED_VALUE"""),7258078.0)</f>
        <v>7258078</v>
      </c>
    </row>
    <row r="2161">
      <c r="A2161" s="3">
        <f>IFERROR(__xludf.DUMMYFUNCTION("""COMPUTED_VALUE"""),43493.66666666667)</f>
        <v>43493.66667</v>
      </c>
      <c r="B2161" s="2">
        <f>IFERROR(__xludf.DUMMYFUNCTION("""COMPUTED_VALUE"""),19.53)</f>
        <v>19.53</v>
      </c>
      <c r="C2161" s="2">
        <f>IFERROR(__xludf.DUMMYFUNCTION("""COMPUTED_VALUE"""),19.83)</f>
        <v>19.83</v>
      </c>
      <c r="D2161" s="2">
        <f>IFERROR(__xludf.DUMMYFUNCTION("""COMPUTED_VALUE"""),19.18)</f>
        <v>19.18</v>
      </c>
      <c r="E2161" s="2">
        <f>IFERROR(__xludf.DUMMYFUNCTION("""COMPUTED_VALUE"""),19.76)</f>
        <v>19.76</v>
      </c>
      <c r="F2161" s="2">
        <f>IFERROR(__xludf.DUMMYFUNCTION("""COMPUTED_VALUE"""),6423279.0)</f>
        <v>6423279</v>
      </c>
    </row>
    <row r="2162">
      <c r="A2162" s="3">
        <f>IFERROR(__xludf.DUMMYFUNCTION("""COMPUTED_VALUE"""),43494.66666666667)</f>
        <v>43494.66667</v>
      </c>
      <c r="B2162" s="2">
        <f>IFERROR(__xludf.DUMMYFUNCTION("""COMPUTED_VALUE"""),19.68)</f>
        <v>19.68</v>
      </c>
      <c r="C2162" s="2">
        <f>IFERROR(__xludf.DUMMYFUNCTION("""COMPUTED_VALUE"""),19.9)</f>
        <v>19.9</v>
      </c>
      <c r="D2162" s="2">
        <f>IFERROR(__xludf.DUMMYFUNCTION("""COMPUTED_VALUE"""),19.45)</f>
        <v>19.45</v>
      </c>
      <c r="E2162" s="2">
        <f>IFERROR(__xludf.DUMMYFUNCTION("""COMPUTED_VALUE"""),19.83)</f>
        <v>19.83</v>
      </c>
      <c r="F2162" s="2">
        <f>IFERROR(__xludf.DUMMYFUNCTION("""COMPUTED_VALUE"""),4621692.0)</f>
        <v>4621692</v>
      </c>
    </row>
    <row r="2163">
      <c r="A2163" s="3">
        <f>IFERROR(__xludf.DUMMYFUNCTION("""COMPUTED_VALUE"""),43495.66666666667)</f>
        <v>43495.66667</v>
      </c>
      <c r="B2163" s="2">
        <f>IFERROR(__xludf.DUMMYFUNCTION("""COMPUTED_VALUE"""),20.03)</f>
        <v>20.03</v>
      </c>
      <c r="C2163" s="2">
        <f>IFERROR(__xludf.DUMMYFUNCTION("""COMPUTED_VALUE"""),20.6)</f>
        <v>20.6</v>
      </c>
      <c r="D2163" s="2">
        <f>IFERROR(__xludf.DUMMYFUNCTION("""COMPUTED_VALUE"""),19.9)</f>
        <v>19.9</v>
      </c>
      <c r="E2163" s="2">
        <f>IFERROR(__xludf.DUMMYFUNCTION("""COMPUTED_VALUE"""),20.58)</f>
        <v>20.58</v>
      </c>
      <c r="F2163" s="2">
        <f>IFERROR(__xludf.DUMMYFUNCTION("""COMPUTED_VALUE"""),1.1250318E7)</f>
        <v>11250318</v>
      </c>
    </row>
    <row r="2164">
      <c r="A2164" s="3">
        <f>IFERROR(__xludf.DUMMYFUNCTION("""COMPUTED_VALUE"""),43496.66666666667)</f>
        <v>43496.66667</v>
      </c>
      <c r="B2164" s="2">
        <f>IFERROR(__xludf.DUMMYFUNCTION("""COMPUTED_VALUE"""),20.07)</f>
        <v>20.07</v>
      </c>
      <c r="C2164" s="2">
        <f>IFERROR(__xludf.DUMMYFUNCTION("""COMPUTED_VALUE"""),20.77)</f>
        <v>20.77</v>
      </c>
      <c r="D2164" s="2">
        <f>IFERROR(__xludf.DUMMYFUNCTION("""COMPUTED_VALUE"""),19.6)</f>
        <v>19.6</v>
      </c>
      <c r="E2164" s="2">
        <f>IFERROR(__xludf.DUMMYFUNCTION("""COMPUTED_VALUE"""),20.47)</f>
        <v>20.47</v>
      </c>
      <c r="F2164" s="2">
        <f>IFERROR(__xludf.DUMMYFUNCTION("""COMPUTED_VALUE"""),1.2569245E7)</f>
        <v>12569245</v>
      </c>
    </row>
    <row r="2165">
      <c r="A2165" s="3">
        <f>IFERROR(__xludf.DUMMYFUNCTION("""COMPUTED_VALUE"""),43497.66666666667)</f>
        <v>43497.66667</v>
      </c>
      <c r="B2165" s="2">
        <f>IFERROR(__xludf.DUMMYFUNCTION("""COMPUTED_VALUE"""),20.36)</f>
        <v>20.36</v>
      </c>
      <c r="C2165" s="2">
        <f>IFERROR(__xludf.DUMMYFUNCTION("""COMPUTED_VALUE"""),21.07)</f>
        <v>21.07</v>
      </c>
      <c r="D2165" s="2">
        <f>IFERROR(__xludf.DUMMYFUNCTION("""COMPUTED_VALUE"""),20.23)</f>
        <v>20.23</v>
      </c>
      <c r="E2165" s="2">
        <f>IFERROR(__xludf.DUMMYFUNCTION("""COMPUTED_VALUE"""),20.81)</f>
        <v>20.81</v>
      </c>
      <c r="F2165" s="2">
        <f>IFERROR(__xludf.DUMMYFUNCTION("""COMPUTED_VALUE"""),7283441.0)</f>
        <v>7283441</v>
      </c>
    </row>
    <row r="2166">
      <c r="A2166" s="3">
        <f>IFERROR(__xludf.DUMMYFUNCTION("""COMPUTED_VALUE"""),43500.66666666667)</f>
        <v>43500.66667</v>
      </c>
      <c r="B2166" s="2">
        <f>IFERROR(__xludf.DUMMYFUNCTION("""COMPUTED_VALUE"""),20.87)</f>
        <v>20.87</v>
      </c>
      <c r="C2166" s="2">
        <f>IFERROR(__xludf.DUMMYFUNCTION("""COMPUTED_VALUE"""),21.02)</f>
        <v>21.02</v>
      </c>
      <c r="D2166" s="2">
        <f>IFERROR(__xludf.DUMMYFUNCTION("""COMPUTED_VALUE"""),20.13)</f>
        <v>20.13</v>
      </c>
      <c r="E2166" s="2">
        <f>IFERROR(__xludf.DUMMYFUNCTION("""COMPUTED_VALUE"""),20.86)</f>
        <v>20.86</v>
      </c>
      <c r="F2166" s="2">
        <f>IFERROR(__xludf.DUMMYFUNCTION("""COMPUTED_VALUE"""),7352082.0)</f>
        <v>7352082</v>
      </c>
    </row>
    <row r="2167">
      <c r="A2167" s="3">
        <f>IFERROR(__xludf.DUMMYFUNCTION("""COMPUTED_VALUE"""),43501.66666666667)</f>
        <v>43501.66667</v>
      </c>
      <c r="B2167" s="2">
        <f>IFERROR(__xludf.DUMMYFUNCTION("""COMPUTED_VALUE"""),20.83)</f>
        <v>20.83</v>
      </c>
      <c r="C2167" s="2">
        <f>IFERROR(__xludf.DUMMYFUNCTION("""COMPUTED_VALUE"""),21.5)</f>
        <v>21.5</v>
      </c>
      <c r="D2167" s="2">
        <f>IFERROR(__xludf.DUMMYFUNCTION("""COMPUTED_VALUE"""),20.82)</f>
        <v>20.82</v>
      </c>
      <c r="E2167" s="2">
        <f>IFERROR(__xludf.DUMMYFUNCTION("""COMPUTED_VALUE"""),21.42)</f>
        <v>21.42</v>
      </c>
      <c r="F2167" s="2">
        <f>IFERROR(__xludf.DUMMYFUNCTION("""COMPUTED_VALUE"""),6742765.0)</f>
        <v>6742765</v>
      </c>
    </row>
    <row r="2168">
      <c r="A2168" s="3">
        <f>IFERROR(__xludf.DUMMYFUNCTION("""COMPUTED_VALUE"""),43502.66666666667)</f>
        <v>43502.66667</v>
      </c>
      <c r="B2168" s="2">
        <f>IFERROR(__xludf.DUMMYFUNCTION("""COMPUTED_VALUE"""),21.31)</f>
        <v>21.31</v>
      </c>
      <c r="C2168" s="2">
        <f>IFERROR(__xludf.DUMMYFUNCTION("""COMPUTED_VALUE"""),21.62)</f>
        <v>21.62</v>
      </c>
      <c r="D2168" s="2">
        <f>IFERROR(__xludf.DUMMYFUNCTION("""COMPUTED_VALUE"""),21.04)</f>
        <v>21.04</v>
      </c>
      <c r="E2168" s="2">
        <f>IFERROR(__xludf.DUMMYFUNCTION("""COMPUTED_VALUE"""),21.15)</f>
        <v>21.15</v>
      </c>
      <c r="F2168" s="2">
        <f>IFERROR(__xludf.DUMMYFUNCTION("""COMPUTED_VALUE"""),5038546.0)</f>
        <v>5038546</v>
      </c>
    </row>
    <row r="2169">
      <c r="A2169" s="3">
        <f>IFERROR(__xludf.DUMMYFUNCTION("""COMPUTED_VALUE"""),43503.66666666667)</f>
        <v>43503.66667</v>
      </c>
      <c r="B2169" s="2">
        <f>IFERROR(__xludf.DUMMYFUNCTION("""COMPUTED_VALUE"""),20.89)</f>
        <v>20.89</v>
      </c>
      <c r="C2169" s="2">
        <f>IFERROR(__xludf.DUMMYFUNCTION("""COMPUTED_VALUE"""),20.98)</f>
        <v>20.98</v>
      </c>
      <c r="D2169" s="2">
        <f>IFERROR(__xludf.DUMMYFUNCTION("""COMPUTED_VALUE"""),20.2)</f>
        <v>20.2</v>
      </c>
      <c r="E2169" s="2">
        <f>IFERROR(__xludf.DUMMYFUNCTION("""COMPUTED_VALUE"""),20.5)</f>
        <v>20.5</v>
      </c>
      <c r="F2169" s="2">
        <f>IFERROR(__xludf.DUMMYFUNCTION("""COMPUTED_VALUE"""),6520611.0)</f>
        <v>6520611</v>
      </c>
    </row>
    <row r="2170">
      <c r="A2170" s="3">
        <f>IFERROR(__xludf.DUMMYFUNCTION("""COMPUTED_VALUE"""),43504.66666666667)</f>
        <v>43504.66667</v>
      </c>
      <c r="B2170" s="2">
        <f>IFERROR(__xludf.DUMMYFUNCTION("""COMPUTED_VALUE"""),20.46)</f>
        <v>20.46</v>
      </c>
      <c r="C2170" s="2">
        <f>IFERROR(__xludf.DUMMYFUNCTION("""COMPUTED_VALUE"""),20.5)</f>
        <v>20.5</v>
      </c>
      <c r="D2170" s="2">
        <f>IFERROR(__xludf.DUMMYFUNCTION("""COMPUTED_VALUE"""),19.9)</f>
        <v>19.9</v>
      </c>
      <c r="E2170" s="2">
        <f>IFERROR(__xludf.DUMMYFUNCTION("""COMPUTED_VALUE"""),20.39)</f>
        <v>20.39</v>
      </c>
      <c r="F2170" s="2">
        <f>IFERROR(__xludf.DUMMYFUNCTION("""COMPUTED_VALUE"""),5844212.0)</f>
        <v>5844212</v>
      </c>
    </row>
    <row r="2171">
      <c r="A2171" s="3">
        <f>IFERROR(__xludf.DUMMYFUNCTION("""COMPUTED_VALUE"""),43507.66666666667)</f>
        <v>43507.66667</v>
      </c>
      <c r="B2171" s="2">
        <f>IFERROR(__xludf.DUMMYFUNCTION("""COMPUTED_VALUE"""),20.77)</f>
        <v>20.77</v>
      </c>
      <c r="C2171" s="2">
        <f>IFERROR(__xludf.DUMMYFUNCTION("""COMPUTED_VALUE"""),21.24)</f>
        <v>21.24</v>
      </c>
      <c r="D2171" s="2">
        <f>IFERROR(__xludf.DUMMYFUNCTION("""COMPUTED_VALUE"""),20.7)</f>
        <v>20.7</v>
      </c>
      <c r="E2171" s="2">
        <f>IFERROR(__xludf.DUMMYFUNCTION("""COMPUTED_VALUE"""),20.86)</f>
        <v>20.86</v>
      </c>
      <c r="F2171" s="2">
        <f>IFERROR(__xludf.DUMMYFUNCTION("""COMPUTED_VALUE"""),7129713.0)</f>
        <v>7129713</v>
      </c>
    </row>
    <row r="2172">
      <c r="A2172" s="3">
        <f>IFERROR(__xludf.DUMMYFUNCTION("""COMPUTED_VALUE"""),43508.66666666667)</f>
        <v>43508.66667</v>
      </c>
      <c r="B2172" s="2">
        <f>IFERROR(__xludf.DUMMYFUNCTION("""COMPUTED_VALUE"""),21.08)</f>
        <v>21.08</v>
      </c>
      <c r="C2172" s="2">
        <f>IFERROR(__xludf.DUMMYFUNCTION("""COMPUTED_VALUE"""),21.21)</f>
        <v>21.21</v>
      </c>
      <c r="D2172" s="2">
        <f>IFERROR(__xludf.DUMMYFUNCTION("""COMPUTED_VALUE"""),20.64)</f>
        <v>20.64</v>
      </c>
      <c r="E2172" s="2">
        <f>IFERROR(__xludf.DUMMYFUNCTION("""COMPUTED_VALUE"""),20.79)</f>
        <v>20.79</v>
      </c>
      <c r="F2172" s="2">
        <f>IFERROR(__xludf.DUMMYFUNCTION("""COMPUTED_VALUE"""),5517570.0)</f>
        <v>5517570</v>
      </c>
    </row>
    <row r="2173">
      <c r="A2173" s="3">
        <f>IFERROR(__xludf.DUMMYFUNCTION("""COMPUTED_VALUE"""),43509.66666666667)</f>
        <v>43509.66667</v>
      </c>
      <c r="B2173" s="2">
        <f>IFERROR(__xludf.DUMMYFUNCTION("""COMPUTED_VALUE"""),20.82)</f>
        <v>20.82</v>
      </c>
      <c r="C2173" s="2">
        <f>IFERROR(__xludf.DUMMYFUNCTION("""COMPUTED_VALUE"""),20.85)</f>
        <v>20.85</v>
      </c>
      <c r="D2173" s="2">
        <f>IFERROR(__xludf.DUMMYFUNCTION("""COMPUTED_VALUE"""),20.37)</f>
        <v>20.37</v>
      </c>
      <c r="E2173" s="2">
        <f>IFERROR(__xludf.DUMMYFUNCTION("""COMPUTED_VALUE"""),20.54)</f>
        <v>20.54</v>
      </c>
      <c r="F2173" s="2">
        <f>IFERROR(__xludf.DUMMYFUNCTION("""COMPUTED_VALUE"""),5141617.0)</f>
        <v>5141617</v>
      </c>
    </row>
    <row r="2174">
      <c r="A2174" s="3">
        <f>IFERROR(__xludf.DUMMYFUNCTION("""COMPUTED_VALUE"""),43510.66666666667)</f>
        <v>43510.66667</v>
      </c>
      <c r="B2174" s="2">
        <f>IFERROR(__xludf.DUMMYFUNCTION("""COMPUTED_VALUE"""),20.23)</f>
        <v>20.23</v>
      </c>
      <c r="C2174" s="2">
        <f>IFERROR(__xludf.DUMMYFUNCTION("""COMPUTED_VALUE"""),20.45)</f>
        <v>20.45</v>
      </c>
      <c r="D2174" s="2">
        <f>IFERROR(__xludf.DUMMYFUNCTION("""COMPUTED_VALUE"""),20.07)</f>
        <v>20.07</v>
      </c>
      <c r="E2174" s="2">
        <f>IFERROR(__xludf.DUMMYFUNCTION("""COMPUTED_VALUE"""),20.25)</f>
        <v>20.25</v>
      </c>
      <c r="F2174" s="2">
        <f>IFERROR(__xludf.DUMMYFUNCTION("""COMPUTED_VALUE"""),5200832.0)</f>
        <v>5200832</v>
      </c>
    </row>
    <row r="2175">
      <c r="A2175" s="3">
        <f>IFERROR(__xludf.DUMMYFUNCTION("""COMPUTED_VALUE"""),43511.66666666667)</f>
        <v>43511.66667</v>
      </c>
      <c r="B2175" s="2">
        <f>IFERROR(__xludf.DUMMYFUNCTION("""COMPUTED_VALUE"""),20.3)</f>
        <v>20.3</v>
      </c>
      <c r="C2175" s="2">
        <f>IFERROR(__xludf.DUMMYFUNCTION("""COMPUTED_VALUE"""),20.53)</f>
        <v>20.53</v>
      </c>
      <c r="D2175" s="2">
        <f>IFERROR(__xludf.DUMMYFUNCTION("""COMPUTED_VALUE"""),20.26)</f>
        <v>20.26</v>
      </c>
      <c r="E2175" s="2">
        <f>IFERROR(__xludf.DUMMYFUNCTION("""COMPUTED_VALUE"""),20.53)</f>
        <v>20.53</v>
      </c>
      <c r="F2175" s="2">
        <f>IFERROR(__xludf.DUMMYFUNCTION("""COMPUTED_VALUE"""),3904947.0)</f>
        <v>3904947</v>
      </c>
    </row>
    <row r="2176">
      <c r="A2176" s="3">
        <f>IFERROR(__xludf.DUMMYFUNCTION("""COMPUTED_VALUE"""),43515.66666666667)</f>
        <v>43515.66667</v>
      </c>
      <c r="B2176" s="2">
        <f>IFERROR(__xludf.DUMMYFUNCTION("""COMPUTED_VALUE"""),20.44)</f>
        <v>20.44</v>
      </c>
      <c r="C2176" s="2">
        <f>IFERROR(__xludf.DUMMYFUNCTION("""COMPUTED_VALUE"""),20.77)</f>
        <v>20.77</v>
      </c>
      <c r="D2176" s="2">
        <f>IFERROR(__xludf.DUMMYFUNCTION("""COMPUTED_VALUE"""),20.36)</f>
        <v>20.36</v>
      </c>
      <c r="E2176" s="2">
        <f>IFERROR(__xludf.DUMMYFUNCTION("""COMPUTED_VALUE"""),20.38)</f>
        <v>20.38</v>
      </c>
      <c r="F2176" s="2">
        <f>IFERROR(__xludf.DUMMYFUNCTION("""COMPUTED_VALUE"""),4168443.0)</f>
        <v>4168443</v>
      </c>
    </row>
    <row r="2177">
      <c r="A2177" s="3">
        <f>IFERROR(__xludf.DUMMYFUNCTION("""COMPUTED_VALUE"""),43516.66666666667)</f>
        <v>43516.66667</v>
      </c>
      <c r="B2177" s="2">
        <f>IFERROR(__xludf.DUMMYFUNCTION("""COMPUTED_VALUE"""),20.29)</f>
        <v>20.29</v>
      </c>
      <c r="C2177" s="2">
        <f>IFERROR(__xludf.DUMMYFUNCTION("""COMPUTED_VALUE"""),20.42)</f>
        <v>20.42</v>
      </c>
      <c r="D2177" s="2">
        <f>IFERROR(__xludf.DUMMYFUNCTION("""COMPUTED_VALUE"""),19.93)</f>
        <v>19.93</v>
      </c>
      <c r="E2177" s="2">
        <f>IFERROR(__xludf.DUMMYFUNCTION("""COMPUTED_VALUE"""),20.17)</f>
        <v>20.17</v>
      </c>
      <c r="F2177" s="2">
        <f>IFERROR(__xludf.DUMMYFUNCTION("""COMPUTED_VALUE"""),7142117.0)</f>
        <v>7142117</v>
      </c>
    </row>
    <row r="2178">
      <c r="A2178" s="3">
        <f>IFERROR(__xludf.DUMMYFUNCTION("""COMPUTED_VALUE"""),43517.66666666667)</f>
        <v>43517.66667</v>
      </c>
      <c r="B2178" s="2">
        <f>IFERROR(__xludf.DUMMYFUNCTION("""COMPUTED_VALUE"""),20.12)</f>
        <v>20.12</v>
      </c>
      <c r="C2178" s="2">
        <f>IFERROR(__xludf.DUMMYFUNCTION("""COMPUTED_VALUE"""),20.22)</f>
        <v>20.22</v>
      </c>
      <c r="D2178" s="2">
        <f>IFERROR(__xludf.DUMMYFUNCTION("""COMPUTED_VALUE"""),19.37)</f>
        <v>19.37</v>
      </c>
      <c r="E2178" s="2">
        <f>IFERROR(__xludf.DUMMYFUNCTION("""COMPUTED_VALUE"""),19.42)</f>
        <v>19.42</v>
      </c>
      <c r="F2178" s="2">
        <f>IFERROR(__xludf.DUMMYFUNCTION("""COMPUTED_VALUE"""),8909182.0)</f>
        <v>8909182</v>
      </c>
    </row>
    <row r="2179">
      <c r="A2179" s="3">
        <f>IFERROR(__xludf.DUMMYFUNCTION("""COMPUTED_VALUE"""),43518.66666666667)</f>
        <v>43518.66667</v>
      </c>
      <c r="B2179" s="2">
        <f>IFERROR(__xludf.DUMMYFUNCTION("""COMPUTED_VALUE"""),19.63)</f>
        <v>19.63</v>
      </c>
      <c r="C2179" s="2">
        <f>IFERROR(__xludf.DUMMYFUNCTION("""COMPUTED_VALUE"""),19.77)</f>
        <v>19.77</v>
      </c>
      <c r="D2179" s="2">
        <f>IFERROR(__xludf.DUMMYFUNCTION("""COMPUTED_VALUE"""),19.47)</f>
        <v>19.47</v>
      </c>
      <c r="E2179" s="2">
        <f>IFERROR(__xludf.DUMMYFUNCTION("""COMPUTED_VALUE"""),19.65)</f>
        <v>19.65</v>
      </c>
      <c r="F2179" s="2">
        <f>IFERROR(__xludf.DUMMYFUNCTION("""COMPUTED_VALUE"""),5740558.0)</f>
        <v>5740558</v>
      </c>
    </row>
    <row r="2180">
      <c r="A2180" s="3">
        <f>IFERROR(__xludf.DUMMYFUNCTION("""COMPUTED_VALUE"""),43521.66666666667)</f>
        <v>43521.66667</v>
      </c>
      <c r="B2180" s="2">
        <f>IFERROR(__xludf.DUMMYFUNCTION("""COMPUTED_VALUE"""),19.86)</f>
        <v>19.86</v>
      </c>
      <c r="C2180" s="2">
        <f>IFERROR(__xludf.DUMMYFUNCTION("""COMPUTED_VALUE"""),20.19)</f>
        <v>20.19</v>
      </c>
      <c r="D2180" s="2">
        <f>IFERROR(__xludf.DUMMYFUNCTION("""COMPUTED_VALUE"""),19.8)</f>
        <v>19.8</v>
      </c>
      <c r="E2180" s="2">
        <f>IFERROR(__xludf.DUMMYFUNCTION("""COMPUTED_VALUE"""),19.92)</f>
        <v>19.92</v>
      </c>
      <c r="F2180" s="2">
        <f>IFERROR(__xludf.DUMMYFUNCTION("""COMPUTED_VALUE"""),6626522.0)</f>
        <v>6626522</v>
      </c>
    </row>
    <row r="2181">
      <c r="A2181" s="3">
        <f>IFERROR(__xludf.DUMMYFUNCTION("""COMPUTED_VALUE"""),43522.66666666667)</f>
        <v>43522.66667</v>
      </c>
      <c r="B2181" s="2">
        <f>IFERROR(__xludf.DUMMYFUNCTION("""COMPUTED_VALUE"""),19.48)</f>
        <v>19.48</v>
      </c>
      <c r="C2181" s="2">
        <f>IFERROR(__xludf.DUMMYFUNCTION("""COMPUTED_VALUE"""),20.13)</f>
        <v>20.13</v>
      </c>
      <c r="D2181" s="2">
        <f>IFERROR(__xludf.DUMMYFUNCTION("""COMPUTED_VALUE"""),19.25)</f>
        <v>19.25</v>
      </c>
      <c r="E2181" s="2">
        <f>IFERROR(__xludf.DUMMYFUNCTION("""COMPUTED_VALUE"""),19.86)</f>
        <v>19.86</v>
      </c>
      <c r="F2181" s="2">
        <f>IFERROR(__xludf.DUMMYFUNCTION("""COMPUTED_VALUE"""),8582535.0)</f>
        <v>8582535</v>
      </c>
    </row>
    <row r="2182">
      <c r="A2182" s="3">
        <f>IFERROR(__xludf.DUMMYFUNCTION("""COMPUTED_VALUE"""),43523.66666666667)</f>
        <v>43523.66667</v>
      </c>
      <c r="B2182" s="2">
        <f>IFERROR(__xludf.DUMMYFUNCTION("""COMPUTED_VALUE"""),20.12)</f>
        <v>20.12</v>
      </c>
      <c r="C2182" s="2">
        <f>IFERROR(__xludf.DUMMYFUNCTION("""COMPUTED_VALUE"""),21.09)</f>
        <v>21.09</v>
      </c>
      <c r="D2182" s="2">
        <f>IFERROR(__xludf.DUMMYFUNCTION("""COMPUTED_VALUE"""),20.04)</f>
        <v>20.04</v>
      </c>
      <c r="E2182" s="2">
        <f>IFERROR(__xludf.DUMMYFUNCTION("""COMPUTED_VALUE"""),20.98)</f>
        <v>20.98</v>
      </c>
      <c r="F2182" s="2">
        <f>IFERROR(__xludf.DUMMYFUNCTION("""COMPUTED_VALUE"""),1.1183908E7)</f>
        <v>11183908</v>
      </c>
    </row>
    <row r="2183">
      <c r="A2183" s="3">
        <f>IFERROR(__xludf.DUMMYFUNCTION("""COMPUTED_VALUE"""),43524.66666666667)</f>
        <v>43524.66667</v>
      </c>
      <c r="B2183" s="2">
        <f>IFERROR(__xludf.DUMMYFUNCTION("""COMPUTED_VALUE"""),21.26)</f>
        <v>21.26</v>
      </c>
      <c r="C2183" s="2">
        <f>IFERROR(__xludf.DUMMYFUNCTION("""COMPUTED_VALUE"""),21.33)</f>
        <v>21.33</v>
      </c>
      <c r="D2183" s="2">
        <f>IFERROR(__xludf.DUMMYFUNCTION("""COMPUTED_VALUE"""),20.72)</f>
        <v>20.72</v>
      </c>
      <c r="E2183" s="2">
        <f>IFERROR(__xludf.DUMMYFUNCTION("""COMPUTED_VALUE"""),21.33)</f>
        <v>21.33</v>
      </c>
      <c r="F2183" s="2">
        <f>IFERROR(__xludf.DUMMYFUNCTION("""COMPUTED_VALUE"""),1.0520653E7)</f>
        <v>10520653</v>
      </c>
    </row>
    <row r="2184">
      <c r="A2184" s="3">
        <f>IFERROR(__xludf.DUMMYFUNCTION("""COMPUTED_VALUE"""),43525.66666666667)</f>
        <v>43525.66667</v>
      </c>
      <c r="B2184" s="2">
        <f>IFERROR(__xludf.DUMMYFUNCTION("""COMPUTED_VALUE"""),20.46)</f>
        <v>20.46</v>
      </c>
      <c r="C2184" s="2">
        <f>IFERROR(__xludf.DUMMYFUNCTION("""COMPUTED_VALUE"""),20.48)</f>
        <v>20.48</v>
      </c>
      <c r="D2184" s="2">
        <f>IFERROR(__xludf.DUMMYFUNCTION("""COMPUTED_VALUE"""),19.46)</f>
        <v>19.46</v>
      </c>
      <c r="E2184" s="2">
        <f>IFERROR(__xludf.DUMMYFUNCTION("""COMPUTED_VALUE"""),19.65)</f>
        <v>19.65</v>
      </c>
      <c r="F2184" s="2">
        <f>IFERROR(__xludf.DUMMYFUNCTION("""COMPUTED_VALUE"""),2.2911375E7)</f>
        <v>22911375</v>
      </c>
    </row>
    <row r="2185">
      <c r="A2185" s="3">
        <f>IFERROR(__xludf.DUMMYFUNCTION("""COMPUTED_VALUE"""),43528.66666666667)</f>
        <v>43528.66667</v>
      </c>
      <c r="B2185" s="2">
        <f>IFERROR(__xludf.DUMMYFUNCTION("""COMPUTED_VALUE"""),19.87)</f>
        <v>19.87</v>
      </c>
      <c r="C2185" s="2">
        <f>IFERROR(__xludf.DUMMYFUNCTION("""COMPUTED_VALUE"""),19.93)</f>
        <v>19.93</v>
      </c>
      <c r="D2185" s="2">
        <f>IFERROR(__xludf.DUMMYFUNCTION("""COMPUTED_VALUE"""),18.85)</f>
        <v>18.85</v>
      </c>
      <c r="E2185" s="2">
        <f>IFERROR(__xludf.DUMMYFUNCTION("""COMPUTED_VALUE"""),19.02)</f>
        <v>19.02</v>
      </c>
      <c r="F2185" s="2">
        <f>IFERROR(__xludf.DUMMYFUNCTION("""COMPUTED_VALUE"""),1.7096818E7)</f>
        <v>17096818</v>
      </c>
    </row>
    <row r="2186">
      <c r="A2186" s="3">
        <f>IFERROR(__xludf.DUMMYFUNCTION("""COMPUTED_VALUE"""),43529.66666666667)</f>
        <v>43529.66667</v>
      </c>
      <c r="B2186" s="2">
        <f>IFERROR(__xludf.DUMMYFUNCTION("""COMPUTED_VALUE"""),18.8)</f>
        <v>18.8</v>
      </c>
      <c r="C2186" s="2">
        <f>IFERROR(__xludf.DUMMYFUNCTION("""COMPUTED_VALUE"""),18.93)</f>
        <v>18.93</v>
      </c>
      <c r="D2186" s="2">
        <f>IFERROR(__xludf.DUMMYFUNCTION("""COMPUTED_VALUE"""),18.01)</f>
        <v>18.01</v>
      </c>
      <c r="E2186" s="2">
        <f>IFERROR(__xludf.DUMMYFUNCTION("""COMPUTED_VALUE"""),18.44)</f>
        <v>18.44</v>
      </c>
      <c r="F2186" s="2">
        <f>IFERROR(__xludf.DUMMYFUNCTION("""COMPUTED_VALUE"""),1.876474E7)</f>
        <v>18764740</v>
      </c>
    </row>
    <row r="2187">
      <c r="A2187" s="3">
        <f>IFERROR(__xludf.DUMMYFUNCTION("""COMPUTED_VALUE"""),43530.66666666667)</f>
        <v>43530.66667</v>
      </c>
      <c r="B2187" s="2">
        <f>IFERROR(__xludf.DUMMYFUNCTION("""COMPUTED_VALUE"""),18.43)</f>
        <v>18.43</v>
      </c>
      <c r="C2187" s="2">
        <f>IFERROR(__xludf.DUMMYFUNCTION("""COMPUTED_VALUE"""),18.77)</f>
        <v>18.77</v>
      </c>
      <c r="D2187" s="2">
        <f>IFERROR(__xludf.DUMMYFUNCTION("""COMPUTED_VALUE"""),18.29)</f>
        <v>18.29</v>
      </c>
      <c r="E2187" s="2">
        <f>IFERROR(__xludf.DUMMYFUNCTION("""COMPUTED_VALUE"""),18.42)</f>
        <v>18.42</v>
      </c>
      <c r="F2187" s="2">
        <f>IFERROR(__xludf.DUMMYFUNCTION("""COMPUTED_VALUE"""),1.0335485E7)</f>
        <v>10335485</v>
      </c>
    </row>
    <row r="2188">
      <c r="A2188" s="3">
        <f>IFERROR(__xludf.DUMMYFUNCTION("""COMPUTED_VALUE"""),43531.66666666667)</f>
        <v>43531.66667</v>
      </c>
      <c r="B2188" s="2">
        <f>IFERROR(__xludf.DUMMYFUNCTION("""COMPUTED_VALUE"""),18.59)</f>
        <v>18.59</v>
      </c>
      <c r="C2188" s="2">
        <f>IFERROR(__xludf.DUMMYFUNCTION("""COMPUTED_VALUE"""),18.98)</f>
        <v>18.98</v>
      </c>
      <c r="D2188" s="2">
        <f>IFERROR(__xludf.DUMMYFUNCTION("""COMPUTED_VALUE"""),18.28)</f>
        <v>18.28</v>
      </c>
      <c r="E2188" s="2">
        <f>IFERROR(__xludf.DUMMYFUNCTION("""COMPUTED_VALUE"""),18.44)</f>
        <v>18.44</v>
      </c>
      <c r="F2188" s="2">
        <f>IFERROR(__xludf.DUMMYFUNCTION("""COMPUTED_VALUE"""),9442483.0)</f>
        <v>9442483</v>
      </c>
    </row>
    <row r="2189">
      <c r="A2189" s="3">
        <f>IFERROR(__xludf.DUMMYFUNCTION("""COMPUTED_VALUE"""),43532.66666666667)</f>
        <v>43532.66667</v>
      </c>
      <c r="B2189" s="2">
        <f>IFERROR(__xludf.DUMMYFUNCTION("""COMPUTED_VALUE"""),18.46)</f>
        <v>18.46</v>
      </c>
      <c r="C2189" s="2">
        <f>IFERROR(__xludf.DUMMYFUNCTION("""COMPUTED_VALUE"""),19.04)</f>
        <v>19.04</v>
      </c>
      <c r="D2189" s="2">
        <f>IFERROR(__xludf.DUMMYFUNCTION("""COMPUTED_VALUE"""),18.39)</f>
        <v>18.39</v>
      </c>
      <c r="E2189" s="2">
        <f>IFERROR(__xludf.DUMMYFUNCTION("""COMPUTED_VALUE"""),18.94)</f>
        <v>18.94</v>
      </c>
      <c r="F2189" s="2">
        <f>IFERROR(__xludf.DUMMYFUNCTION("""COMPUTED_VALUE"""),8819625.0)</f>
        <v>8819625</v>
      </c>
    </row>
    <row r="2190">
      <c r="A2190" s="3">
        <f>IFERROR(__xludf.DUMMYFUNCTION("""COMPUTED_VALUE"""),43535.66666666667)</f>
        <v>43535.66667</v>
      </c>
      <c r="B2190" s="2">
        <f>IFERROR(__xludf.DUMMYFUNCTION("""COMPUTED_VALUE"""),18.9)</f>
        <v>18.9</v>
      </c>
      <c r="C2190" s="2">
        <f>IFERROR(__xludf.DUMMYFUNCTION("""COMPUTED_VALUE"""),19.42)</f>
        <v>19.42</v>
      </c>
      <c r="D2190" s="2">
        <f>IFERROR(__xludf.DUMMYFUNCTION("""COMPUTED_VALUE"""),18.7)</f>
        <v>18.7</v>
      </c>
      <c r="E2190" s="2">
        <f>IFERROR(__xludf.DUMMYFUNCTION("""COMPUTED_VALUE"""),19.39)</f>
        <v>19.39</v>
      </c>
      <c r="F2190" s="2">
        <f>IFERROR(__xludf.DUMMYFUNCTION("""COMPUTED_VALUE"""),7392278.0)</f>
        <v>7392278</v>
      </c>
    </row>
    <row r="2191">
      <c r="A2191" s="3">
        <f>IFERROR(__xludf.DUMMYFUNCTION("""COMPUTED_VALUE"""),43536.66666666667)</f>
        <v>43536.66667</v>
      </c>
      <c r="B2191" s="2">
        <f>IFERROR(__xludf.DUMMYFUNCTION("""COMPUTED_VALUE"""),19.1)</f>
        <v>19.1</v>
      </c>
      <c r="C2191" s="2">
        <f>IFERROR(__xludf.DUMMYFUNCTION("""COMPUTED_VALUE"""),19.2)</f>
        <v>19.2</v>
      </c>
      <c r="D2191" s="2">
        <f>IFERROR(__xludf.DUMMYFUNCTION("""COMPUTED_VALUE"""),18.74)</f>
        <v>18.74</v>
      </c>
      <c r="E2191" s="2">
        <f>IFERROR(__xludf.DUMMYFUNCTION("""COMPUTED_VALUE"""),18.89)</f>
        <v>18.89</v>
      </c>
      <c r="F2191" s="2">
        <f>IFERROR(__xludf.DUMMYFUNCTION("""COMPUTED_VALUE"""),7504137.0)</f>
        <v>7504137</v>
      </c>
    </row>
    <row r="2192">
      <c r="A2192" s="3">
        <f>IFERROR(__xludf.DUMMYFUNCTION("""COMPUTED_VALUE"""),43537.66666666667)</f>
        <v>43537.66667</v>
      </c>
      <c r="B2192" s="2">
        <f>IFERROR(__xludf.DUMMYFUNCTION("""COMPUTED_VALUE"""),18.93)</f>
        <v>18.93</v>
      </c>
      <c r="C2192" s="2">
        <f>IFERROR(__xludf.DUMMYFUNCTION("""COMPUTED_VALUE"""),19.47)</f>
        <v>19.47</v>
      </c>
      <c r="D2192" s="2">
        <f>IFERROR(__xludf.DUMMYFUNCTION("""COMPUTED_VALUE"""),18.85)</f>
        <v>18.85</v>
      </c>
      <c r="E2192" s="2">
        <f>IFERROR(__xludf.DUMMYFUNCTION("""COMPUTED_VALUE"""),19.26)</f>
        <v>19.26</v>
      </c>
      <c r="F2192" s="2">
        <f>IFERROR(__xludf.DUMMYFUNCTION("""COMPUTED_VALUE"""),6844719.0)</f>
        <v>6844719</v>
      </c>
    </row>
    <row r="2193">
      <c r="A2193" s="3">
        <f>IFERROR(__xludf.DUMMYFUNCTION("""COMPUTED_VALUE"""),43538.66666666667)</f>
        <v>43538.66667</v>
      </c>
      <c r="B2193" s="2">
        <f>IFERROR(__xludf.DUMMYFUNCTION("""COMPUTED_VALUE"""),19.5)</f>
        <v>19.5</v>
      </c>
      <c r="C2193" s="2">
        <f>IFERROR(__xludf.DUMMYFUNCTION("""COMPUTED_VALUE"""),19.69)</f>
        <v>19.69</v>
      </c>
      <c r="D2193" s="2">
        <f>IFERROR(__xludf.DUMMYFUNCTION("""COMPUTED_VALUE"""),19.22)</f>
        <v>19.22</v>
      </c>
      <c r="E2193" s="2">
        <f>IFERROR(__xludf.DUMMYFUNCTION("""COMPUTED_VALUE"""),19.33)</f>
        <v>19.33</v>
      </c>
      <c r="F2193" s="2">
        <f>IFERROR(__xludf.DUMMYFUNCTION("""COMPUTED_VALUE"""),7103447.0)</f>
        <v>7103447</v>
      </c>
    </row>
    <row r="2194">
      <c r="A2194" s="3">
        <f>IFERROR(__xludf.DUMMYFUNCTION("""COMPUTED_VALUE"""),43539.66666666667)</f>
        <v>43539.66667</v>
      </c>
      <c r="B2194" s="2">
        <f>IFERROR(__xludf.DUMMYFUNCTION("""COMPUTED_VALUE"""),18.9)</f>
        <v>18.9</v>
      </c>
      <c r="C2194" s="2">
        <f>IFERROR(__xludf.DUMMYFUNCTION("""COMPUTED_VALUE"""),18.91)</f>
        <v>18.91</v>
      </c>
      <c r="D2194" s="2">
        <f>IFERROR(__xludf.DUMMYFUNCTION("""COMPUTED_VALUE"""),18.29)</f>
        <v>18.29</v>
      </c>
      <c r="E2194" s="2">
        <f>IFERROR(__xludf.DUMMYFUNCTION("""COMPUTED_VALUE"""),18.36)</f>
        <v>18.36</v>
      </c>
      <c r="F2194" s="2">
        <f>IFERROR(__xludf.DUMMYFUNCTION("""COMPUTED_VALUE"""),1.4785531E7)</f>
        <v>14785531</v>
      </c>
    </row>
    <row r="2195">
      <c r="A2195" s="3">
        <f>IFERROR(__xludf.DUMMYFUNCTION("""COMPUTED_VALUE"""),43542.66666666667)</f>
        <v>43542.66667</v>
      </c>
      <c r="B2195" s="2">
        <f>IFERROR(__xludf.DUMMYFUNCTION("""COMPUTED_VALUE"""),18.4)</f>
        <v>18.4</v>
      </c>
      <c r="C2195" s="2">
        <f>IFERROR(__xludf.DUMMYFUNCTION("""COMPUTED_VALUE"""),18.54)</f>
        <v>18.54</v>
      </c>
      <c r="D2195" s="2">
        <f>IFERROR(__xludf.DUMMYFUNCTION("""COMPUTED_VALUE"""),17.82)</f>
        <v>17.82</v>
      </c>
      <c r="E2195" s="2">
        <f>IFERROR(__xludf.DUMMYFUNCTION("""COMPUTED_VALUE"""),17.97)</f>
        <v>17.97</v>
      </c>
      <c r="F2195" s="2">
        <f>IFERROR(__xludf.DUMMYFUNCTION("""COMPUTED_VALUE"""),1.028098E7)</f>
        <v>10280980</v>
      </c>
    </row>
    <row r="2196">
      <c r="A2196" s="3">
        <f>IFERROR(__xludf.DUMMYFUNCTION("""COMPUTED_VALUE"""),43543.66666666667)</f>
        <v>43543.66667</v>
      </c>
      <c r="B2196" s="2">
        <f>IFERROR(__xludf.DUMMYFUNCTION("""COMPUTED_VALUE"""),17.83)</f>
        <v>17.83</v>
      </c>
      <c r="C2196" s="2">
        <f>IFERROR(__xludf.DUMMYFUNCTION("""COMPUTED_VALUE"""),18.22)</f>
        <v>18.22</v>
      </c>
      <c r="D2196" s="2">
        <f>IFERROR(__xludf.DUMMYFUNCTION("""COMPUTED_VALUE"""),17.56)</f>
        <v>17.56</v>
      </c>
      <c r="E2196" s="2">
        <f>IFERROR(__xludf.DUMMYFUNCTION("""COMPUTED_VALUE"""),17.83)</f>
        <v>17.83</v>
      </c>
      <c r="F2196" s="2">
        <f>IFERROR(__xludf.DUMMYFUNCTION("""COMPUTED_VALUE"""),1.180063E7)</f>
        <v>11800630</v>
      </c>
    </row>
    <row r="2197">
      <c r="A2197" s="3">
        <f>IFERROR(__xludf.DUMMYFUNCTION("""COMPUTED_VALUE"""),43544.66666666667)</f>
        <v>43544.66667</v>
      </c>
      <c r="B2197" s="2">
        <f>IFERROR(__xludf.DUMMYFUNCTION("""COMPUTED_VALUE"""),17.98)</f>
        <v>17.98</v>
      </c>
      <c r="C2197" s="2">
        <f>IFERROR(__xludf.DUMMYFUNCTION("""COMPUTED_VALUE"""),18.33)</f>
        <v>18.33</v>
      </c>
      <c r="D2197" s="2">
        <f>IFERROR(__xludf.DUMMYFUNCTION("""COMPUTED_VALUE"""),17.75)</f>
        <v>17.75</v>
      </c>
      <c r="E2197" s="2">
        <f>IFERROR(__xludf.DUMMYFUNCTION("""COMPUTED_VALUE"""),18.24)</f>
        <v>18.24</v>
      </c>
      <c r="F2197" s="2">
        <f>IFERROR(__xludf.DUMMYFUNCTION("""COMPUTED_VALUE"""),6908224.0)</f>
        <v>6908224</v>
      </c>
    </row>
    <row r="2198">
      <c r="A2198" s="3">
        <f>IFERROR(__xludf.DUMMYFUNCTION("""COMPUTED_VALUE"""),43545.66666666667)</f>
        <v>43545.66667</v>
      </c>
      <c r="B2198" s="2">
        <f>IFERROR(__xludf.DUMMYFUNCTION("""COMPUTED_VALUE"""),18.17)</f>
        <v>18.17</v>
      </c>
      <c r="C2198" s="2">
        <f>IFERROR(__xludf.DUMMYFUNCTION("""COMPUTED_VALUE"""),18.43)</f>
        <v>18.43</v>
      </c>
      <c r="D2198" s="2">
        <f>IFERROR(__xludf.DUMMYFUNCTION("""COMPUTED_VALUE"""),17.9)</f>
        <v>17.9</v>
      </c>
      <c r="E2198" s="2">
        <f>IFERROR(__xludf.DUMMYFUNCTION("""COMPUTED_VALUE"""),18.27)</f>
        <v>18.27</v>
      </c>
      <c r="F2198" s="2">
        <f>IFERROR(__xludf.DUMMYFUNCTION("""COMPUTED_VALUE"""),5947098.0)</f>
        <v>5947098</v>
      </c>
    </row>
    <row r="2199">
      <c r="A2199" s="3">
        <f>IFERROR(__xludf.DUMMYFUNCTION("""COMPUTED_VALUE"""),43546.66666666667)</f>
        <v>43546.66667</v>
      </c>
      <c r="B2199" s="2">
        <f>IFERROR(__xludf.DUMMYFUNCTION("""COMPUTED_VALUE"""),18.17)</f>
        <v>18.17</v>
      </c>
      <c r="C2199" s="2">
        <f>IFERROR(__xludf.DUMMYFUNCTION("""COMPUTED_VALUE"""),18.19)</f>
        <v>18.19</v>
      </c>
      <c r="D2199" s="2">
        <f>IFERROR(__xludf.DUMMYFUNCTION("""COMPUTED_VALUE"""),17.6)</f>
        <v>17.6</v>
      </c>
      <c r="E2199" s="2">
        <f>IFERROR(__xludf.DUMMYFUNCTION("""COMPUTED_VALUE"""),17.64)</f>
        <v>17.64</v>
      </c>
      <c r="F2199" s="2">
        <f>IFERROR(__xludf.DUMMYFUNCTION("""COMPUTED_VALUE"""),8745609.0)</f>
        <v>8745609</v>
      </c>
    </row>
    <row r="2200">
      <c r="A2200" s="3">
        <f>IFERROR(__xludf.DUMMYFUNCTION("""COMPUTED_VALUE"""),43549.66666666667)</f>
        <v>43549.66667</v>
      </c>
      <c r="B2200" s="2">
        <f>IFERROR(__xludf.DUMMYFUNCTION("""COMPUTED_VALUE"""),17.31)</f>
        <v>17.31</v>
      </c>
      <c r="C2200" s="2">
        <f>IFERROR(__xludf.DUMMYFUNCTION("""COMPUTED_VALUE"""),17.55)</f>
        <v>17.55</v>
      </c>
      <c r="D2200" s="2">
        <f>IFERROR(__xludf.DUMMYFUNCTION("""COMPUTED_VALUE"""),16.96)</f>
        <v>16.96</v>
      </c>
      <c r="E2200" s="2">
        <f>IFERROR(__xludf.DUMMYFUNCTION("""COMPUTED_VALUE"""),17.36)</f>
        <v>17.36</v>
      </c>
      <c r="F2200" s="2">
        <f>IFERROR(__xludf.DUMMYFUNCTION("""COMPUTED_VALUE"""),1.0215029E7)</f>
        <v>10215029</v>
      </c>
    </row>
    <row r="2201">
      <c r="A2201" s="3">
        <f>IFERROR(__xludf.DUMMYFUNCTION("""COMPUTED_VALUE"""),43550.66666666667)</f>
        <v>43550.66667</v>
      </c>
      <c r="B2201" s="2">
        <f>IFERROR(__xludf.DUMMYFUNCTION("""COMPUTED_VALUE"""),17.63)</f>
        <v>17.63</v>
      </c>
      <c r="C2201" s="2">
        <f>IFERROR(__xludf.DUMMYFUNCTION("""COMPUTED_VALUE"""),18.02)</f>
        <v>18.02</v>
      </c>
      <c r="D2201" s="2">
        <f>IFERROR(__xludf.DUMMYFUNCTION("""COMPUTED_VALUE"""),17.63)</f>
        <v>17.63</v>
      </c>
      <c r="E2201" s="2">
        <f>IFERROR(__xludf.DUMMYFUNCTION("""COMPUTED_VALUE"""),17.85)</f>
        <v>17.85</v>
      </c>
      <c r="F2201" s="2">
        <f>IFERROR(__xludf.DUMMYFUNCTION("""COMPUTED_VALUE"""),7350948.0)</f>
        <v>7350948</v>
      </c>
    </row>
    <row r="2202">
      <c r="A2202" s="3">
        <f>IFERROR(__xludf.DUMMYFUNCTION("""COMPUTED_VALUE"""),43551.66666666667)</f>
        <v>43551.66667</v>
      </c>
      <c r="B2202" s="2">
        <f>IFERROR(__xludf.DUMMYFUNCTION("""COMPUTED_VALUE"""),17.92)</f>
        <v>17.92</v>
      </c>
      <c r="C2202" s="2">
        <f>IFERROR(__xludf.DUMMYFUNCTION("""COMPUTED_VALUE"""),18.36)</f>
        <v>18.36</v>
      </c>
      <c r="D2202" s="2">
        <f>IFERROR(__xludf.DUMMYFUNCTION("""COMPUTED_VALUE"""),17.88)</f>
        <v>17.88</v>
      </c>
      <c r="E2202" s="2">
        <f>IFERROR(__xludf.DUMMYFUNCTION("""COMPUTED_VALUE"""),18.32)</f>
        <v>18.32</v>
      </c>
      <c r="F2202" s="2">
        <f>IFERROR(__xludf.DUMMYFUNCTION("""COMPUTED_VALUE"""),8779166.0)</f>
        <v>8779166</v>
      </c>
    </row>
    <row r="2203">
      <c r="A2203" s="3">
        <f>IFERROR(__xludf.DUMMYFUNCTION("""COMPUTED_VALUE"""),43552.66666666667)</f>
        <v>43552.66667</v>
      </c>
      <c r="B2203" s="2">
        <f>IFERROR(__xludf.DUMMYFUNCTION("""COMPUTED_VALUE"""),18.48)</f>
        <v>18.48</v>
      </c>
      <c r="C2203" s="2">
        <f>IFERROR(__xludf.DUMMYFUNCTION("""COMPUTED_VALUE"""),18.69)</f>
        <v>18.69</v>
      </c>
      <c r="D2203" s="2">
        <f>IFERROR(__xludf.DUMMYFUNCTION("""COMPUTED_VALUE"""),18.34)</f>
        <v>18.34</v>
      </c>
      <c r="E2203" s="2">
        <f>IFERROR(__xludf.DUMMYFUNCTION("""COMPUTED_VALUE"""),18.57)</f>
        <v>18.57</v>
      </c>
      <c r="F2203" s="2">
        <f>IFERROR(__xludf.DUMMYFUNCTION("""COMPUTED_VALUE"""),6774093.0)</f>
        <v>6774093</v>
      </c>
    </row>
    <row r="2204">
      <c r="A2204" s="3">
        <f>IFERROR(__xludf.DUMMYFUNCTION("""COMPUTED_VALUE"""),43553.66666666667)</f>
        <v>43553.66667</v>
      </c>
      <c r="B2204" s="2">
        <f>IFERROR(__xludf.DUMMYFUNCTION("""COMPUTED_VALUE"""),18.58)</f>
        <v>18.58</v>
      </c>
      <c r="C2204" s="2">
        <f>IFERROR(__xludf.DUMMYFUNCTION("""COMPUTED_VALUE"""),18.68)</f>
        <v>18.68</v>
      </c>
      <c r="D2204" s="2">
        <f>IFERROR(__xludf.DUMMYFUNCTION("""COMPUTED_VALUE"""),18.3)</f>
        <v>18.3</v>
      </c>
      <c r="E2204" s="2">
        <f>IFERROR(__xludf.DUMMYFUNCTION("""COMPUTED_VALUE"""),18.66)</f>
        <v>18.66</v>
      </c>
      <c r="F2204" s="2">
        <f>IFERROR(__xludf.DUMMYFUNCTION("""COMPUTED_VALUE"""),5991338.0)</f>
        <v>5991338</v>
      </c>
    </row>
    <row r="2205">
      <c r="A2205" s="3">
        <f>IFERROR(__xludf.DUMMYFUNCTION("""COMPUTED_VALUE"""),43556.66666666667)</f>
        <v>43556.66667</v>
      </c>
      <c r="B2205" s="2">
        <f>IFERROR(__xludf.DUMMYFUNCTION("""COMPUTED_VALUE"""),18.84)</f>
        <v>18.84</v>
      </c>
      <c r="C2205" s="2">
        <f>IFERROR(__xludf.DUMMYFUNCTION("""COMPUTED_VALUE"""),19.28)</f>
        <v>19.28</v>
      </c>
      <c r="D2205" s="2">
        <f>IFERROR(__xludf.DUMMYFUNCTION("""COMPUTED_VALUE"""),18.75)</f>
        <v>18.75</v>
      </c>
      <c r="E2205" s="2">
        <f>IFERROR(__xludf.DUMMYFUNCTION("""COMPUTED_VALUE"""),19.28)</f>
        <v>19.28</v>
      </c>
      <c r="F2205" s="2">
        <f>IFERROR(__xludf.DUMMYFUNCTION("""COMPUTED_VALUE"""),8110439.0)</f>
        <v>8110439</v>
      </c>
    </row>
    <row r="2206">
      <c r="A2206" s="3">
        <f>IFERROR(__xludf.DUMMYFUNCTION("""COMPUTED_VALUE"""),43557.66666666667)</f>
        <v>43557.66667</v>
      </c>
      <c r="B2206" s="2">
        <f>IFERROR(__xludf.DUMMYFUNCTION("""COMPUTED_VALUE"""),19.22)</f>
        <v>19.22</v>
      </c>
      <c r="C2206" s="2">
        <f>IFERROR(__xludf.DUMMYFUNCTION("""COMPUTED_VALUE"""),19.3)</f>
        <v>19.3</v>
      </c>
      <c r="D2206" s="2">
        <f>IFERROR(__xludf.DUMMYFUNCTION("""COMPUTED_VALUE"""),18.93)</f>
        <v>18.93</v>
      </c>
      <c r="E2206" s="2">
        <f>IFERROR(__xludf.DUMMYFUNCTION("""COMPUTED_VALUE"""),19.06)</f>
        <v>19.06</v>
      </c>
      <c r="F2206" s="2">
        <f>IFERROR(__xludf.DUMMYFUNCTION("""COMPUTED_VALUE"""),5478940.0)</f>
        <v>5478940</v>
      </c>
    </row>
    <row r="2207">
      <c r="A2207" s="3">
        <f>IFERROR(__xludf.DUMMYFUNCTION("""COMPUTED_VALUE"""),43558.66666666667)</f>
        <v>43558.66667</v>
      </c>
      <c r="B2207" s="2">
        <f>IFERROR(__xludf.DUMMYFUNCTION("""COMPUTED_VALUE"""),19.15)</f>
        <v>19.15</v>
      </c>
      <c r="C2207" s="2">
        <f>IFERROR(__xludf.DUMMYFUNCTION("""COMPUTED_VALUE"""),19.74)</f>
        <v>19.74</v>
      </c>
      <c r="D2207" s="2">
        <f>IFERROR(__xludf.DUMMYFUNCTION("""COMPUTED_VALUE"""),19.14)</f>
        <v>19.14</v>
      </c>
      <c r="E2207" s="2">
        <f>IFERROR(__xludf.DUMMYFUNCTION("""COMPUTED_VALUE"""),19.45)</f>
        <v>19.45</v>
      </c>
      <c r="F2207" s="2">
        <f>IFERROR(__xludf.DUMMYFUNCTION("""COMPUTED_VALUE"""),7929864.0)</f>
        <v>7929864</v>
      </c>
    </row>
    <row r="2208">
      <c r="A2208" s="3">
        <f>IFERROR(__xludf.DUMMYFUNCTION("""COMPUTED_VALUE"""),43559.66666666667)</f>
        <v>43559.66667</v>
      </c>
      <c r="B2208" s="2">
        <f>IFERROR(__xludf.DUMMYFUNCTION("""COMPUTED_VALUE"""),17.46)</f>
        <v>17.46</v>
      </c>
      <c r="C2208" s="2">
        <f>IFERROR(__xludf.DUMMYFUNCTION("""COMPUTED_VALUE"""),18.08)</f>
        <v>18.08</v>
      </c>
      <c r="D2208" s="2">
        <f>IFERROR(__xludf.DUMMYFUNCTION("""COMPUTED_VALUE"""),17.37)</f>
        <v>17.37</v>
      </c>
      <c r="E2208" s="2">
        <f>IFERROR(__xludf.DUMMYFUNCTION("""COMPUTED_VALUE"""),17.85)</f>
        <v>17.85</v>
      </c>
      <c r="F2208" s="2">
        <f>IFERROR(__xludf.DUMMYFUNCTION("""COMPUTED_VALUE"""),2.3720729E7)</f>
        <v>23720729</v>
      </c>
    </row>
    <row r="2209">
      <c r="A2209" s="3">
        <f>IFERROR(__xludf.DUMMYFUNCTION("""COMPUTED_VALUE"""),43560.66666666667)</f>
        <v>43560.66667</v>
      </c>
      <c r="B2209" s="2">
        <f>IFERROR(__xludf.DUMMYFUNCTION("""COMPUTED_VALUE"""),17.99)</f>
        <v>17.99</v>
      </c>
      <c r="C2209" s="2">
        <f>IFERROR(__xludf.DUMMYFUNCTION("""COMPUTED_VALUE"""),18.41)</f>
        <v>18.41</v>
      </c>
      <c r="D2209" s="2">
        <f>IFERROR(__xludf.DUMMYFUNCTION("""COMPUTED_VALUE"""),17.74)</f>
        <v>17.74</v>
      </c>
      <c r="E2209" s="2">
        <f>IFERROR(__xludf.DUMMYFUNCTION("""COMPUTED_VALUE"""),18.33)</f>
        <v>18.33</v>
      </c>
      <c r="F2209" s="2">
        <f>IFERROR(__xludf.DUMMYFUNCTION("""COMPUTED_VALUE"""),1.3038257E7)</f>
        <v>13038257</v>
      </c>
    </row>
    <row r="2210">
      <c r="A2210" s="3">
        <f>IFERROR(__xludf.DUMMYFUNCTION("""COMPUTED_VALUE"""),43563.66666666667)</f>
        <v>43563.66667</v>
      </c>
      <c r="B2210" s="2">
        <f>IFERROR(__xludf.DUMMYFUNCTION("""COMPUTED_VALUE"""),18.51)</f>
        <v>18.51</v>
      </c>
      <c r="C2210" s="2">
        <f>IFERROR(__xludf.DUMMYFUNCTION("""COMPUTED_VALUE"""),18.74)</f>
        <v>18.74</v>
      </c>
      <c r="D2210" s="2">
        <f>IFERROR(__xludf.DUMMYFUNCTION("""COMPUTED_VALUE"""),18.03)</f>
        <v>18.03</v>
      </c>
      <c r="E2210" s="2">
        <f>IFERROR(__xludf.DUMMYFUNCTION("""COMPUTED_VALUE"""),18.21)</f>
        <v>18.21</v>
      </c>
      <c r="F2210" s="2">
        <f>IFERROR(__xludf.DUMMYFUNCTION("""COMPUTED_VALUE"""),1.0410436E7)</f>
        <v>10410436</v>
      </c>
    </row>
    <row r="2211">
      <c r="A2211" s="3">
        <f>IFERROR(__xludf.DUMMYFUNCTION("""COMPUTED_VALUE"""),43564.66666666667)</f>
        <v>43564.66667</v>
      </c>
      <c r="B2211" s="2">
        <f>IFERROR(__xludf.DUMMYFUNCTION("""COMPUTED_VALUE"""),18.11)</f>
        <v>18.11</v>
      </c>
      <c r="C2211" s="2">
        <f>IFERROR(__xludf.DUMMYFUNCTION("""COMPUTED_VALUE"""),18.33)</f>
        <v>18.33</v>
      </c>
      <c r="D2211" s="2">
        <f>IFERROR(__xludf.DUMMYFUNCTION("""COMPUTED_VALUE"""),17.97)</f>
        <v>17.97</v>
      </c>
      <c r="E2211" s="2">
        <f>IFERROR(__xludf.DUMMYFUNCTION("""COMPUTED_VALUE"""),18.15)</f>
        <v>18.15</v>
      </c>
      <c r="F2211" s="2">
        <f>IFERROR(__xludf.DUMMYFUNCTION("""COMPUTED_VALUE"""),5904031.0)</f>
        <v>5904031</v>
      </c>
    </row>
    <row r="2212">
      <c r="A2212" s="3">
        <f>IFERROR(__xludf.DUMMYFUNCTION("""COMPUTED_VALUE"""),43565.66666666667)</f>
        <v>43565.66667</v>
      </c>
      <c r="B2212" s="2">
        <f>IFERROR(__xludf.DUMMYFUNCTION("""COMPUTED_VALUE"""),18.45)</f>
        <v>18.45</v>
      </c>
      <c r="C2212" s="2">
        <f>IFERROR(__xludf.DUMMYFUNCTION("""COMPUTED_VALUE"""),18.56)</f>
        <v>18.56</v>
      </c>
      <c r="D2212" s="2">
        <f>IFERROR(__xludf.DUMMYFUNCTION("""COMPUTED_VALUE"""),18.19)</f>
        <v>18.19</v>
      </c>
      <c r="E2212" s="2">
        <f>IFERROR(__xludf.DUMMYFUNCTION("""COMPUTED_VALUE"""),18.4)</f>
        <v>18.4</v>
      </c>
      <c r="F2212" s="2">
        <f>IFERROR(__xludf.DUMMYFUNCTION("""COMPUTED_VALUE"""),7061314.0)</f>
        <v>7061314</v>
      </c>
    </row>
    <row r="2213">
      <c r="A2213" s="3">
        <f>IFERROR(__xludf.DUMMYFUNCTION("""COMPUTED_VALUE"""),43566.66666666667)</f>
        <v>43566.66667</v>
      </c>
      <c r="B2213" s="2">
        <f>IFERROR(__xludf.DUMMYFUNCTION("""COMPUTED_VALUE"""),17.89)</f>
        <v>17.89</v>
      </c>
      <c r="C2213" s="2">
        <f>IFERROR(__xludf.DUMMYFUNCTION("""COMPUTED_VALUE"""),18.03)</f>
        <v>18.03</v>
      </c>
      <c r="D2213" s="2">
        <f>IFERROR(__xludf.DUMMYFUNCTION("""COMPUTED_VALUE"""),17.71)</f>
        <v>17.71</v>
      </c>
      <c r="E2213" s="2">
        <f>IFERROR(__xludf.DUMMYFUNCTION("""COMPUTED_VALUE"""),17.89)</f>
        <v>17.89</v>
      </c>
      <c r="F2213" s="2">
        <f>IFERROR(__xludf.DUMMYFUNCTION("""COMPUTED_VALUE"""),9835927.0)</f>
        <v>9835927</v>
      </c>
    </row>
    <row r="2214">
      <c r="A2214" s="3">
        <f>IFERROR(__xludf.DUMMYFUNCTION("""COMPUTED_VALUE"""),43567.66666666667)</f>
        <v>43567.66667</v>
      </c>
      <c r="B2214" s="2">
        <f>IFERROR(__xludf.DUMMYFUNCTION("""COMPUTED_VALUE"""),18.01)</f>
        <v>18.01</v>
      </c>
      <c r="C2214" s="2">
        <f>IFERROR(__xludf.DUMMYFUNCTION("""COMPUTED_VALUE"""),18.13)</f>
        <v>18.13</v>
      </c>
      <c r="D2214" s="2">
        <f>IFERROR(__xludf.DUMMYFUNCTION("""COMPUTED_VALUE"""),17.79)</f>
        <v>17.79</v>
      </c>
      <c r="E2214" s="2">
        <f>IFERROR(__xludf.DUMMYFUNCTION("""COMPUTED_VALUE"""),17.85)</f>
        <v>17.85</v>
      </c>
      <c r="F2214" s="2">
        <f>IFERROR(__xludf.DUMMYFUNCTION("""COMPUTED_VALUE"""),6745974.0)</f>
        <v>6745974</v>
      </c>
    </row>
    <row r="2215">
      <c r="A2215" s="3">
        <f>IFERROR(__xludf.DUMMYFUNCTION("""COMPUTED_VALUE"""),43570.66666666667)</f>
        <v>43570.66667</v>
      </c>
      <c r="B2215" s="2">
        <f>IFERROR(__xludf.DUMMYFUNCTION("""COMPUTED_VALUE"""),17.91)</f>
        <v>17.91</v>
      </c>
      <c r="C2215" s="2">
        <f>IFERROR(__xludf.DUMMYFUNCTION("""COMPUTED_VALUE"""),17.93)</f>
        <v>17.93</v>
      </c>
      <c r="D2215" s="2">
        <f>IFERROR(__xludf.DUMMYFUNCTION("""COMPUTED_VALUE"""),17.24)</f>
        <v>17.24</v>
      </c>
      <c r="E2215" s="2">
        <f>IFERROR(__xludf.DUMMYFUNCTION("""COMPUTED_VALUE"""),17.76)</f>
        <v>17.76</v>
      </c>
      <c r="F2215" s="2">
        <f>IFERROR(__xludf.DUMMYFUNCTION("""COMPUTED_VALUE"""),1.0038579E7)</f>
        <v>10038579</v>
      </c>
    </row>
    <row r="2216">
      <c r="A2216" s="3">
        <f>IFERROR(__xludf.DUMMYFUNCTION("""COMPUTED_VALUE"""),43571.66666666667)</f>
        <v>43571.66667</v>
      </c>
      <c r="B2216" s="2">
        <f>IFERROR(__xludf.DUMMYFUNCTION("""COMPUTED_VALUE"""),17.72)</f>
        <v>17.72</v>
      </c>
      <c r="C2216" s="2">
        <f>IFERROR(__xludf.DUMMYFUNCTION("""COMPUTED_VALUE"""),18.33)</f>
        <v>18.33</v>
      </c>
      <c r="D2216" s="2">
        <f>IFERROR(__xludf.DUMMYFUNCTION("""COMPUTED_VALUE"""),17.65)</f>
        <v>17.65</v>
      </c>
      <c r="E2216" s="2">
        <f>IFERROR(__xludf.DUMMYFUNCTION("""COMPUTED_VALUE"""),18.22)</f>
        <v>18.22</v>
      </c>
      <c r="F2216" s="2">
        <f>IFERROR(__xludf.DUMMYFUNCTION("""COMPUTED_VALUE"""),7272930.0)</f>
        <v>7272930</v>
      </c>
    </row>
    <row r="2217">
      <c r="A2217" s="3">
        <f>IFERROR(__xludf.DUMMYFUNCTION("""COMPUTED_VALUE"""),43572.66666666667)</f>
        <v>43572.66667</v>
      </c>
      <c r="B2217" s="2">
        <f>IFERROR(__xludf.DUMMYFUNCTION("""COMPUTED_VALUE"""),18.32)</f>
        <v>18.32</v>
      </c>
      <c r="C2217" s="2">
        <f>IFERROR(__xludf.DUMMYFUNCTION("""COMPUTED_VALUE"""),18.32)</f>
        <v>18.32</v>
      </c>
      <c r="D2217" s="2">
        <f>IFERROR(__xludf.DUMMYFUNCTION("""COMPUTED_VALUE"""),17.9)</f>
        <v>17.9</v>
      </c>
      <c r="E2217" s="2">
        <f>IFERROR(__xludf.DUMMYFUNCTION("""COMPUTED_VALUE"""),18.08)</f>
        <v>18.08</v>
      </c>
      <c r="F2217" s="2">
        <f>IFERROR(__xludf.DUMMYFUNCTION("""COMPUTED_VALUE"""),5126468.0)</f>
        <v>5126468</v>
      </c>
    </row>
    <row r="2218">
      <c r="A2218" s="3">
        <f>IFERROR(__xludf.DUMMYFUNCTION("""COMPUTED_VALUE"""),43573.66666666667)</f>
        <v>43573.66667</v>
      </c>
      <c r="B2218" s="2">
        <f>IFERROR(__xludf.DUMMYFUNCTION("""COMPUTED_VALUE"""),18.08)</f>
        <v>18.08</v>
      </c>
      <c r="C2218" s="2">
        <f>IFERROR(__xludf.DUMMYFUNCTION("""COMPUTED_VALUE"""),18.32)</f>
        <v>18.32</v>
      </c>
      <c r="D2218" s="2">
        <f>IFERROR(__xludf.DUMMYFUNCTION("""COMPUTED_VALUE"""),17.98)</f>
        <v>17.98</v>
      </c>
      <c r="E2218" s="2">
        <f>IFERROR(__xludf.DUMMYFUNCTION("""COMPUTED_VALUE"""),18.22)</f>
        <v>18.22</v>
      </c>
      <c r="F2218" s="2">
        <f>IFERROR(__xludf.DUMMYFUNCTION("""COMPUTED_VALUE"""),5876325.0)</f>
        <v>5876325</v>
      </c>
    </row>
    <row r="2219">
      <c r="A2219" s="3">
        <f>IFERROR(__xludf.DUMMYFUNCTION("""COMPUTED_VALUE"""),43577.66666666667)</f>
        <v>43577.66667</v>
      </c>
      <c r="B2219" s="2">
        <f>IFERROR(__xludf.DUMMYFUNCTION("""COMPUTED_VALUE"""),17.93)</f>
        <v>17.93</v>
      </c>
      <c r="C2219" s="2">
        <f>IFERROR(__xludf.DUMMYFUNCTION("""COMPUTED_VALUE"""),17.98)</f>
        <v>17.98</v>
      </c>
      <c r="D2219" s="2">
        <f>IFERROR(__xludf.DUMMYFUNCTION("""COMPUTED_VALUE"""),17.5)</f>
        <v>17.5</v>
      </c>
      <c r="E2219" s="2">
        <f>IFERROR(__xludf.DUMMYFUNCTION("""COMPUTED_VALUE"""),17.52)</f>
        <v>17.52</v>
      </c>
      <c r="F2219" s="2">
        <f>IFERROR(__xludf.DUMMYFUNCTION("""COMPUTED_VALUE"""),1.2147141E7)</f>
        <v>12147141</v>
      </c>
    </row>
    <row r="2220">
      <c r="A2220" s="3">
        <f>IFERROR(__xludf.DUMMYFUNCTION("""COMPUTED_VALUE"""),43578.66666666667)</f>
        <v>43578.66667</v>
      </c>
      <c r="B2220" s="2">
        <f>IFERROR(__xludf.DUMMYFUNCTION("""COMPUTED_VALUE"""),17.34)</f>
        <v>17.34</v>
      </c>
      <c r="C2220" s="2">
        <f>IFERROR(__xludf.DUMMYFUNCTION("""COMPUTED_VALUE"""),17.71)</f>
        <v>17.71</v>
      </c>
      <c r="D2220" s="2">
        <f>IFERROR(__xludf.DUMMYFUNCTION("""COMPUTED_VALUE"""),17.05)</f>
        <v>17.05</v>
      </c>
      <c r="E2220" s="2">
        <f>IFERROR(__xludf.DUMMYFUNCTION("""COMPUTED_VALUE"""),17.59)</f>
        <v>17.59</v>
      </c>
      <c r="F2220" s="2">
        <f>IFERROR(__xludf.DUMMYFUNCTION("""COMPUTED_VALUE"""),1.0943859E7)</f>
        <v>10943859</v>
      </c>
    </row>
    <row r="2221">
      <c r="A2221" s="3">
        <f>IFERROR(__xludf.DUMMYFUNCTION("""COMPUTED_VALUE"""),43579.66666666667)</f>
        <v>43579.66667</v>
      </c>
      <c r="B2221" s="2">
        <f>IFERROR(__xludf.DUMMYFUNCTION("""COMPUTED_VALUE"""),17.59)</f>
        <v>17.59</v>
      </c>
      <c r="C2221" s="2">
        <f>IFERROR(__xludf.DUMMYFUNCTION("""COMPUTED_VALUE"""),17.69)</f>
        <v>17.69</v>
      </c>
      <c r="D2221" s="2">
        <f>IFERROR(__xludf.DUMMYFUNCTION("""COMPUTED_VALUE"""),17.2)</f>
        <v>17.2</v>
      </c>
      <c r="E2221" s="2">
        <f>IFERROR(__xludf.DUMMYFUNCTION("""COMPUTED_VALUE"""),17.24)</f>
        <v>17.24</v>
      </c>
      <c r="F2221" s="2">
        <f>IFERROR(__xludf.DUMMYFUNCTION("""COMPUTED_VALUE"""),1.0727454E7)</f>
        <v>10727454</v>
      </c>
    </row>
    <row r="2222">
      <c r="A2222" s="3">
        <f>IFERROR(__xludf.DUMMYFUNCTION("""COMPUTED_VALUE"""),43580.66666666667)</f>
        <v>43580.66667</v>
      </c>
      <c r="B2222" s="2">
        <f>IFERROR(__xludf.DUMMYFUNCTION("""COMPUTED_VALUE"""),17.0)</f>
        <v>17</v>
      </c>
      <c r="C2222" s="2">
        <f>IFERROR(__xludf.DUMMYFUNCTION("""COMPUTED_VALUE"""),17.27)</f>
        <v>17.27</v>
      </c>
      <c r="D2222" s="2">
        <f>IFERROR(__xludf.DUMMYFUNCTION("""COMPUTED_VALUE"""),16.4)</f>
        <v>16.4</v>
      </c>
      <c r="E2222" s="2">
        <f>IFERROR(__xludf.DUMMYFUNCTION("""COMPUTED_VALUE"""),16.51)</f>
        <v>16.51</v>
      </c>
      <c r="F2222" s="2">
        <f>IFERROR(__xludf.DUMMYFUNCTION("""COMPUTED_VALUE"""),2.1849393E7)</f>
        <v>21849393</v>
      </c>
    </row>
    <row r="2223">
      <c r="A2223" s="3">
        <f>IFERROR(__xludf.DUMMYFUNCTION("""COMPUTED_VALUE"""),43581.66666666667)</f>
        <v>43581.66667</v>
      </c>
      <c r="B2223" s="2">
        <f>IFERROR(__xludf.DUMMYFUNCTION("""COMPUTED_VALUE"""),16.43)</f>
        <v>16.43</v>
      </c>
      <c r="C2223" s="2">
        <f>IFERROR(__xludf.DUMMYFUNCTION("""COMPUTED_VALUE"""),16.45)</f>
        <v>16.45</v>
      </c>
      <c r="D2223" s="2">
        <f>IFERROR(__xludf.DUMMYFUNCTION("""COMPUTED_VALUE"""),15.41)</f>
        <v>15.41</v>
      </c>
      <c r="E2223" s="2">
        <f>IFERROR(__xludf.DUMMYFUNCTION("""COMPUTED_VALUE"""),15.68)</f>
        <v>15.68</v>
      </c>
      <c r="F2223" s="2">
        <f>IFERROR(__xludf.DUMMYFUNCTION("""COMPUTED_VALUE"""),2.2360709E7)</f>
        <v>22360709</v>
      </c>
    </row>
    <row r="2224">
      <c r="A2224" s="3">
        <f>IFERROR(__xludf.DUMMYFUNCTION("""COMPUTED_VALUE"""),43584.66666666667)</f>
        <v>43584.66667</v>
      </c>
      <c r="B2224" s="2">
        <f>IFERROR(__xludf.DUMMYFUNCTION("""COMPUTED_VALUE"""),15.72)</f>
        <v>15.72</v>
      </c>
      <c r="C2224" s="2">
        <f>IFERROR(__xludf.DUMMYFUNCTION("""COMPUTED_VALUE"""),16.27)</f>
        <v>16.27</v>
      </c>
      <c r="D2224" s="2">
        <f>IFERROR(__xludf.DUMMYFUNCTION("""COMPUTED_VALUE"""),15.48)</f>
        <v>15.48</v>
      </c>
      <c r="E2224" s="2">
        <f>IFERROR(__xludf.DUMMYFUNCTION("""COMPUTED_VALUE"""),16.1)</f>
        <v>16.1</v>
      </c>
      <c r="F2224" s="2">
        <f>IFERROR(__xludf.DUMMYFUNCTION("""COMPUTED_VALUE"""),1.6714476E7)</f>
        <v>16714476</v>
      </c>
    </row>
    <row r="2225">
      <c r="A2225" s="3">
        <f>IFERROR(__xludf.DUMMYFUNCTION("""COMPUTED_VALUE"""),43585.66666666667)</f>
        <v>43585.66667</v>
      </c>
      <c r="B2225" s="2">
        <f>IFERROR(__xludf.DUMMYFUNCTION("""COMPUTED_VALUE"""),16.14)</f>
        <v>16.14</v>
      </c>
      <c r="C2225" s="2">
        <f>IFERROR(__xludf.DUMMYFUNCTION("""COMPUTED_VALUE"""),16.28)</f>
        <v>16.28</v>
      </c>
      <c r="D2225" s="2">
        <f>IFERROR(__xludf.DUMMYFUNCTION("""COMPUTED_VALUE"""),15.8)</f>
        <v>15.8</v>
      </c>
      <c r="E2225" s="2">
        <f>IFERROR(__xludf.DUMMYFUNCTION("""COMPUTED_VALUE"""),15.91)</f>
        <v>15.91</v>
      </c>
      <c r="F2225" s="2">
        <f>IFERROR(__xludf.DUMMYFUNCTION("""COMPUTED_VALUE"""),9464628.0)</f>
        <v>9464628</v>
      </c>
    </row>
    <row r="2226">
      <c r="A2226" s="3">
        <f>IFERROR(__xludf.DUMMYFUNCTION("""COMPUTED_VALUE"""),43586.66666666667)</f>
        <v>43586.66667</v>
      </c>
      <c r="B2226" s="2">
        <f>IFERROR(__xludf.DUMMYFUNCTION("""COMPUTED_VALUE"""),15.92)</f>
        <v>15.92</v>
      </c>
      <c r="C2226" s="2">
        <f>IFERROR(__xludf.DUMMYFUNCTION("""COMPUTED_VALUE"""),16.0)</f>
        <v>16</v>
      </c>
      <c r="D2226" s="2">
        <f>IFERROR(__xludf.DUMMYFUNCTION("""COMPUTED_VALUE"""),15.43)</f>
        <v>15.43</v>
      </c>
      <c r="E2226" s="2">
        <f>IFERROR(__xludf.DUMMYFUNCTION("""COMPUTED_VALUE"""),15.6)</f>
        <v>15.6</v>
      </c>
      <c r="F2226" s="2">
        <f>IFERROR(__xludf.DUMMYFUNCTION("""COMPUTED_VALUE"""),1.0704354E7)</f>
        <v>10704354</v>
      </c>
    </row>
    <row r="2227">
      <c r="A2227" s="3">
        <f>IFERROR(__xludf.DUMMYFUNCTION("""COMPUTED_VALUE"""),43587.66666666667)</f>
        <v>43587.66667</v>
      </c>
      <c r="B2227" s="2">
        <f>IFERROR(__xludf.DUMMYFUNCTION("""COMPUTED_VALUE"""),16.37)</f>
        <v>16.37</v>
      </c>
      <c r="C2227" s="2">
        <f>IFERROR(__xludf.DUMMYFUNCTION("""COMPUTED_VALUE"""),16.48)</f>
        <v>16.48</v>
      </c>
      <c r="D2227" s="2">
        <f>IFERROR(__xludf.DUMMYFUNCTION("""COMPUTED_VALUE"""),15.85)</f>
        <v>15.85</v>
      </c>
      <c r="E2227" s="2">
        <f>IFERROR(__xludf.DUMMYFUNCTION("""COMPUTED_VALUE"""),16.27)</f>
        <v>16.27</v>
      </c>
      <c r="F2227" s="2">
        <f>IFERROR(__xludf.DUMMYFUNCTION("""COMPUTED_VALUE"""),1.8159339E7)</f>
        <v>18159339</v>
      </c>
    </row>
    <row r="2228">
      <c r="A2228" s="3">
        <f>IFERROR(__xludf.DUMMYFUNCTION("""COMPUTED_VALUE"""),43588.66666666667)</f>
        <v>43588.66667</v>
      </c>
      <c r="B2228" s="2">
        <f>IFERROR(__xludf.DUMMYFUNCTION("""COMPUTED_VALUE"""),16.26)</f>
        <v>16.26</v>
      </c>
      <c r="C2228" s="2">
        <f>IFERROR(__xludf.DUMMYFUNCTION("""COMPUTED_VALUE"""),17.11)</f>
        <v>17.11</v>
      </c>
      <c r="D2228" s="2">
        <f>IFERROR(__xludf.DUMMYFUNCTION("""COMPUTED_VALUE"""),16.23)</f>
        <v>16.23</v>
      </c>
      <c r="E2228" s="2">
        <f>IFERROR(__xludf.DUMMYFUNCTION("""COMPUTED_VALUE"""),17.0)</f>
        <v>17</v>
      </c>
      <c r="F2228" s="2">
        <f>IFERROR(__xludf.DUMMYFUNCTION("""COMPUTED_VALUE"""),2.3706771E7)</f>
        <v>23706771</v>
      </c>
    </row>
    <row r="2229">
      <c r="A2229" s="3">
        <f>IFERROR(__xludf.DUMMYFUNCTION("""COMPUTED_VALUE"""),43591.66666666667)</f>
        <v>43591.66667</v>
      </c>
      <c r="B2229" s="2">
        <f>IFERROR(__xludf.DUMMYFUNCTION("""COMPUTED_VALUE"""),16.67)</f>
        <v>16.67</v>
      </c>
      <c r="C2229" s="2">
        <f>IFERROR(__xludf.DUMMYFUNCTION("""COMPUTED_VALUE"""),17.22)</f>
        <v>17.22</v>
      </c>
      <c r="D2229" s="2">
        <f>IFERROR(__xludf.DUMMYFUNCTION("""COMPUTED_VALUE"""),16.57)</f>
        <v>16.57</v>
      </c>
      <c r="E2229" s="2">
        <f>IFERROR(__xludf.DUMMYFUNCTION("""COMPUTED_VALUE"""),17.02)</f>
        <v>17.02</v>
      </c>
      <c r="F2229" s="2">
        <f>IFERROR(__xludf.DUMMYFUNCTION("""COMPUTED_VALUE"""),1.0833943E7)</f>
        <v>10833943</v>
      </c>
    </row>
    <row r="2230">
      <c r="A2230" s="3">
        <f>IFERROR(__xludf.DUMMYFUNCTION("""COMPUTED_VALUE"""),43592.66666666667)</f>
        <v>43592.66667</v>
      </c>
      <c r="B2230" s="2">
        <f>IFERROR(__xludf.DUMMYFUNCTION("""COMPUTED_VALUE"""),17.12)</f>
        <v>17.12</v>
      </c>
      <c r="C2230" s="2">
        <f>IFERROR(__xludf.DUMMYFUNCTION("""COMPUTED_VALUE"""),17.15)</f>
        <v>17.15</v>
      </c>
      <c r="D2230" s="2">
        <f>IFERROR(__xludf.DUMMYFUNCTION("""COMPUTED_VALUE"""),16.34)</f>
        <v>16.34</v>
      </c>
      <c r="E2230" s="2">
        <f>IFERROR(__xludf.DUMMYFUNCTION("""COMPUTED_VALUE"""),16.47)</f>
        <v>16.47</v>
      </c>
      <c r="F2230" s="2">
        <f>IFERROR(__xludf.DUMMYFUNCTION("""COMPUTED_VALUE"""),1.0131408E7)</f>
        <v>10131408</v>
      </c>
    </row>
    <row r="2231">
      <c r="A2231" s="3">
        <f>IFERROR(__xludf.DUMMYFUNCTION("""COMPUTED_VALUE"""),43593.66666666667)</f>
        <v>43593.66667</v>
      </c>
      <c r="B2231" s="2">
        <f>IFERROR(__xludf.DUMMYFUNCTION("""COMPUTED_VALUE"""),16.46)</f>
        <v>16.46</v>
      </c>
      <c r="C2231" s="2">
        <f>IFERROR(__xludf.DUMMYFUNCTION("""COMPUTED_VALUE"""),16.71)</f>
        <v>16.71</v>
      </c>
      <c r="D2231" s="2">
        <f>IFERROR(__xludf.DUMMYFUNCTION("""COMPUTED_VALUE"""),16.28)</f>
        <v>16.28</v>
      </c>
      <c r="E2231" s="2">
        <f>IFERROR(__xludf.DUMMYFUNCTION("""COMPUTED_VALUE"""),16.32)</f>
        <v>16.32</v>
      </c>
      <c r="F2231" s="2">
        <f>IFERROR(__xludf.DUMMYFUNCTION("""COMPUTED_VALUE"""),6176440.0)</f>
        <v>6176440</v>
      </c>
    </row>
    <row r="2232">
      <c r="A2232" s="3">
        <f>IFERROR(__xludf.DUMMYFUNCTION("""COMPUTED_VALUE"""),43594.66666666667)</f>
        <v>43594.66667</v>
      </c>
      <c r="B2232" s="2">
        <f>IFERROR(__xludf.DUMMYFUNCTION("""COMPUTED_VALUE"""),16.13)</f>
        <v>16.13</v>
      </c>
      <c r="C2232" s="2">
        <f>IFERROR(__xludf.DUMMYFUNCTION("""COMPUTED_VALUE"""),16.25)</f>
        <v>16.25</v>
      </c>
      <c r="D2232" s="2">
        <f>IFERROR(__xludf.DUMMYFUNCTION("""COMPUTED_VALUE"""),15.8)</f>
        <v>15.8</v>
      </c>
      <c r="E2232" s="2">
        <f>IFERROR(__xludf.DUMMYFUNCTION("""COMPUTED_VALUE"""),16.13)</f>
        <v>16.13</v>
      </c>
      <c r="F2232" s="2">
        <f>IFERROR(__xludf.DUMMYFUNCTION("""COMPUTED_VALUE"""),6711382.0)</f>
        <v>6711382</v>
      </c>
    </row>
    <row r="2233">
      <c r="A2233" s="3">
        <f>IFERROR(__xludf.DUMMYFUNCTION("""COMPUTED_VALUE"""),43595.66666666667)</f>
        <v>43595.66667</v>
      </c>
      <c r="B2233" s="2">
        <f>IFERROR(__xludf.DUMMYFUNCTION("""COMPUTED_VALUE"""),15.98)</f>
        <v>15.98</v>
      </c>
      <c r="C2233" s="2">
        <f>IFERROR(__xludf.DUMMYFUNCTION("""COMPUTED_VALUE"""),16.13)</f>
        <v>16.13</v>
      </c>
      <c r="D2233" s="2">
        <f>IFERROR(__xludf.DUMMYFUNCTION("""COMPUTED_VALUE"""),15.73)</f>
        <v>15.73</v>
      </c>
      <c r="E2233" s="2">
        <f>IFERROR(__xludf.DUMMYFUNCTION("""COMPUTED_VALUE"""),15.97)</f>
        <v>15.97</v>
      </c>
      <c r="F2233" s="2">
        <f>IFERROR(__xludf.DUMMYFUNCTION("""COMPUTED_VALUE"""),7008336.0)</f>
        <v>7008336</v>
      </c>
    </row>
    <row r="2234">
      <c r="A2234" s="3">
        <f>IFERROR(__xludf.DUMMYFUNCTION("""COMPUTED_VALUE"""),43598.66666666667)</f>
        <v>43598.66667</v>
      </c>
      <c r="B2234" s="2">
        <f>IFERROR(__xludf.DUMMYFUNCTION("""COMPUTED_VALUE"""),15.47)</f>
        <v>15.47</v>
      </c>
      <c r="C2234" s="2">
        <f>IFERROR(__xludf.DUMMYFUNCTION("""COMPUTED_VALUE"""),15.5)</f>
        <v>15.5</v>
      </c>
      <c r="D2234" s="2">
        <f>IFERROR(__xludf.DUMMYFUNCTION("""COMPUTED_VALUE"""),14.97)</f>
        <v>14.97</v>
      </c>
      <c r="E2234" s="2">
        <f>IFERROR(__xludf.DUMMYFUNCTION("""COMPUTED_VALUE"""),15.13)</f>
        <v>15.13</v>
      </c>
      <c r="F2234" s="2">
        <f>IFERROR(__xludf.DUMMYFUNCTION("""COMPUTED_VALUE"""),1.0834796E7)</f>
        <v>10834796</v>
      </c>
    </row>
    <row r="2235">
      <c r="A2235" s="3">
        <f>IFERROR(__xludf.DUMMYFUNCTION("""COMPUTED_VALUE"""),43599.66666666667)</f>
        <v>43599.66667</v>
      </c>
      <c r="B2235" s="2">
        <f>IFERROR(__xludf.DUMMYFUNCTION("""COMPUTED_VALUE"""),15.29)</f>
        <v>15.29</v>
      </c>
      <c r="C2235" s="2">
        <f>IFERROR(__xludf.DUMMYFUNCTION("""COMPUTED_VALUE"""),15.63)</f>
        <v>15.63</v>
      </c>
      <c r="D2235" s="2">
        <f>IFERROR(__xludf.DUMMYFUNCTION("""COMPUTED_VALUE"""),15.2)</f>
        <v>15.2</v>
      </c>
      <c r="E2235" s="2">
        <f>IFERROR(__xludf.DUMMYFUNCTION("""COMPUTED_VALUE"""),15.49)</f>
        <v>15.49</v>
      </c>
      <c r="F2235" s="2">
        <f>IFERROR(__xludf.DUMMYFUNCTION("""COMPUTED_VALUE"""),7252412.0)</f>
        <v>7252412</v>
      </c>
    </row>
    <row r="2236">
      <c r="A2236" s="3">
        <f>IFERROR(__xludf.DUMMYFUNCTION("""COMPUTED_VALUE"""),43600.66666666667)</f>
        <v>43600.66667</v>
      </c>
      <c r="B2236" s="2">
        <f>IFERROR(__xludf.DUMMYFUNCTION("""COMPUTED_VALUE"""),15.29)</f>
        <v>15.29</v>
      </c>
      <c r="C2236" s="2">
        <f>IFERROR(__xludf.DUMMYFUNCTION("""COMPUTED_VALUE"""),15.5)</f>
        <v>15.5</v>
      </c>
      <c r="D2236" s="2">
        <f>IFERROR(__xludf.DUMMYFUNCTION("""COMPUTED_VALUE"""),15.02)</f>
        <v>15.02</v>
      </c>
      <c r="E2236" s="2">
        <f>IFERROR(__xludf.DUMMYFUNCTION("""COMPUTED_VALUE"""),15.46)</f>
        <v>15.46</v>
      </c>
      <c r="F2236" s="2">
        <f>IFERROR(__xludf.DUMMYFUNCTION("""COMPUTED_VALUE"""),7295976.0)</f>
        <v>7295976</v>
      </c>
    </row>
    <row r="2237">
      <c r="A2237" s="3">
        <f>IFERROR(__xludf.DUMMYFUNCTION("""COMPUTED_VALUE"""),43601.66666666667)</f>
        <v>43601.66667</v>
      </c>
      <c r="B2237" s="2">
        <f>IFERROR(__xludf.DUMMYFUNCTION("""COMPUTED_VALUE"""),15.3)</f>
        <v>15.3</v>
      </c>
      <c r="C2237" s="2">
        <f>IFERROR(__xludf.DUMMYFUNCTION("""COMPUTED_VALUE"""),15.4)</f>
        <v>15.4</v>
      </c>
      <c r="D2237" s="2">
        <f>IFERROR(__xludf.DUMMYFUNCTION("""COMPUTED_VALUE"""),15.1)</f>
        <v>15.1</v>
      </c>
      <c r="E2237" s="2">
        <f>IFERROR(__xludf.DUMMYFUNCTION("""COMPUTED_VALUE"""),15.22)</f>
        <v>15.22</v>
      </c>
      <c r="F2237" s="2">
        <f>IFERROR(__xludf.DUMMYFUNCTION("""COMPUTED_VALUE"""),7483273.0)</f>
        <v>7483273</v>
      </c>
    </row>
    <row r="2238">
      <c r="A2238" s="3">
        <f>IFERROR(__xludf.DUMMYFUNCTION("""COMPUTED_VALUE"""),43602.66666666667)</f>
        <v>43602.66667</v>
      </c>
      <c r="B2238" s="2">
        <f>IFERROR(__xludf.DUMMYFUNCTION("""COMPUTED_VALUE"""),14.8)</f>
        <v>14.8</v>
      </c>
      <c r="C2238" s="2">
        <f>IFERROR(__xludf.DUMMYFUNCTION("""COMPUTED_VALUE"""),14.82)</f>
        <v>14.82</v>
      </c>
      <c r="D2238" s="2">
        <f>IFERROR(__xludf.DUMMYFUNCTION("""COMPUTED_VALUE"""),13.93)</f>
        <v>13.93</v>
      </c>
      <c r="E2238" s="2">
        <f>IFERROR(__xludf.DUMMYFUNCTION("""COMPUTED_VALUE"""),14.07)</f>
        <v>14.07</v>
      </c>
      <c r="F2238" s="2">
        <f>IFERROR(__xludf.DUMMYFUNCTION("""COMPUTED_VALUE"""),1.7786666E7)</f>
        <v>17786666</v>
      </c>
    </row>
    <row r="2239">
      <c r="A2239" s="3">
        <f>IFERROR(__xludf.DUMMYFUNCTION("""COMPUTED_VALUE"""),43605.66666666667)</f>
        <v>43605.66667</v>
      </c>
      <c r="B2239" s="2">
        <f>IFERROR(__xludf.DUMMYFUNCTION("""COMPUTED_VALUE"""),13.52)</f>
        <v>13.52</v>
      </c>
      <c r="C2239" s="2">
        <f>IFERROR(__xludf.DUMMYFUNCTION("""COMPUTED_VALUE"""),13.73)</f>
        <v>13.73</v>
      </c>
      <c r="D2239" s="2">
        <f>IFERROR(__xludf.DUMMYFUNCTION("""COMPUTED_VALUE"""),13.02)</f>
        <v>13.02</v>
      </c>
      <c r="E2239" s="2">
        <f>IFERROR(__xludf.DUMMYFUNCTION("""COMPUTED_VALUE"""),13.69)</f>
        <v>13.69</v>
      </c>
      <c r="F2239" s="2">
        <f>IFERROR(__xludf.DUMMYFUNCTION("""COMPUTED_VALUE"""),2.0526195E7)</f>
        <v>20526195</v>
      </c>
    </row>
    <row r="2240">
      <c r="A2240" s="3">
        <f>IFERROR(__xludf.DUMMYFUNCTION("""COMPUTED_VALUE"""),43606.66666666667)</f>
        <v>43606.66667</v>
      </c>
      <c r="B2240" s="2">
        <f>IFERROR(__xludf.DUMMYFUNCTION("""COMPUTED_VALUE"""),13.18)</f>
        <v>13.18</v>
      </c>
      <c r="C2240" s="2">
        <f>IFERROR(__xludf.DUMMYFUNCTION("""COMPUTED_VALUE"""),13.83)</f>
        <v>13.83</v>
      </c>
      <c r="D2240" s="2">
        <f>IFERROR(__xludf.DUMMYFUNCTION("""COMPUTED_VALUE"""),13.07)</f>
        <v>13.07</v>
      </c>
      <c r="E2240" s="2">
        <f>IFERROR(__xludf.DUMMYFUNCTION("""COMPUTED_VALUE"""),13.67)</f>
        <v>13.67</v>
      </c>
      <c r="F2240" s="2">
        <f>IFERROR(__xludf.DUMMYFUNCTION("""COMPUTED_VALUE"""),1.8003899E7)</f>
        <v>18003899</v>
      </c>
    </row>
    <row r="2241">
      <c r="A2241" s="3">
        <f>IFERROR(__xludf.DUMMYFUNCTION("""COMPUTED_VALUE"""),43607.66666666667)</f>
        <v>43607.66667</v>
      </c>
      <c r="B2241" s="2">
        <f>IFERROR(__xludf.DUMMYFUNCTION("""COMPUTED_VALUE"""),13.27)</f>
        <v>13.27</v>
      </c>
      <c r="C2241" s="2">
        <f>IFERROR(__xludf.DUMMYFUNCTION("""COMPUTED_VALUE"""),13.6)</f>
        <v>13.6</v>
      </c>
      <c r="D2241" s="2">
        <f>IFERROR(__xludf.DUMMYFUNCTION("""COMPUTED_VALUE"""),12.79)</f>
        <v>12.79</v>
      </c>
      <c r="E2241" s="2">
        <f>IFERROR(__xludf.DUMMYFUNCTION("""COMPUTED_VALUE"""),12.85)</f>
        <v>12.85</v>
      </c>
      <c r="F2241" s="2">
        <f>IFERROR(__xludf.DUMMYFUNCTION("""COMPUTED_VALUE"""),1.8685187E7)</f>
        <v>18685187</v>
      </c>
    </row>
    <row r="2242">
      <c r="A2242" s="3">
        <f>IFERROR(__xludf.DUMMYFUNCTION("""COMPUTED_VALUE"""),43608.66666666667)</f>
        <v>43608.66667</v>
      </c>
      <c r="B2242" s="2">
        <f>IFERROR(__xludf.DUMMYFUNCTION("""COMPUTED_VALUE"""),12.96)</f>
        <v>12.96</v>
      </c>
      <c r="C2242" s="2">
        <f>IFERROR(__xludf.DUMMYFUNCTION("""COMPUTED_VALUE"""),13.3)</f>
        <v>13.3</v>
      </c>
      <c r="D2242" s="2">
        <f>IFERROR(__xludf.DUMMYFUNCTION("""COMPUTED_VALUE"""),12.41)</f>
        <v>12.41</v>
      </c>
      <c r="E2242" s="2">
        <f>IFERROR(__xludf.DUMMYFUNCTION("""COMPUTED_VALUE"""),13.03)</f>
        <v>13.03</v>
      </c>
      <c r="F2242" s="2">
        <f>IFERROR(__xludf.DUMMYFUNCTION("""COMPUTED_VALUE"""),2.6547142E7)</f>
        <v>26547142</v>
      </c>
    </row>
    <row r="2243">
      <c r="A2243" s="3">
        <f>IFERROR(__xludf.DUMMYFUNCTION("""COMPUTED_VALUE"""),43609.66666666667)</f>
        <v>43609.66667</v>
      </c>
      <c r="B2243" s="2">
        <f>IFERROR(__xludf.DUMMYFUNCTION("""COMPUTED_VALUE"""),13.32)</f>
        <v>13.32</v>
      </c>
      <c r="C2243" s="2">
        <f>IFERROR(__xludf.DUMMYFUNCTION("""COMPUTED_VALUE"""),13.33)</f>
        <v>13.33</v>
      </c>
      <c r="D2243" s="2">
        <f>IFERROR(__xludf.DUMMYFUNCTION("""COMPUTED_VALUE"""),12.58)</f>
        <v>12.58</v>
      </c>
      <c r="E2243" s="2">
        <f>IFERROR(__xludf.DUMMYFUNCTION("""COMPUTED_VALUE"""),12.71)</f>
        <v>12.71</v>
      </c>
      <c r="F2243" s="2">
        <f>IFERROR(__xludf.DUMMYFUNCTION("""COMPUTED_VALUE"""),1.4136572E7)</f>
        <v>14136572</v>
      </c>
    </row>
    <row r="2244">
      <c r="A2244" s="3">
        <f>IFERROR(__xludf.DUMMYFUNCTION("""COMPUTED_VALUE"""),43613.66666666667)</f>
        <v>43613.66667</v>
      </c>
      <c r="B2244" s="2">
        <f>IFERROR(__xludf.DUMMYFUNCTION("""COMPUTED_VALUE"""),12.75)</f>
        <v>12.75</v>
      </c>
      <c r="C2244" s="2">
        <f>IFERROR(__xludf.DUMMYFUNCTION("""COMPUTED_VALUE"""),13.0)</f>
        <v>13</v>
      </c>
      <c r="D2244" s="2">
        <f>IFERROR(__xludf.DUMMYFUNCTION("""COMPUTED_VALUE"""),12.52)</f>
        <v>12.52</v>
      </c>
      <c r="E2244" s="2">
        <f>IFERROR(__xludf.DUMMYFUNCTION("""COMPUTED_VALUE"""),12.58)</f>
        <v>12.58</v>
      </c>
      <c r="F2244" s="2">
        <f>IFERROR(__xludf.DUMMYFUNCTION("""COMPUTED_VALUE"""),1.0312901E7)</f>
        <v>10312901</v>
      </c>
    </row>
    <row r="2245">
      <c r="A2245" s="3">
        <f>IFERROR(__xludf.DUMMYFUNCTION("""COMPUTED_VALUE"""),43614.66666666667)</f>
        <v>43614.66667</v>
      </c>
      <c r="B2245" s="2">
        <f>IFERROR(__xludf.DUMMYFUNCTION("""COMPUTED_VALUE"""),12.47)</f>
        <v>12.47</v>
      </c>
      <c r="C2245" s="2">
        <f>IFERROR(__xludf.DUMMYFUNCTION("""COMPUTED_VALUE"""),12.83)</f>
        <v>12.83</v>
      </c>
      <c r="D2245" s="2">
        <f>IFERROR(__xludf.DUMMYFUNCTION("""COMPUTED_VALUE"""),12.34)</f>
        <v>12.34</v>
      </c>
      <c r="E2245" s="2">
        <f>IFERROR(__xludf.DUMMYFUNCTION("""COMPUTED_VALUE"""),12.66)</f>
        <v>12.66</v>
      </c>
      <c r="F2245" s="2">
        <f>IFERROR(__xludf.DUMMYFUNCTION("""COMPUTED_VALUE"""),1.1968638E7)</f>
        <v>11968638</v>
      </c>
    </row>
    <row r="2246">
      <c r="A2246" s="3">
        <f>IFERROR(__xludf.DUMMYFUNCTION("""COMPUTED_VALUE"""),43615.66666666667)</f>
        <v>43615.66667</v>
      </c>
      <c r="B2246" s="2">
        <f>IFERROR(__xludf.DUMMYFUNCTION("""COMPUTED_VALUE"""),12.58)</f>
        <v>12.58</v>
      </c>
      <c r="C2246" s="2">
        <f>IFERROR(__xludf.DUMMYFUNCTION("""COMPUTED_VALUE"""),12.82)</f>
        <v>12.82</v>
      </c>
      <c r="D2246" s="2">
        <f>IFERROR(__xludf.DUMMYFUNCTION("""COMPUTED_VALUE"""),12.47)</f>
        <v>12.47</v>
      </c>
      <c r="E2246" s="2">
        <f>IFERROR(__xludf.DUMMYFUNCTION("""COMPUTED_VALUE"""),12.55)</f>
        <v>12.55</v>
      </c>
      <c r="F2246" s="2">
        <f>IFERROR(__xludf.DUMMYFUNCTION("""COMPUTED_VALUE"""),7926475.0)</f>
        <v>7926475</v>
      </c>
    </row>
    <row r="2247">
      <c r="A2247" s="3">
        <f>IFERROR(__xludf.DUMMYFUNCTION("""COMPUTED_VALUE"""),43616.66666666667)</f>
        <v>43616.66667</v>
      </c>
      <c r="B2247" s="2">
        <f>IFERROR(__xludf.DUMMYFUNCTION("""COMPUTED_VALUE"""),12.34)</f>
        <v>12.34</v>
      </c>
      <c r="C2247" s="2">
        <f>IFERROR(__xludf.DUMMYFUNCTION("""COMPUTED_VALUE"""),12.66)</f>
        <v>12.66</v>
      </c>
      <c r="D2247" s="2">
        <f>IFERROR(__xludf.DUMMYFUNCTION("""COMPUTED_VALUE"""),12.27)</f>
        <v>12.27</v>
      </c>
      <c r="E2247" s="2">
        <f>IFERROR(__xludf.DUMMYFUNCTION("""COMPUTED_VALUE"""),12.34)</f>
        <v>12.34</v>
      </c>
      <c r="F2247" s="2">
        <f>IFERROR(__xludf.DUMMYFUNCTION("""COMPUTED_VALUE"""),1.0406732E7)</f>
        <v>10406732</v>
      </c>
    </row>
    <row r="2248">
      <c r="A2248" s="3">
        <f>IFERROR(__xludf.DUMMYFUNCTION("""COMPUTED_VALUE"""),43619.66666666667)</f>
        <v>43619.66667</v>
      </c>
      <c r="B2248" s="2">
        <f>IFERROR(__xludf.DUMMYFUNCTION("""COMPUTED_VALUE"""),12.37)</f>
        <v>12.37</v>
      </c>
      <c r="C2248" s="2">
        <f>IFERROR(__xludf.DUMMYFUNCTION("""COMPUTED_VALUE"""),12.45)</f>
        <v>12.45</v>
      </c>
      <c r="D2248" s="2">
        <f>IFERROR(__xludf.DUMMYFUNCTION("""COMPUTED_VALUE"""),11.8)</f>
        <v>11.8</v>
      </c>
      <c r="E2248" s="2">
        <f>IFERROR(__xludf.DUMMYFUNCTION("""COMPUTED_VALUE"""),11.93)</f>
        <v>11.93</v>
      </c>
      <c r="F2248" s="2">
        <f>IFERROR(__xludf.DUMMYFUNCTION("""COMPUTED_VALUE"""),1.306441E7)</f>
        <v>13064410</v>
      </c>
    </row>
    <row r="2249">
      <c r="A2249" s="3">
        <f>IFERROR(__xludf.DUMMYFUNCTION("""COMPUTED_VALUE"""),43620.66666666667)</f>
        <v>43620.66667</v>
      </c>
      <c r="B2249" s="2">
        <f>IFERROR(__xludf.DUMMYFUNCTION("""COMPUTED_VALUE"""),12.07)</f>
        <v>12.07</v>
      </c>
      <c r="C2249" s="2">
        <f>IFERROR(__xludf.DUMMYFUNCTION("""COMPUTED_VALUE"""),12.93)</f>
        <v>12.93</v>
      </c>
      <c r="D2249" s="2">
        <f>IFERROR(__xludf.DUMMYFUNCTION("""COMPUTED_VALUE"""),11.97)</f>
        <v>11.97</v>
      </c>
      <c r="E2249" s="2">
        <f>IFERROR(__xludf.DUMMYFUNCTION("""COMPUTED_VALUE"""),12.91)</f>
        <v>12.91</v>
      </c>
      <c r="F2249" s="2">
        <f>IFERROR(__xludf.DUMMYFUNCTION("""COMPUTED_VALUE"""),1.3807522E7)</f>
        <v>13807522</v>
      </c>
    </row>
    <row r="2250">
      <c r="A2250" s="3">
        <f>IFERROR(__xludf.DUMMYFUNCTION("""COMPUTED_VALUE"""),43621.66666666667)</f>
        <v>43621.66667</v>
      </c>
      <c r="B2250" s="2">
        <f>IFERROR(__xludf.DUMMYFUNCTION("""COMPUTED_VALUE"""),13.25)</f>
        <v>13.25</v>
      </c>
      <c r="C2250" s="2">
        <f>IFERROR(__xludf.DUMMYFUNCTION("""COMPUTED_VALUE"""),13.42)</f>
        <v>13.42</v>
      </c>
      <c r="D2250" s="2">
        <f>IFERROR(__xludf.DUMMYFUNCTION("""COMPUTED_VALUE"""),12.79)</f>
        <v>12.79</v>
      </c>
      <c r="E2250" s="2">
        <f>IFERROR(__xludf.DUMMYFUNCTION("""COMPUTED_VALUE"""),13.11)</f>
        <v>13.11</v>
      </c>
      <c r="F2250" s="2">
        <f>IFERROR(__xludf.DUMMYFUNCTION("""COMPUTED_VALUE"""),1.3510756E7)</f>
        <v>13510756</v>
      </c>
    </row>
    <row r="2251">
      <c r="A2251" s="3">
        <f>IFERROR(__xludf.DUMMYFUNCTION("""COMPUTED_VALUE"""),43622.66666666667)</f>
        <v>43622.66667</v>
      </c>
      <c r="B2251" s="2">
        <f>IFERROR(__xludf.DUMMYFUNCTION("""COMPUTED_VALUE"""),13.63)</f>
        <v>13.63</v>
      </c>
      <c r="C2251" s="2">
        <f>IFERROR(__xludf.DUMMYFUNCTION("""COMPUTED_VALUE"""),14.07)</f>
        <v>14.07</v>
      </c>
      <c r="D2251" s="2">
        <f>IFERROR(__xludf.DUMMYFUNCTION("""COMPUTED_VALUE"""),13.45)</f>
        <v>13.45</v>
      </c>
      <c r="E2251" s="2">
        <f>IFERROR(__xludf.DUMMYFUNCTION("""COMPUTED_VALUE"""),13.73)</f>
        <v>13.73</v>
      </c>
      <c r="F2251" s="2">
        <f>IFERROR(__xludf.DUMMYFUNCTION("""COMPUTED_VALUE"""),2.0242151E7)</f>
        <v>20242151</v>
      </c>
    </row>
    <row r="2252">
      <c r="A2252" s="3">
        <f>IFERROR(__xludf.DUMMYFUNCTION("""COMPUTED_VALUE"""),43623.66666666667)</f>
        <v>43623.66667</v>
      </c>
      <c r="B2252" s="2">
        <f>IFERROR(__xludf.DUMMYFUNCTION("""COMPUTED_VALUE"""),13.67)</f>
        <v>13.67</v>
      </c>
      <c r="C2252" s="2">
        <f>IFERROR(__xludf.DUMMYFUNCTION("""COMPUTED_VALUE"""),14.06)</f>
        <v>14.06</v>
      </c>
      <c r="D2252" s="2">
        <f>IFERROR(__xludf.DUMMYFUNCTION("""COMPUTED_VALUE"""),13.57)</f>
        <v>13.57</v>
      </c>
      <c r="E2252" s="2">
        <f>IFERROR(__xludf.DUMMYFUNCTION("""COMPUTED_VALUE"""),13.63)</f>
        <v>13.63</v>
      </c>
      <c r="F2252" s="2">
        <f>IFERROR(__xludf.DUMMYFUNCTION("""COMPUTED_VALUE"""),1.6003527E7)</f>
        <v>16003527</v>
      </c>
    </row>
    <row r="2253">
      <c r="A2253" s="3">
        <f>IFERROR(__xludf.DUMMYFUNCTION("""COMPUTED_VALUE"""),43626.66666666667)</f>
        <v>43626.66667</v>
      </c>
      <c r="B2253" s="2">
        <f>IFERROR(__xludf.DUMMYFUNCTION("""COMPUTED_VALUE"""),14.02)</f>
        <v>14.02</v>
      </c>
      <c r="C2253" s="2">
        <f>IFERROR(__xludf.DUMMYFUNCTION("""COMPUTED_VALUE"""),14.46)</f>
        <v>14.46</v>
      </c>
      <c r="D2253" s="2">
        <f>IFERROR(__xludf.DUMMYFUNCTION("""COMPUTED_VALUE"""),13.93)</f>
        <v>13.93</v>
      </c>
      <c r="E2253" s="2">
        <f>IFERROR(__xludf.DUMMYFUNCTION("""COMPUTED_VALUE"""),14.19)</f>
        <v>14.19</v>
      </c>
      <c r="F2253" s="2">
        <f>IFERROR(__xludf.DUMMYFUNCTION("""COMPUTED_VALUE"""),1.0585039E7)</f>
        <v>10585039</v>
      </c>
    </row>
    <row r="2254">
      <c r="A2254" s="3">
        <f>IFERROR(__xludf.DUMMYFUNCTION("""COMPUTED_VALUE"""),43627.66666666667)</f>
        <v>43627.66667</v>
      </c>
      <c r="B2254" s="2">
        <f>IFERROR(__xludf.DUMMYFUNCTION("""COMPUTED_VALUE"""),14.61)</f>
        <v>14.61</v>
      </c>
      <c r="C2254" s="2">
        <f>IFERROR(__xludf.DUMMYFUNCTION("""COMPUTED_VALUE"""),14.73)</f>
        <v>14.73</v>
      </c>
      <c r="D2254" s="2">
        <f>IFERROR(__xludf.DUMMYFUNCTION("""COMPUTED_VALUE"""),14.23)</f>
        <v>14.23</v>
      </c>
      <c r="E2254" s="2">
        <f>IFERROR(__xludf.DUMMYFUNCTION("""COMPUTED_VALUE"""),14.47)</f>
        <v>14.47</v>
      </c>
      <c r="F2254" s="2">
        <f>IFERROR(__xludf.DUMMYFUNCTION("""COMPUTED_VALUE"""),1.1653537E7)</f>
        <v>11653537</v>
      </c>
    </row>
    <row r="2255">
      <c r="A2255" s="3">
        <f>IFERROR(__xludf.DUMMYFUNCTION("""COMPUTED_VALUE"""),43628.66666666667)</f>
        <v>43628.66667</v>
      </c>
      <c r="B2255" s="2">
        <f>IFERROR(__xludf.DUMMYFUNCTION("""COMPUTED_VALUE"""),14.86)</f>
        <v>14.86</v>
      </c>
      <c r="C2255" s="2">
        <f>IFERROR(__xludf.DUMMYFUNCTION("""COMPUTED_VALUE"""),14.89)</f>
        <v>14.89</v>
      </c>
      <c r="D2255" s="2">
        <f>IFERROR(__xludf.DUMMYFUNCTION("""COMPUTED_VALUE"""),13.93)</f>
        <v>13.93</v>
      </c>
      <c r="E2255" s="2">
        <f>IFERROR(__xludf.DUMMYFUNCTION("""COMPUTED_VALUE"""),13.95)</f>
        <v>13.95</v>
      </c>
      <c r="F2255" s="2">
        <f>IFERROR(__xludf.DUMMYFUNCTION("""COMPUTED_VALUE"""),1.5197544E7)</f>
        <v>15197544</v>
      </c>
    </row>
    <row r="2256">
      <c r="A2256" s="3">
        <f>IFERROR(__xludf.DUMMYFUNCTION("""COMPUTED_VALUE"""),43629.66666666667)</f>
        <v>43629.66667</v>
      </c>
      <c r="B2256" s="2">
        <f>IFERROR(__xludf.DUMMYFUNCTION("""COMPUTED_VALUE"""),14.03)</f>
        <v>14.03</v>
      </c>
      <c r="C2256" s="2">
        <f>IFERROR(__xludf.DUMMYFUNCTION("""COMPUTED_VALUE"""),14.33)</f>
        <v>14.33</v>
      </c>
      <c r="D2256" s="2">
        <f>IFERROR(__xludf.DUMMYFUNCTION("""COMPUTED_VALUE"""),13.83)</f>
        <v>13.83</v>
      </c>
      <c r="E2256" s="2">
        <f>IFERROR(__xludf.DUMMYFUNCTION("""COMPUTED_VALUE"""),14.26)</f>
        <v>14.26</v>
      </c>
      <c r="F2256" s="2">
        <f>IFERROR(__xludf.DUMMYFUNCTION("""COMPUTED_VALUE"""),8168260.0)</f>
        <v>8168260</v>
      </c>
    </row>
    <row r="2257">
      <c r="A2257" s="3">
        <f>IFERROR(__xludf.DUMMYFUNCTION("""COMPUTED_VALUE"""),43630.66666666667)</f>
        <v>43630.66667</v>
      </c>
      <c r="B2257" s="2">
        <f>IFERROR(__xludf.DUMMYFUNCTION("""COMPUTED_VALUE"""),14.08)</f>
        <v>14.08</v>
      </c>
      <c r="C2257" s="2">
        <f>IFERROR(__xludf.DUMMYFUNCTION("""COMPUTED_VALUE"""),14.44)</f>
        <v>14.44</v>
      </c>
      <c r="D2257" s="2">
        <f>IFERROR(__xludf.DUMMYFUNCTION("""COMPUTED_VALUE"""),14.03)</f>
        <v>14.03</v>
      </c>
      <c r="E2257" s="2">
        <f>IFERROR(__xludf.DUMMYFUNCTION("""COMPUTED_VALUE"""),14.33)</f>
        <v>14.33</v>
      </c>
      <c r="F2257" s="2">
        <f>IFERROR(__xludf.DUMMYFUNCTION("""COMPUTED_VALUE"""),7433402.0)</f>
        <v>7433402</v>
      </c>
    </row>
    <row r="2258">
      <c r="A2258" s="3">
        <f>IFERROR(__xludf.DUMMYFUNCTION("""COMPUTED_VALUE"""),43633.66666666667)</f>
        <v>43633.66667</v>
      </c>
      <c r="B2258" s="2">
        <f>IFERROR(__xludf.DUMMYFUNCTION("""COMPUTED_VALUE"""),14.37)</f>
        <v>14.37</v>
      </c>
      <c r="C2258" s="2">
        <f>IFERROR(__xludf.DUMMYFUNCTION("""COMPUTED_VALUE"""),15.13)</f>
        <v>15.13</v>
      </c>
      <c r="D2258" s="2">
        <f>IFERROR(__xludf.DUMMYFUNCTION("""COMPUTED_VALUE"""),14.28)</f>
        <v>14.28</v>
      </c>
      <c r="E2258" s="2">
        <f>IFERROR(__xludf.DUMMYFUNCTION("""COMPUTED_VALUE"""),15.0)</f>
        <v>15</v>
      </c>
      <c r="F2258" s="2">
        <f>IFERROR(__xludf.DUMMYFUNCTION("""COMPUTED_VALUE"""),1.2316803E7)</f>
        <v>12316803</v>
      </c>
    </row>
    <row r="2259">
      <c r="A2259" s="3">
        <f>IFERROR(__xludf.DUMMYFUNCTION("""COMPUTED_VALUE"""),43634.66666666667)</f>
        <v>43634.66667</v>
      </c>
      <c r="B2259" s="2">
        <f>IFERROR(__xludf.DUMMYFUNCTION("""COMPUTED_VALUE"""),15.25)</f>
        <v>15.25</v>
      </c>
      <c r="C2259" s="2">
        <f>IFERROR(__xludf.DUMMYFUNCTION("""COMPUTED_VALUE"""),15.65)</f>
        <v>15.65</v>
      </c>
      <c r="D2259" s="2">
        <f>IFERROR(__xludf.DUMMYFUNCTION("""COMPUTED_VALUE"""),14.84)</f>
        <v>14.84</v>
      </c>
      <c r="E2259" s="2">
        <f>IFERROR(__xludf.DUMMYFUNCTION("""COMPUTED_VALUE"""),14.98)</f>
        <v>14.98</v>
      </c>
      <c r="F2259" s="2">
        <f>IFERROR(__xludf.DUMMYFUNCTION("""COMPUTED_VALUE"""),1.2715788E7)</f>
        <v>12715788</v>
      </c>
    </row>
    <row r="2260">
      <c r="A2260" s="3">
        <f>IFERROR(__xludf.DUMMYFUNCTION("""COMPUTED_VALUE"""),43635.66666666667)</f>
        <v>43635.66667</v>
      </c>
      <c r="B2260" s="2">
        <f>IFERROR(__xludf.DUMMYFUNCTION("""COMPUTED_VALUE"""),15.01)</f>
        <v>15.01</v>
      </c>
      <c r="C2260" s="2">
        <f>IFERROR(__xludf.DUMMYFUNCTION("""COMPUTED_VALUE"""),15.18)</f>
        <v>15.18</v>
      </c>
      <c r="D2260" s="2">
        <f>IFERROR(__xludf.DUMMYFUNCTION("""COMPUTED_VALUE"""),14.74)</f>
        <v>14.74</v>
      </c>
      <c r="E2260" s="2">
        <f>IFERROR(__xludf.DUMMYFUNCTION("""COMPUTED_VALUE"""),15.1)</f>
        <v>15.1</v>
      </c>
      <c r="F2260" s="2">
        <f>IFERROR(__xludf.DUMMYFUNCTION("""COMPUTED_VALUE"""),6575135.0)</f>
        <v>6575135</v>
      </c>
    </row>
    <row r="2261">
      <c r="A2261" s="3">
        <f>IFERROR(__xludf.DUMMYFUNCTION("""COMPUTED_VALUE"""),43636.66666666667)</f>
        <v>43636.66667</v>
      </c>
      <c r="B2261" s="2">
        <f>IFERROR(__xludf.DUMMYFUNCTION("""COMPUTED_VALUE"""),14.87)</f>
        <v>14.87</v>
      </c>
      <c r="C2261" s="2">
        <f>IFERROR(__xludf.DUMMYFUNCTION("""COMPUTED_VALUE"""),15.13)</f>
        <v>15.13</v>
      </c>
      <c r="D2261" s="2">
        <f>IFERROR(__xludf.DUMMYFUNCTION("""COMPUTED_VALUE"""),14.42)</f>
        <v>14.42</v>
      </c>
      <c r="E2261" s="2">
        <f>IFERROR(__xludf.DUMMYFUNCTION("""COMPUTED_VALUE"""),14.64)</f>
        <v>14.64</v>
      </c>
      <c r="F2261" s="2">
        <f>IFERROR(__xludf.DUMMYFUNCTION("""COMPUTED_VALUE"""),1.1863462E7)</f>
        <v>11863462</v>
      </c>
    </row>
    <row r="2262">
      <c r="A2262" s="3">
        <f>IFERROR(__xludf.DUMMYFUNCTION("""COMPUTED_VALUE"""),43637.66666666667)</f>
        <v>43637.66667</v>
      </c>
      <c r="B2262" s="2">
        <f>IFERROR(__xludf.DUMMYFUNCTION("""COMPUTED_VALUE"""),14.41)</f>
        <v>14.41</v>
      </c>
      <c r="C2262" s="2">
        <f>IFERROR(__xludf.DUMMYFUNCTION("""COMPUTED_VALUE"""),14.81)</f>
        <v>14.81</v>
      </c>
      <c r="D2262" s="2">
        <f>IFERROR(__xludf.DUMMYFUNCTION("""COMPUTED_VALUE"""),14.37)</f>
        <v>14.37</v>
      </c>
      <c r="E2262" s="2">
        <f>IFERROR(__xludf.DUMMYFUNCTION("""COMPUTED_VALUE"""),14.79)</f>
        <v>14.79</v>
      </c>
      <c r="F2262" s="2">
        <f>IFERROR(__xludf.DUMMYFUNCTION("""COMPUTED_VALUE"""),8202078.0)</f>
        <v>8202078</v>
      </c>
    </row>
    <row r="2263">
      <c r="A2263" s="3">
        <f>IFERROR(__xludf.DUMMYFUNCTION("""COMPUTED_VALUE"""),43640.66666666667)</f>
        <v>43640.66667</v>
      </c>
      <c r="B2263" s="2">
        <f>IFERROR(__xludf.DUMMYFUNCTION("""COMPUTED_VALUE"""),14.88)</f>
        <v>14.88</v>
      </c>
      <c r="C2263" s="2">
        <f>IFERROR(__xludf.DUMMYFUNCTION("""COMPUTED_VALUE"""),15.06)</f>
        <v>15.06</v>
      </c>
      <c r="D2263" s="2">
        <f>IFERROR(__xludf.DUMMYFUNCTION("""COMPUTED_VALUE"""),14.73)</f>
        <v>14.73</v>
      </c>
      <c r="E2263" s="2">
        <f>IFERROR(__xludf.DUMMYFUNCTION("""COMPUTED_VALUE"""),14.91)</f>
        <v>14.91</v>
      </c>
      <c r="F2263" s="2">
        <f>IFERROR(__xludf.DUMMYFUNCTION("""COMPUTED_VALUE"""),5750771.0)</f>
        <v>5750771</v>
      </c>
    </row>
    <row r="2264">
      <c r="A2264" s="3">
        <f>IFERROR(__xludf.DUMMYFUNCTION("""COMPUTED_VALUE"""),43641.66666666667)</f>
        <v>43641.66667</v>
      </c>
      <c r="B2264" s="2">
        <f>IFERROR(__xludf.DUMMYFUNCTION("""COMPUTED_VALUE"""),14.96)</f>
        <v>14.96</v>
      </c>
      <c r="C2264" s="2">
        <f>IFERROR(__xludf.DUMMYFUNCTION("""COMPUTED_VALUE"""),15.02)</f>
        <v>15.02</v>
      </c>
      <c r="D2264" s="2">
        <f>IFERROR(__xludf.DUMMYFUNCTION("""COMPUTED_VALUE"""),14.63)</f>
        <v>14.63</v>
      </c>
      <c r="E2264" s="2">
        <f>IFERROR(__xludf.DUMMYFUNCTION("""COMPUTED_VALUE"""),14.65)</f>
        <v>14.65</v>
      </c>
      <c r="F2264" s="2">
        <f>IFERROR(__xludf.DUMMYFUNCTION("""COMPUTED_VALUE"""),6182071.0)</f>
        <v>6182071</v>
      </c>
    </row>
    <row r="2265">
      <c r="A2265" s="3">
        <f>IFERROR(__xludf.DUMMYFUNCTION("""COMPUTED_VALUE"""),43642.66666666667)</f>
        <v>43642.66667</v>
      </c>
      <c r="B2265" s="2">
        <f>IFERROR(__xludf.DUMMYFUNCTION("""COMPUTED_VALUE"""),14.69)</f>
        <v>14.69</v>
      </c>
      <c r="C2265" s="2">
        <f>IFERROR(__xludf.DUMMYFUNCTION("""COMPUTED_VALUE"""),15.15)</f>
        <v>15.15</v>
      </c>
      <c r="D2265" s="2">
        <f>IFERROR(__xludf.DUMMYFUNCTION("""COMPUTED_VALUE"""),14.54)</f>
        <v>14.54</v>
      </c>
      <c r="E2265" s="2">
        <f>IFERROR(__xludf.DUMMYFUNCTION("""COMPUTED_VALUE"""),14.62)</f>
        <v>14.62</v>
      </c>
      <c r="F2265" s="2">
        <f>IFERROR(__xludf.DUMMYFUNCTION("""COMPUTED_VALUE"""),8507208.0)</f>
        <v>8507208</v>
      </c>
    </row>
    <row r="2266">
      <c r="A2266" s="3">
        <f>IFERROR(__xludf.DUMMYFUNCTION("""COMPUTED_VALUE"""),43643.66666666667)</f>
        <v>43643.66667</v>
      </c>
      <c r="B2266" s="2">
        <f>IFERROR(__xludf.DUMMYFUNCTION("""COMPUTED_VALUE"""),14.63)</f>
        <v>14.63</v>
      </c>
      <c r="C2266" s="2">
        <f>IFERROR(__xludf.DUMMYFUNCTION("""COMPUTED_VALUE"""),14.86)</f>
        <v>14.86</v>
      </c>
      <c r="D2266" s="2">
        <f>IFERROR(__xludf.DUMMYFUNCTION("""COMPUTED_VALUE"""),14.49)</f>
        <v>14.49</v>
      </c>
      <c r="E2266" s="2">
        <f>IFERROR(__xludf.DUMMYFUNCTION("""COMPUTED_VALUE"""),14.86)</f>
        <v>14.86</v>
      </c>
      <c r="F2266" s="2">
        <f>IFERROR(__xludf.DUMMYFUNCTION("""COMPUTED_VALUE"""),6339710.0)</f>
        <v>6339710</v>
      </c>
    </row>
    <row r="2267">
      <c r="A2267" s="3">
        <f>IFERROR(__xludf.DUMMYFUNCTION("""COMPUTED_VALUE"""),43644.66666666667)</f>
        <v>43644.66667</v>
      </c>
      <c r="B2267" s="2">
        <f>IFERROR(__xludf.DUMMYFUNCTION("""COMPUTED_VALUE"""),14.73)</f>
        <v>14.73</v>
      </c>
      <c r="C2267" s="2">
        <f>IFERROR(__xludf.DUMMYFUNCTION("""COMPUTED_VALUE"""),15.01)</f>
        <v>15.01</v>
      </c>
      <c r="D2267" s="2">
        <f>IFERROR(__xludf.DUMMYFUNCTION("""COMPUTED_VALUE"""),14.72)</f>
        <v>14.72</v>
      </c>
      <c r="E2267" s="2">
        <f>IFERROR(__xludf.DUMMYFUNCTION("""COMPUTED_VALUE"""),14.9)</f>
        <v>14.9</v>
      </c>
      <c r="F2267" s="2">
        <f>IFERROR(__xludf.DUMMYFUNCTION("""COMPUTED_VALUE"""),6851384.0)</f>
        <v>6851384</v>
      </c>
    </row>
    <row r="2268">
      <c r="A2268" s="3">
        <f>IFERROR(__xludf.DUMMYFUNCTION("""COMPUTED_VALUE"""),43647.66666666667)</f>
        <v>43647.66667</v>
      </c>
      <c r="B2268" s="2">
        <f>IFERROR(__xludf.DUMMYFUNCTION("""COMPUTED_VALUE"""),15.35)</f>
        <v>15.35</v>
      </c>
      <c r="C2268" s="2">
        <f>IFERROR(__xludf.DUMMYFUNCTION("""COMPUTED_VALUE"""),15.54)</f>
        <v>15.54</v>
      </c>
      <c r="D2268" s="2">
        <f>IFERROR(__xludf.DUMMYFUNCTION("""COMPUTED_VALUE"""),15.09)</f>
        <v>15.09</v>
      </c>
      <c r="E2268" s="2">
        <f>IFERROR(__xludf.DUMMYFUNCTION("""COMPUTED_VALUE"""),15.14)</f>
        <v>15.14</v>
      </c>
      <c r="F2268" s="2">
        <f>IFERROR(__xludf.DUMMYFUNCTION("""COMPUTED_VALUE"""),8237964.0)</f>
        <v>8237964</v>
      </c>
    </row>
    <row r="2269">
      <c r="A2269" s="3">
        <f>IFERROR(__xludf.DUMMYFUNCTION("""COMPUTED_VALUE"""),43648.66666666667)</f>
        <v>43648.66667</v>
      </c>
      <c r="B2269" s="2">
        <f>IFERROR(__xludf.DUMMYFUNCTION("""COMPUTED_VALUE"""),15.26)</f>
        <v>15.26</v>
      </c>
      <c r="C2269" s="2">
        <f>IFERROR(__xludf.DUMMYFUNCTION("""COMPUTED_VALUE"""),15.28)</f>
        <v>15.28</v>
      </c>
      <c r="D2269" s="2">
        <f>IFERROR(__xludf.DUMMYFUNCTION("""COMPUTED_VALUE"""),14.81)</f>
        <v>14.81</v>
      </c>
      <c r="E2269" s="2">
        <f>IFERROR(__xludf.DUMMYFUNCTION("""COMPUTED_VALUE"""),14.97)</f>
        <v>14.97</v>
      </c>
      <c r="F2269" s="2">
        <f>IFERROR(__xludf.DUMMYFUNCTION("""COMPUTED_VALUE"""),9259027.0)</f>
        <v>9259027</v>
      </c>
    </row>
    <row r="2270">
      <c r="A2270" s="3">
        <f>IFERROR(__xludf.DUMMYFUNCTION("""COMPUTED_VALUE"""),43649.54166666667)</f>
        <v>43649.54167</v>
      </c>
      <c r="B2270" s="2">
        <f>IFERROR(__xludf.DUMMYFUNCTION("""COMPUTED_VALUE"""),15.96)</f>
        <v>15.96</v>
      </c>
      <c r="C2270" s="2">
        <f>IFERROR(__xludf.DUMMYFUNCTION("""COMPUTED_VALUE"""),16.1)</f>
        <v>16.1</v>
      </c>
      <c r="D2270" s="2">
        <f>IFERROR(__xludf.DUMMYFUNCTION("""COMPUTED_VALUE"""),15.63)</f>
        <v>15.63</v>
      </c>
      <c r="E2270" s="2">
        <f>IFERROR(__xludf.DUMMYFUNCTION("""COMPUTED_VALUE"""),15.66)</f>
        <v>15.66</v>
      </c>
      <c r="F2270" s="2">
        <f>IFERROR(__xludf.DUMMYFUNCTION("""COMPUTED_VALUE"""),1.4201148E7)</f>
        <v>14201148</v>
      </c>
    </row>
    <row r="2271">
      <c r="A2271" s="3">
        <f>IFERROR(__xludf.DUMMYFUNCTION("""COMPUTED_VALUE"""),43651.66666666667)</f>
        <v>43651.66667</v>
      </c>
      <c r="B2271" s="2">
        <f>IFERROR(__xludf.DUMMYFUNCTION("""COMPUTED_VALUE"""),15.64)</f>
        <v>15.64</v>
      </c>
      <c r="C2271" s="2">
        <f>IFERROR(__xludf.DUMMYFUNCTION("""COMPUTED_VALUE"""),15.7)</f>
        <v>15.7</v>
      </c>
      <c r="D2271" s="2">
        <f>IFERROR(__xludf.DUMMYFUNCTION("""COMPUTED_VALUE"""),15.39)</f>
        <v>15.39</v>
      </c>
      <c r="E2271" s="2">
        <f>IFERROR(__xludf.DUMMYFUNCTION("""COMPUTED_VALUE"""),15.54)</f>
        <v>15.54</v>
      </c>
      <c r="F2271" s="2">
        <f>IFERROR(__xludf.DUMMYFUNCTION("""COMPUTED_VALUE"""),7065738.0)</f>
        <v>7065738</v>
      </c>
    </row>
    <row r="2272">
      <c r="A2272" s="3">
        <f>IFERROR(__xludf.DUMMYFUNCTION("""COMPUTED_VALUE"""),43654.66666666667)</f>
        <v>43654.66667</v>
      </c>
      <c r="B2272" s="2">
        <f>IFERROR(__xludf.DUMMYFUNCTION("""COMPUTED_VALUE"""),15.42)</f>
        <v>15.42</v>
      </c>
      <c r="C2272" s="2">
        <f>IFERROR(__xludf.DUMMYFUNCTION("""COMPUTED_VALUE"""),15.48)</f>
        <v>15.48</v>
      </c>
      <c r="D2272" s="2">
        <f>IFERROR(__xludf.DUMMYFUNCTION("""COMPUTED_VALUE"""),15.24)</f>
        <v>15.24</v>
      </c>
      <c r="E2272" s="2">
        <f>IFERROR(__xludf.DUMMYFUNCTION("""COMPUTED_VALUE"""),15.36)</f>
        <v>15.36</v>
      </c>
      <c r="F2272" s="2">
        <f>IFERROR(__xludf.DUMMYFUNCTION("""COMPUTED_VALUE"""),5880542.0)</f>
        <v>5880542</v>
      </c>
    </row>
    <row r="2273">
      <c r="A2273" s="3">
        <f>IFERROR(__xludf.DUMMYFUNCTION("""COMPUTED_VALUE"""),43655.66666666667)</f>
        <v>43655.66667</v>
      </c>
      <c r="B2273" s="2">
        <f>IFERROR(__xludf.DUMMYFUNCTION("""COMPUTED_VALUE"""),15.26)</f>
        <v>15.26</v>
      </c>
      <c r="C2273" s="2">
        <f>IFERROR(__xludf.DUMMYFUNCTION("""COMPUTED_VALUE"""),15.4)</f>
        <v>15.4</v>
      </c>
      <c r="D2273" s="2">
        <f>IFERROR(__xludf.DUMMYFUNCTION("""COMPUTED_VALUE"""),15.15)</f>
        <v>15.15</v>
      </c>
      <c r="E2273" s="2">
        <f>IFERROR(__xludf.DUMMYFUNCTION("""COMPUTED_VALUE"""),15.34)</f>
        <v>15.34</v>
      </c>
      <c r="F2273" s="2">
        <f>IFERROR(__xludf.DUMMYFUNCTION("""COMPUTED_VALUE"""),6190835.0)</f>
        <v>6190835</v>
      </c>
    </row>
    <row r="2274">
      <c r="A2274" s="3">
        <f>IFERROR(__xludf.DUMMYFUNCTION("""COMPUTED_VALUE"""),43656.66666666667)</f>
        <v>43656.66667</v>
      </c>
      <c r="B2274" s="2">
        <f>IFERROR(__xludf.DUMMYFUNCTION("""COMPUTED_VALUE"""),15.61)</f>
        <v>15.61</v>
      </c>
      <c r="C2274" s="2">
        <f>IFERROR(__xludf.DUMMYFUNCTION("""COMPUTED_VALUE"""),15.93)</f>
        <v>15.93</v>
      </c>
      <c r="D2274" s="2">
        <f>IFERROR(__xludf.DUMMYFUNCTION("""COMPUTED_VALUE"""),15.54)</f>
        <v>15.54</v>
      </c>
      <c r="E2274" s="2">
        <f>IFERROR(__xludf.DUMMYFUNCTION("""COMPUTED_VALUE"""),15.93)</f>
        <v>15.93</v>
      </c>
      <c r="F2274" s="2">
        <f>IFERROR(__xludf.DUMMYFUNCTION("""COMPUTED_VALUE"""),9145736.0)</f>
        <v>9145736</v>
      </c>
    </row>
    <row r="2275">
      <c r="A2275" s="3">
        <f>IFERROR(__xludf.DUMMYFUNCTION("""COMPUTED_VALUE"""),43657.66666666667)</f>
        <v>43657.66667</v>
      </c>
      <c r="B2275" s="2">
        <f>IFERROR(__xludf.DUMMYFUNCTION("""COMPUTED_VALUE"""),15.88)</f>
        <v>15.88</v>
      </c>
      <c r="C2275" s="2">
        <f>IFERROR(__xludf.DUMMYFUNCTION("""COMPUTED_VALUE"""),16.1)</f>
        <v>16.1</v>
      </c>
      <c r="D2275" s="2">
        <f>IFERROR(__xludf.DUMMYFUNCTION("""COMPUTED_VALUE"""),15.72)</f>
        <v>15.72</v>
      </c>
      <c r="E2275" s="2">
        <f>IFERROR(__xludf.DUMMYFUNCTION("""COMPUTED_VALUE"""),15.91)</f>
        <v>15.91</v>
      </c>
      <c r="F2275" s="2">
        <f>IFERROR(__xludf.DUMMYFUNCTION("""COMPUTED_VALUE"""),7514430.0)</f>
        <v>7514430</v>
      </c>
    </row>
    <row r="2276">
      <c r="A2276" s="3">
        <f>IFERROR(__xludf.DUMMYFUNCTION("""COMPUTED_VALUE"""),43658.66666666667)</f>
        <v>43658.66667</v>
      </c>
      <c r="B2276" s="2">
        <f>IFERROR(__xludf.DUMMYFUNCTION("""COMPUTED_VALUE"""),15.98)</f>
        <v>15.98</v>
      </c>
      <c r="C2276" s="2">
        <f>IFERROR(__xludf.DUMMYFUNCTION("""COMPUTED_VALUE"""),16.36)</f>
        <v>16.36</v>
      </c>
      <c r="D2276" s="2">
        <f>IFERROR(__xludf.DUMMYFUNCTION("""COMPUTED_VALUE"""),15.98)</f>
        <v>15.98</v>
      </c>
      <c r="E2276" s="2">
        <f>IFERROR(__xludf.DUMMYFUNCTION("""COMPUTED_VALUE"""),16.34)</f>
        <v>16.34</v>
      </c>
      <c r="F2276" s="2">
        <f>IFERROR(__xludf.DUMMYFUNCTION("""COMPUTED_VALUE"""),9200521.0)</f>
        <v>9200521</v>
      </c>
    </row>
    <row r="2277">
      <c r="A2277" s="3">
        <f>IFERROR(__xludf.DUMMYFUNCTION("""COMPUTED_VALUE"""),43661.66666666667)</f>
        <v>43661.66667</v>
      </c>
      <c r="B2277" s="2">
        <f>IFERROR(__xludf.DUMMYFUNCTION("""COMPUTED_VALUE"""),16.53)</f>
        <v>16.53</v>
      </c>
      <c r="C2277" s="2">
        <f>IFERROR(__xludf.DUMMYFUNCTION("""COMPUTED_VALUE"""),16.96)</f>
        <v>16.96</v>
      </c>
      <c r="D2277" s="2">
        <f>IFERROR(__xludf.DUMMYFUNCTION("""COMPUTED_VALUE"""),16.32)</f>
        <v>16.32</v>
      </c>
      <c r="E2277" s="2">
        <f>IFERROR(__xludf.DUMMYFUNCTION("""COMPUTED_VALUE"""),16.9)</f>
        <v>16.9</v>
      </c>
      <c r="F2277" s="2">
        <f>IFERROR(__xludf.DUMMYFUNCTION("""COMPUTED_VALUE"""),1.1000092E7)</f>
        <v>11000092</v>
      </c>
    </row>
    <row r="2278">
      <c r="A2278" s="3">
        <f>IFERROR(__xludf.DUMMYFUNCTION("""COMPUTED_VALUE"""),43662.66666666667)</f>
        <v>43662.66667</v>
      </c>
      <c r="B2278" s="2">
        <f>IFERROR(__xludf.DUMMYFUNCTION("""COMPUTED_VALUE"""),16.62)</f>
        <v>16.62</v>
      </c>
      <c r="C2278" s="2">
        <f>IFERROR(__xludf.DUMMYFUNCTION("""COMPUTED_VALUE"""),16.9)</f>
        <v>16.9</v>
      </c>
      <c r="D2278" s="2">
        <f>IFERROR(__xludf.DUMMYFUNCTION("""COMPUTED_VALUE"""),16.53)</f>
        <v>16.53</v>
      </c>
      <c r="E2278" s="2">
        <f>IFERROR(__xludf.DUMMYFUNCTION("""COMPUTED_VALUE"""),16.83)</f>
        <v>16.83</v>
      </c>
      <c r="F2278" s="2">
        <f>IFERROR(__xludf.DUMMYFUNCTION("""COMPUTED_VALUE"""),8148989.0)</f>
        <v>8148989</v>
      </c>
    </row>
    <row r="2279">
      <c r="A2279" s="3">
        <f>IFERROR(__xludf.DUMMYFUNCTION("""COMPUTED_VALUE"""),43663.66666666667)</f>
        <v>43663.66667</v>
      </c>
      <c r="B2279" s="2">
        <f>IFERROR(__xludf.DUMMYFUNCTION("""COMPUTED_VALUE"""),17.04)</f>
        <v>17.04</v>
      </c>
      <c r="C2279" s="2">
        <f>IFERROR(__xludf.DUMMYFUNCTION("""COMPUTED_VALUE"""),17.22)</f>
        <v>17.22</v>
      </c>
      <c r="D2279" s="2">
        <f>IFERROR(__xludf.DUMMYFUNCTION("""COMPUTED_VALUE"""),16.89)</f>
        <v>16.89</v>
      </c>
      <c r="E2279" s="2">
        <f>IFERROR(__xludf.DUMMYFUNCTION("""COMPUTED_VALUE"""),16.99)</f>
        <v>16.99</v>
      </c>
      <c r="F2279" s="2">
        <f>IFERROR(__xludf.DUMMYFUNCTION("""COMPUTED_VALUE"""),9764727.0)</f>
        <v>9764727</v>
      </c>
    </row>
    <row r="2280">
      <c r="A2280" s="3">
        <f>IFERROR(__xludf.DUMMYFUNCTION("""COMPUTED_VALUE"""),43664.66666666667)</f>
        <v>43664.66667</v>
      </c>
      <c r="B2280" s="2">
        <f>IFERROR(__xludf.DUMMYFUNCTION("""COMPUTED_VALUE"""),17.0)</f>
        <v>17</v>
      </c>
      <c r="C2280" s="2">
        <f>IFERROR(__xludf.DUMMYFUNCTION("""COMPUTED_VALUE"""),17.05)</f>
        <v>17.05</v>
      </c>
      <c r="D2280" s="2">
        <f>IFERROR(__xludf.DUMMYFUNCTION("""COMPUTED_VALUE"""),16.79)</f>
        <v>16.79</v>
      </c>
      <c r="E2280" s="2">
        <f>IFERROR(__xludf.DUMMYFUNCTION("""COMPUTED_VALUE"""),16.9)</f>
        <v>16.9</v>
      </c>
      <c r="F2280" s="2">
        <f>IFERROR(__xludf.DUMMYFUNCTION("""COMPUTED_VALUE"""),4764483.0)</f>
        <v>4764483</v>
      </c>
    </row>
    <row r="2281">
      <c r="A2281" s="3">
        <f>IFERROR(__xludf.DUMMYFUNCTION("""COMPUTED_VALUE"""),43665.66666666667)</f>
        <v>43665.66667</v>
      </c>
      <c r="B2281" s="2">
        <f>IFERROR(__xludf.DUMMYFUNCTION("""COMPUTED_VALUE"""),17.05)</f>
        <v>17.05</v>
      </c>
      <c r="C2281" s="2">
        <f>IFERROR(__xludf.DUMMYFUNCTION("""COMPUTED_VALUE"""),17.33)</f>
        <v>17.33</v>
      </c>
      <c r="D2281" s="2">
        <f>IFERROR(__xludf.DUMMYFUNCTION("""COMPUTED_VALUE"""),16.97)</f>
        <v>16.97</v>
      </c>
      <c r="E2281" s="2">
        <f>IFERROR(__xludf.DUMMYFUNCTION("""COMPUTED_VALUE"""),17.21)</f>
        <v>17.21</v>
      </c>
      <c r="F2281" s="2">
        <f>IFERROR(__xludf.DUMMYFUNCTION("""COMPUTED_VALUE"""),7048410.0)</f>
        <v>7048410</v>
      </c>
    </row>
    <row r="2282">
      <c r="A2282" s="3">
        <f>IFERROR(__xludf.DUMMYFUNCTION("""COMPUTED_VALUE"""),43668.66666666667)</f>
        <v>43668.66667</v>
      </c>
      <c r="B2282" s="2">
        <f>IFERROR(__xludf.DUMMYFUNCTION("""COMPUTED_VALUE"""),17.25)</f>
        <v>17.25</v>
      </c>
      <c r="C2282" s="2">
        <f>IFERROR(__xludf.DUMMYFUNCTION("""COMPUTED_VALUE"""),17.48)</f>
        <v>17.48</v>
      </c>
      <c r="D2282" s="2">
        <f>IFERROR(__xludf.DUMMYFUNCTION("""COMPUTED_VALUE"""),16.95)</f>
        <v>16.95</v>
      </c>
      <c r="E2282" s="2">
        <f>IFERROR(__xludf.DUMMYFUNCTION("""COMPUTED_VALUE"""),17.05)</f>
        <v>17.05</v>
      </c>
      <c r="F2282" s="2">
        <f>IFERROR(__xludf.DUMMYFUNCTION("""COMPUTED_VALUE"""),6846273.0)</f>
        <v>6846273</v>
      </c>
    </row>
    <row r="2283">
      <c r="A2283" s="3">
        <f>IFERROR(__xludf.DUMMYFUNCTION("""COMPUTED_VALUE"""),43669.66666666667)</f>
        <v>43669.66667</v>
      </c>
      <c r="B2283" s="2">
        <f>IFERROR(__xludf.DUMMYFUNCTION("""COMPUTED_VALUE"""),17.11)</f>
        <v>17.11</v>
      </c>
      <c r="C2283" s="2">
        <f>IFERROR(__xludf.DUMMYFUNCTION("""COMPUTED_VALUE"""),17.37)</f>
        <v>17.37</v>
      </c>
      <c r="D2283" s="2">
        <f>IFERROR(__xludf.DUMMYFUNCTION("""COMPUTED_VALUE"""),16.97)</f>
        <v>16.97</v>
      </c>
      <c r="E2283" s="2">
        <f>IFERROR(__xludf.DUMMYFUNCTION("""COMPUTED_VALUE"""),17.34)</f>
        <v>17.34</v>
      </c>
      <c r="F2283" s="2">
        <f>IFERROR(__xludf.DUMMYFUNCTION("""COMPUTED_VALUE"""),5023121.0)</f>
        <v>5023121</v>
      </c>
    </row>
    <row r="2284">
      <c r="A2284" s="3">
        <f>IFERROR(__xludf.DUMMYFUNCTION("""COMPUTED_VALUE"""),43670.66666666667)</f>
        <v>43670.66667</v>
      </c>
      <c r="B2284" s="2">
        <f>IFERROR(__xludf.DUMMYFUNCTION("""COMPUTED_VALUE"""),17.28)</f>
        <v>17.28</v>
      </c>
      <c r="C2284" s="2">
        <f>IFERROR(__xludf.DUMMYFUNCTION("""COMPUTED_VALUE"""),17.74)</f>
        <v>17.74</v>
      </c>
      <c r="D2284" s="2">
        <f>IFERROR(__xludf.DUMMYFUNCTION("""COMPUTED_VALUE"""),17.21)</f>
        <v>17.21</v>
      </c>
      <c r="E2284" s="2">
        <f>IFERROR(__xludf.DUMMYFUNCTION("""COMPUTED_VALUE"""),17.66)</f>
        <v>17.66</v>
      </c>
      <c r="F2284" s="2">
        <f>IFERROR(__xludf.DUMMYFUNCTION("""COMPUTED_VALUE"""),1.1072835E7)</f>
        <v>11072835</v>
      </c>
    </row>
    <row r="2285">
      <c r="A2285" s="3">
        <f>IFERROR(__xludf.DUMMYFUNCTION("""COMPUTED_VALUE"""),43671.66666666667)</f>
        <v>43671.66667</v>
      </c>
      <c r="B2285" s="2">
        <f>IFERROR(__xludf.DUMMYFUNCTION("""COMPUTED_VALUE"""),15.57)</f>
        <v>15.57</v>
      </c>
      <c r="C2285" s="2">
        <f>IFERROR(__xludf.DUMMYFUNCTION("""COMPUTED_VALUE"""),15.63)</f>
        <v>15.63</v>
      </c>
      <c r="D2285" s="2">
        <f>IFERROR(__xludf.DUMMYFUNCTION("""COMPUTED_VALUE"""),15.04)</f>
        <v>15.04</v>
      </c>
      <c r="E2285" s="2">
        <f>IFERROR(__xludf.DUMMYFUNCTION("""COMPUTED_VALUE"""),15.25)</f>
        <v>15.25</v>
      </c>
      <c r="F2285" s="2">
        <f>IFERROR(__xludf.DUMMYFUNCTION("""COMPUTED_VALUE"""),2.2418252E7)</f>
        <v>22418252</v>
      </c>
    </row>
    <row r="2286">
      <c r="A2286" s="3">
        <f>IFERROR(__xludf.DUMMYFUNCTION("""COMPUTED_VALUE"""),43672.66666666667)</f>
        <v>43672.66667</v>
      </c>
      <c r="B2286" s="2">
        <f>IFERROR(__xludf.DUMMYFUNCTION("""COMPUTED_VALUE"""),15.13)</f>
        <v>15.13</v>
      </c>
      <c r="C2286" s="2">
        <f>IFERROR(__xludf.DUMMYFUNCTION("""COMPUTED_VALUE"""),15.35)</f>
        <v>15.35</v>
      </c>
      <c r="D2286" s="2">
        <f>IFERROR(__xludf.DUMMYFUNCTION("""COMPUTED_VALUE"""),14.82)</f>
        <v>14.82</v>
      </c>
      <c r="E2286" s="2">
        <f>IFERROR(__xludf.DUMMYFUNCTION("""COMPUTED_VALUE"""),15.2)</f>
        <v>15.2</v>
      </c>
      <c r="F2286" s="2">
        <f>IFERROR(__xludf.DUMMYFUNCTION("""COMPUTED_VALUE"""),1.0027697E7)</f>
        <v>10027697</v>
      </c>
    </row>
    <row r="2287">
      <c r="A2287" s="3">
        <f>IFERROR(__xludf.DUMMYFUNCTION("""COMPUTED_VALUE"""),43675.66666666667)</f>
        <v>43675.66667</v>
      </c>
      <c r="B2287" s="2">
        <f>IFERROR(__xludf.DUMMYFUNCTION("""COMPUTED_VALUE"""),15.14)</f>
        <v>15.14</v>
      </c>
      <c r="C2287" s="2">
        <f>IFERROR(__xludf.DUMMYFUNCTION("""COMPUTED_VALUE"""),15.73)</f>
        <v>15.73</v>
      </c>
      <c r="D2287" s="2">
        <f>IFERROR(__xludf.DUMMYFUNCTION("""COMPUTED_VALUE"""),15.07)</f>
        <v>15.07</v>
      </c>
      <c r="E2287" s="2">
        <f>IFERROR(__xludf.DUMMYFUNCTION("""COMPUTED_VALUE"""),15.72)</f>
        <v>15.72</v>
      </c>
      <c r="F2287" s="2">
        <f>IFERROR(__xludf.DUMMYFUNCTION("""COMPUTED_VALUE"""),9273331.0)</f>
        <v>9273331</v>
      </c>
    </row>
    <row r="2288">
      <c r="A2288" s="3">
        <f>IFERROR(__xludf.DUMMYFUNCTION("""COMPUTED_VALUE"""),43676.66666666667)</f>
        <v>43676.66667</v>
      </c>
      <c r="B2288" s="2">
        <f>IFERROR(__xludf.DUMMYFUNCTION("""COMPUTED_VALUE"""),15.53)</f>
        <v>15.53</v>
      </c>
      <c r="C2288" s="2">
        <f>IFERROR(__xludf.DUMMYFUNCTION("""COMPUTED_VALUE"""),16.22)</f>
        <v>16.22</v>
      </c>
      <c r="D2288" s="2">
        <f>IFERROR(__xludf.DUMMYFUNCTION("""COMPUTED_VALUE"""),15.48)</f>
        <v>15.48</v>
      </c>
      <c r="E2288" s="2">
        <f>IFERROR(__xludf.DUMMYFUNCTION("""COMPUTED_VALUE"""),16.15)</f>
        <v>16.15</v>
      </c>
      <c r="F2288" s="2">
        <f>IFERROR(__xludf.DUMMYFUNCTION("""COMPUTED_VALUE"""),8109014.0)</f>
        <v>8109014</v>
      </c>
    </row>
    <row r="2289">
      <c r="A2289" s="3">
        <f>IFERROR(__xludf.DUMMYFUNCTION("""COMPUTED_VALUE"""),43677.66666666667)</f>
        <v>43677.66667</v>
      </c>
      <c r="B2289" s="2">
        <f>IFERROR(__xludf.DUMMYFUNCTION("""COMPUTED_VALUE"""),16.2)</f>
        <v>16.2</v>
      </c>
      <c r="C2289" s="2">
        <f>IFERROR(__xludf.DUMMYFUNCTION("""COMPUTED_VALUE"""),16.45)</f>
        <v>16.45</v>
      </c>
      <c r="D2289" s="2">
        <f>IFERROR(__xludf.DUMMYFUNCTION("""COMPUTED_VALUE"""),15.78)</f>
        <v>15.78</v>
      </c>
      <c r="E2289" s="2">
        <f>IFERROR(__xludf.DUMMYFUNCTION("""COMPUTED_VALUE"""),16.11)</f>
        <v>16.11</v>
      </c>
      <c r="F2289" s="2">
        <f>IFERROR(__xludf.DUMMYFUNCTION("""COMPUTED_VALUE"""),9178208.0)</f>
        <v>9178208</v>
      </c>
    </row>
    <row r="2290">
      <c r="A2290" s="3">
        <f>IFERROR(__xludf.DUMMYFUNCTION("""COMPUTED_VALUE"""),43678.66666666667)</f>
        <v>43678.66667</v>
      </c>
      <c r="B2290" s="2">
        <f>IFERROR(__xludf.DUMMYFUNCTION("""COMPUTED_VALUE"""),16.18)</f>
        <v>16.18</v>
      </c>
      <c r="C2290" s="2">
        <f>IFERROR(__xludf.DUMMYFUNCTION("""COMPUTED_VALUE"""),16.3)</f>
        <v>16.3</v>
      </c>
      <c r="D2290" s="2">
        <f>IFERROR(__xludf.DUMMYFUNCTION("""COMPUTED_VALUE"""),15.45)</f>
        <v>15.45</v>
      </c>
      <c r="E2290" s="2">
        <f>IFERROR(__xludf.DUMMYFUNCTION("""COMPUTED_VALUE"""),15.59)</f>
        <v>15.59</v>
      </c>
      <c r="F2290" s="2">
        <f>IFERROR(__xludf.DUMMYFUNCTION("""COMPUTED_VALUE"""),8259516.0)</f>
        <v>8259516</v>
      </c>
    </row>
    <row r="2291">
      <c r="A2291" s="3">
        <f>IFERROR(__xludf.DUMMYFUNCTION("""COMPUTED_VALUE"""),43679.66666666667)</f>
        <v>43679.66667</v>
      </c>
      <c r="B2291" s="2">
        <f>IFERROR(__xludf.DUMMYFUNCTION("""COMPUTED_VALUE"""),15.42)</f>
        <v>15.42</v>
      </c>
      <c r="C2291" s="2">
        <f>IFERROR(__xludf.DUMMYFUNCTION("""COMPUTED_VALUE"""),15.75)</f>
        <v>15.75</v>
      </c>
      <c r="D2291" s="2">
        <f>IFERROR(__xludf.DUMMYFUNCTION("""COMPUTED_VALUE"""),15.28)</f>
        <v>15.28</v>
      </c>
      <c r="E2291" s="2">
        <f>IFERROR(__xludf.DUMMYFUNCTION("""COMPUTED_VALUE"""),15.62)</f>
        <v>15.62</v>
      </c>
      <c r="F2291" s="2">
        <f>IFERROR(__xludf.DUMMYFUNCTION("""COMPUTED_VALUE"""),6136481.0)</f>
        <v>6136481</v>
      </c>
    </row>
    <row r="2292">
      <c r="A2292" s="3">
        <f>IFERROR(__xludf.DUMMYFUNCTION("""COMPUTED_VALUE"""),43682.66666666667)</f>
        <v>43682.66667</v>
      </c>
      <c r="B2292" s="2">
        <f>IFERROR(__xludf.DUMMYFUNCTION("""COMPUTED_VALUE"""),15.31)</f>
        <v>15.31</v>
      </c>
      <c r="C2292" s="2">
        <f>IFERROR(__xludf.DUMMYFUNCTION("""COMPUTED_VALUE"""),15.42)</f>
        <v>15.42</v>
      </c>
      <c r="D2292" s="2">
        <f>IFERROR(__xludf.DUMMYFUNCTION("""COMPUTED_VALUE"""),15.05)</f>
        <v>15.05</v>
      </c>
      <c r="E2292" s="2">
        <f>IFERROR(__xludf.DUMMYFUNCTION("""COMPUTED_VALUE"""),15.22)</f>
        <v>15.22</v>
      </c>
      <c r="F2292" s="2">
        <f>IFERROR(__xludf.DUMMYFUNCTION("""COMPUTED_VALUE"""),7028279.0)</f>
        <v>7028279</v>
      </c>
    </row>
    <row r="2293">
      <c r="A2293" s="3">
        <f>IFERROR(__xludf.DUMMYFUNCTION("""COMPUTED_VALUE"""),43683.66666666667)</f>
        <v>43683.66667</v>
      </c>
      <c r="B2293" s="2">
        <f>IFERROR(__xludf.DUMMYFUNCTION("""COMPUTED_VALUE"""),15.46)</f>
        <v>15.46</v>
      </c>
      <c r="C2293" s="2">
        <f>IFERROR(__xludf.DUMMYFUNCTION("""COMPUTED_VALUE"""),15.5)</f>
        <v>15.5</v>
      </c>
      <c r="D2293" s="2">
        <f>IFERROR(__xludf.DUMMYFUNCTION("""COMPUTED_VALUE"""),15.05)</f>
        <v>15.05</v>
      </c>
      <c r="E2293" s="2">
        <f>IFERROR(__xludf.DUMMYFUNCTION("""COMPUTED_VALUE"""),15.38)</f>
        <v>15.38</v>
      </c>
      <c r="F2293" s="2">
        <f>IFERROR(__xludf.DUMMYFUNCTION("""COMPUTED_VALUE"""),5564200.0)</f>
        <v>5564200</v>
      </c>
    </row>
    <row r="2294">
      <c r="A2294" s="3">
        <f>IFERROR(__xludf.DUMMYFUNCTION("""COMPUTED_VALUE"""),43684.66666666667)</f>
        <v>43684.66667</v>
      </c>
      <c r="B2294" s="2">
        <f>IFERROR(__xludf.DUMMYFUNCTION("""COMPUTED_VALUE"""),15.1)</f>
        <v>15.1</v>
      </c>
      <c r="C2294" s="2">
        <f>IFERROR(__xludf.DUMMYFUNCTION("""COMPUTED_VALUE"""),15.57)</f>
        <v>15.57</v>
      </c>
      <c r="D2294" s="2">
        <f>IFERROR(__xludf.DUMMYFUNCTION("""COMPUTED_VALUE"""),15.05)</f>
        <v>15.05</v>
      </c>
      <c r="E2294" s="2">
        <f>IFERROR(__xludf.DUMMYFUNCTION("""COMPUTED_VALUE"""),15.56)</f>
        <v>15.56</v>
      </c>
      <c r="F2294" s="2">
        <f>IFERROR(__xludf.DUMMYFUNCTION("""COMPUTED_VALUE"""),4776500.0)</f>
        <v>4776500</v>
      </c>
    </row>
    <row r="2295">
      <c r="A2295" s="3">
        <f>IFERROR(__xludf.DUMMYFUNCTION("""COMPUTED_VALUE"""),43685.66666666667)</f>
        <v>43685.66667</v>
      </c>
      <c r="B2295" s="2">
        <f>IFERROR(__xludf.DUMMYFUNCTION("""COMPUTED_VALUE"""),15.63)</f>
        <v>15.63</v>
      </c>
      <c r="C2295" s="2">
        <f>IFERROR(__xludf.DUMMYFUNCTION("""COMPUTED_VALUE"""),15.99)</f>
        <v>15.99</v>
      </c>
      <c r="D2295" s="2">
        <f>IFERROR(__xludf.DUMMYFUNCTION("""COMPUTED_VALUE"""),15.51)</f>
        <v>15.51</v>
      </c>
      <c r="E2295" s="2">
        <f>IFERROR(__xludf.DUMMYFUNCTION("""COMPUTED_VALUE"""),15.89)</f>
        <v>15.89</v>
      </c>
      <c r="F2295" s="2">
        <f>IFERROR(__xludf.DUMMYFUNCTION("""COMPUTED_VALUE"""),5274349.0)</f>
        <v>5274349</v>
      </c>
    </row>
    <row r="2296">
      <c r="A2296" s="3">
        <f>IFERROR(__xludf.DUMMYFUNCTION("""COMPUTED_VALUE"""),43686.66666666667)</f>
        <v>43686.66667</v>
      </c>
      <c r="B2296" s="2">
        <f>IFERROR(__xludf.DUMMYFUNCTION("""COMPUTED_VALUE"""),15.74)</f>
        <v>15.74</v>
      </c>
      <c r="C2296" s="2">
        <f>IFERROR(__xludf.DUMMYFUNCTION("""COMPUTED_VALUE"""),15.93)</f>
        <v>15.93</v>
      </c>
      <c r="D2296" s="2">
        <f>IFERROR(__xludf.DUMMYFUNCTION("""COMPUTED_VALUE"""),15.59)</f>
        <v>15.59</v>
      </c>
      <c r="E2296" s="2">
        <f>IFERROR(__xludf.DUMMYFUNCTION("""COMPUTED_VALUE"""),15.67)</f>
        <v>15.67</v>
      </c>
      <c r="F2296" s="2">
        <f>IFERROR(__xludf.DUMMYFUNCTION("""COMPUTED_VALUE"""),3898244.0)</f>
        <v>3898244</v>
      </c>
    </row>
    <row r="2297">
      <c r="A2297" s="3">
        <f>IFERROR(__xludf.DUMMYFUNCTION("""COMPUTED_VALUE"""),43689.66666666667)</f>
        <v>43689.66667</v>
      </c>
      <c r="B2297" s="2">
        <f>IFERROR(__xludf.DUMMYFUNCTION("""COMPUTED_VALUE"""),15.53)</f>
        <v>15.53</v>
      </c>
      <c r="C2297" s="2">
        <f>IFERROR(__xludf.DUMMYFUNCTION("""COMPUTED_VALUE"""),15.72)</f>
        <v>15.72</v>
      </c>
      <c r="D2297" s="2">
        <f>IFERROR(__xludf.DUMMYFUNCTION("""COMPUTED_VALUE"""),15.25)</f>
        <v>15.25</v>
      </c>
      <c r="E2297" s="2">
        <f>IFERROR(__xludf.DUMMYFUNCTION("""COMPUTED_VALUE"""),15.27)</f>
        <v>15.27</v>
      </c>
      <c r="F2297" s="2">
        <f>IFERROR(__xludf.DUMMYFUNCTION("""COMPUTED_VALUE"""),4663937.0)</f>
        <v>4663937</v>
      </c>
    </row>
    <row r="2298">
      <c r="A2298" s="3">
        <f>IFERROR(__xludf.DUMMYFUNCTION("""COMPUTED_VALUE"""),43690.66666666667)</f>
        <v>43690.66667</v>
      </c>
      <c r="B2298" s="2">
        <f>IFERROR(__xludf.DUMMYFUNCTION("""COMPUTED_VALUE"""),15.25)</f>
        <v>15.25</v>
      </c>
      <c r="C2298" s="2">
        <f>IFERROR(__xludf.DUMMYFUNCTION("""COMPUTED_VALUE"""),15.73)</f>
        <v>15.73</v>
      </c>
      <c r="D2298" s="2">
        <f>IFERROR(__xludf.DUMMYFUNCTION("""COMPUTED_VALUE"""),15.17)</f>
        <v>15.17</v>
      </c>
      <c r="E2298" s="2">
        <f>IFERROR(__xludf.DUMMYFUNCTION("""COMPUTED_VALUE"""),15.67)</f>
        <v>15.67</v>
      </c>
      <c r="F2298" s="2">
        <f>IFERROR(__xludf.DUMMYFUNCTION("""COMPUTED_VALUE"""),4868998.0)</f>
        <v>4868998</v>
      </c>
    </row>
    <row r="2299">
      <c r="A2299" s="3">
        <f>IFERROR(__xludf.DUMMYFUNCTION("""COMPUTED_VALUE"""),43691.66666666667)</f>
        <v>43691.66667</v>
      </c>
      <c r="B2299" s="2">
        <f>IFERROR(__xludf.DUMMYFUNCTION("""COMPUTED_VALUE"""),15.41)</f>
        <v>15.41</v>
      </c>
      <c r="C2299" s="2">
        <f>IFERROR(__xludf.DUMMYFUNCTION("""COMPUTED_VALUE"""),15.43)</f>
        <v>15.43</v>
      </c>
      <c r="D2299" s="2">
        <f>IFERROR(__xludf.DUMMYFUNCTION("""COMPUTED_VALUE"""),14.45)</f>
        <v>14.45</v>
      </c>
      <c r="E2299" s="2">
        <f>IFERROR(__xludf.DUMMYFUNCTION("""COMPUTED_VALUE"""),14.64)</f>
        <v>14.64</v>
      </c>
      <c r="F2299" s="2">
        <f>IFERROR(__xludf.DUMMYFUNCTION("""COMPUTED_VALUE"""),9562591.0)</f>
        <v>9562591</v>
      </c>
    </row>
    <row r="2300">
      <c r="A2300" s="3">
        <f>IFERROR(__xludf.DUMMYFUNCTION("""COMPUTED_VALUE"""),43692.66666666667)</f>
        <v>43692.66667</v>
      </c>
      <c r="B2300" s="2">
        <f>IFERROR(__xludf.DUMMYFUNCTION("""COMPUTED_VALUE"""),14.72)</f>
        <v>14.72</v>
      </c>
      <c r="C2300" s="2">
        <f>IFERROR(__xludf.DUMMYFUNCTION("""COMPUTED_VALUE"""),14.77)</f>
        <v>14.77</v>
      </c>
      <c r="D2300" s="2">
        <f>IFERROR(__xludf.DUMMYFUNCTION("""COMPUTED_VALUE"""),14.1)</f>
        <v>14.1</v>
      </c>
      <c r="E2300" s="2">
        <f>IFERROR(__xludf.DUMMYFUNCTION("""COMPUTED_VALUE"""),14.38)</f>
        <v>14.38</v>
      </c>
      <c r="F2300" s="2">
        <f>IFERROR(__xludf.DUMMYFUNCTION("""COMPUTED_VALUE"""),8231952.0)</f>
        <v>8231952</v>
      </c>
    </row>
    <row r="2301">
      <c r="A2301" s="3">
        <f>IFERROR(__xludf.DUMMYFUNCTION("""COMPUTED_VALUE"""),43693.66666666667)</f>
        <v>43693.66667</v>
      </c>
      <c r="B2301" s="2">
        <f>IFERROR(__xludf.DUMMYFUNCTION("""COMPUTED_VALUE"""),14.44)</f>
        <v>14.44</v>
      </c>
      <c r="C2301" s="2">
        <f>IFERROR(__xludf.DUMMYFUNCTION("""COMPUTED_VALUE"""),14.82)</f>
        <v>14.82</v>
      </c>
      <c r="D2301" s="2">
        <f>IFERROR(__xludf.DUMMYFUNCTION("""COMPUTED_VALUE"""),14.4)</f>
        <v>14.4</v>
      </c>
      <c r="E2301" s="2">
        <f>IFERROR(__xludf.DUMMYFUNCTION("""COMPUTED_VALUE"""),14.66)</f>
        <v>14.66</v>
      </c>
      <c r="F2301" s="2">
        <f>IFERROR(__xludf.DUMMYFUNCTION("""COMPUTED_VALUE"""),5207376.0)</f>
        <v>5207376</v>
      </c>
    </row>
    <row r="2302">
      <c r="A2302" s="3">
        <f>IFERROR(__xludf.DUMMYFUNCTION("""COMPUTED_VALUE"""),43696.66666666667)</f>
        <v>43696.66667</v>
      </c>
      <c r="B2302" s="2">
        <f>IFERROR(__xludf.DUMMYFUNCTION("""COMPUTED_VALUE"""),14.95)</f>
        <v>14.95</v>
      </c>
      <c r="C2302" s="2">
        <f>IFERROR(__xludf.DUMMYFUNCTION("""COMPUTED_VALUE"""),15.19)</f>
        <v>15.19</v>
      </c>
      <c r="D2302" s="2">
        <f>IFERROR(__xludf.DUMMYFUNCTION("""COMPUTED_VALUE"""),14.78)</f>
        <v>14.78</v>
      </c>
      <c r="E2302" s="2">
        <f>IFERROR(__xludf.DUMMYFUNCTION("""COMPUTED_VALUE"""),15.12)</f>
        <v>15.12</v>
      </c>
      <c r="F2302" s="2">
        <f>IFERROR(__xludf.DUMMYFUNCTION("""COMPUTED_VALUE"""),5311748.0)</f>
        <v>5311748</v>
      </c>
    </row>
    <row r="2303">
      <c r="A2303" s="3">
        <f>IFERROR(__xludf.DUMMYFUNCTION("""COMPUTED_VALUE"""),43697.66666666667)</f>
        <v>43697.66667</v>
      </c>
      <c r="B2303" s="2">
        <f>IFERROR(__xludf.DUMMYFUNCTION("""COMPUTED_VALUE"""),15.17)</f>
        <v>15.17</v>
      </c>
      <c r="C2303" s="2">
        <f>IFERROR(__xludf.DUMMYFUNCTION("""COMPUTED_VALUE"""),15.27)</f>
        <v>15.27</v>
      </c>
      <c r="D2303" s="2">
        <f>IFERROR(__xludf.DUMMYFUNCTION("""COMPUTED_VALUE"""),14.97)</f>
        <v>14.97</v>
      </c>
      <c r="E2303" s="2">
        <f>IFERROR(__xludf.DUMMYFUNCTION("""COMPUTED_VALUE"""),15.06)</f>
        <v>15.06</v>
      </c>
      <c r="F2303" s="2">
        <f>IFERROR(__xludf.DUMMYFUNCTION("""COMPUTED_VALUE"""),4170527.0)</f>
        <v>4170527</v>
      </c>
    </row>
    <row r="2304">
      <c r="A2304" s="3">
        <f>IFERROR(__xludf.DUMMYFUNCTION("""COMPUTED_VALUE"""),43698.66666666667)</f>
        <v>43698.66667</v>
      </c>
      <c r="B2304" s="2">
        <f>IFERROR(__xludf.DUMMYFUNCTION("""COMPUTED_VALUE"""),14.8)</f>
        <v>14.8</v>
      </c>
      <c r="C2304" s="2">
        <f>IFERROR(__xludf.DUMMYFUNCTION("""COMPUTED_VALUE"""),14.88)</f>
        <v>14.88</v>
      </c>
      <c r="D2304" s="2">
        <f>IFERROR(__xludf.DUMMYFUNCTION("""COMPUTED_VALUE"""),14.51)</f>
        <v>14.51</v>
      </c>
      <c r="E2304" s="2">
        <f>IFERROR(__xludf.DUMMYFUNCTION("""COMPUTED_VALUE"""),14.72)</f>
        <v>14.72</v>
      </c>
      <c r="F2304" s="2">
        <f>IFERROR(__xludf.DUMMYFUNCTION("""COMPUTED_VALUE"""),7799744.0)</f>
        <v>7799744</v>
      </c>
    </row>
    <row r="2305">
      <c r="A2305" s="3">
        <f>IFERROR(__xludf.DUMMYFUNCTION("""COMPUTED_VALUE"""),43699.66666666667)</f>
        <v>43699.66667</v>
      </c>
      <c r="B2305" s="2">
        <f>IFERROR(__xludf.DUMMYFUNCTION("""COMPUTED_VALUE"""),14.85)</f>
        <v>14.85</v>
      </c>
      <c r="C2305" s="2">
        <f>IFERROR(__xludf.DUMMYFUNCTION("""COMPUTED_VALUE"""),15.03)</f>
        <v>15.03</v>
      </c>
      <c r="D2305" s="2">
        <f>IFERROR(__xludf.DUMMYFUNCTION("""COMPUTED_VALUE"""),14.55)</f>
        <v>14.55</v>
      </c>
      <c r="E2305" s="2">
        <f>IFERROR(__xludf.DUMMYFUNCTION("""COMPUTED_VALUE"""),14.81)</f>
        <v>14.81</v>
      </c>
      <c r="F2305" s="2">
        <f>IFERROR(__xludf.DUMMYFUNCTION("""COMPUTED_VALUE"""),6564964.0)</f>
        <v>6564964</v>
      </c>
    </row>
    <row r="2306">
      <c r="A2306" s="3">
        <f>IFERROR(__xludf.DUMMYFUNCTION("""COMPUTED_VALUE"""),43700.66666666667)</f>
        <v>43700.66667</v>
      </c>
      <c r="B2306" s="2">
        <f>IFERROR(__xludf.DUMMYFUNCTION("""COMPUTED_VALUE"""),14.66)</f>
        <v>14.66</v>
      </c>
      <c r="C2306" s="2">
        <f>IFERROR(__xludf.DUMMYFUNCTION("""COMPUTED_VALUE"""),14.74)</f>
        <v>14.74</v>
      </c>
      <c r="D2306" s="2">
        <f>IFERROR(__xludf.DUMMYFUNCTION("""COMPUTED_VALUE"""),14.07)</f>
        <v>14.07</v>
      </c>
      <c r="E2306" s="2">
        <f>IFERROR(__xludf.DUMMYFUNCTION("""COMPUTED_VALUE"""),14.09)</f>
        <v>14.09</v>
      </c>
      <c r="F2306" s="2">
        <f>IFERROR(__xludf.DUMMYFUNCTION("""COMPUTED_VALUE"""),8559704.0)</f>
        <v>8559704</v>
      </c>
    </row>
    <row r="2307">
      <c r="A2307" s="3">
        <f>IFERROR(__xludf.DUMMYFUNCTION("""COMPUTED_VALUE"""),43703.66666666667)</f>
        <v>43703.66667</v>
      </c>
      <c r="B2307" s="2">
        <f>IFERROR(__xludf.DUMMYFUNCTION("""COMPUTED_VALUE"""),14.24)</f>
        <v>14.24</v>
      </c>
      <c r="C2307" s="2">
        <f>IFERROR(__xludf.DUMMYFUNCTION("""COMPUTED_VALUE"""),14.33)</f>
        <v>14.33</v>
      </c>
      <c r="D2307" s="2">
        <f>IFERROR(__xludf.DUMMYFUNCTION("""COMPUTED_VALUE"""),14.1)</f>
        <v>14.1</v>
      </c>
      <c r="E2307" s="2">
        <f>IFERROR(__xludf.DUMMYFUNCTION("""COMPUTED_VALUE"""),14.33)</f>
        <v>14.33</v>
      </c>
      <c r="F2307" s="2">
        <f>IFERROR(__xludf.DUMMYFUNCTION("""COMPUTED_VALUE"""),5054414.0)</f>
        <v>5054414</v>
      </c>
    </row>
    <row r="2308">
      <c r="A2308" s="3">
        <f>IFERROR(__xludf.DUMMYFUNCTION("""COMPUTED_VALUE"""),43704.66666666667)</f>
        <v>43704.66667</v>
      </c>
      <c r="B2308" s="2">
        <f>IFERROR(__xludf.DUMMYFUNCTION("""COMPUTED_VALUE"""),14.38)</f>
        <v>14.38</v>
      </c>
      <c r="C2308" s="2">
        <f>IFERROR(__xludf.DUMMYFUNCTION("""COMPUTED_VALUE"""),14.59)</f>
        <v>14.59</v>
      </c>
      <c r="D2308" s="2">
        <f>IFERROR(__xludf.DUMMYFUNCTION("""COMPUTED_VALUE"""),14.14)</f>
        <v>14.14</v>
      </c>
      <c r="E2308" s="2">
        <f>IFERROR(__xludf.DUMMYFUNCTION("""COMPUTED_VALUE"""),14.27)</f>
        <v>14.27</v>
      </c>
      <c r="F2308" s="2">
        <f>IFERROR(__xludf.DUMMYFUNCTION("""COMPUTED_VALUE"""),5420727.0)</f>
        <v>5420727</v>
      </c>
    </row>
    <row r="2309">
      <c r="A2309" s="3">
        <f>IFERROR(__xludf.DUMMYFUNCTION("""COMPUTED_VALUE"""),43705.66666666667)</f>
        <v>43705.66667</v>
      </c>
      <c r="B2309" s="2">
        <f>IFERROR(__xludf.DUMMYFUNCTION("""COMPUTED_VALUE"""),14.25)</f>
        <v>14.25</v>
      </c>
      <c r="C2309" s="2">
        <f>IFERROR(__xludf.DUMMYFUNCTION("""COMPUTED_VALUE"""),14.48)</f>
        <v>14.48</v>
      </c>
      <c r="D2309" s="2">
        <f>IFERROR(__xludf.DUMMYFUNCTION("""COMPUTED_VALUE"""),14.15)</f>
        <v>14.15</v>
      </c>
      <c r="E2309" s="2">
        <f>IFERROR(__xludf.DUMMYFUNCTION("""COMPUTED_VALUE"""),14.37)</f>
        <v>14.37</v>
      </c>
      <c r="F2309" s="2">
        <f>IFERROR(__xludf.DUMMYFUNCTION("""COMPUTED_VALUE"""),3238625.0)</f>
        <v>3238625</v>
      </c>
    </row>
    <row r="2310">
      <c r="A2310" s="3">
        <f>IFERROR(__xludf.DUMMYFUNCTION("""COMPUTED_VALUE"""),43706.66666666667)</f>
        <v>43706.66667</v>
      </c>
      <c r="B2310" s="2">
        <f>IFERROR(__xludf.DUMMYFUNCTION("""COMPUTED_VALUE"""),14.6)</f>
        <v>14.6</v>
      </c>
      <c r="C2310" s="2">
        <f>IFERROR(__xludf.DUMMYFUNCTION("""COMPUTED_VALUE"""),14.89)</f>
        <v>14.89</v>
      </c>
      <c r="D2310" s="2">
        <f>IFERROR(__xludf.DUMMYFUNCTION("""COMPUTED_VALUE"""),14.53)</f>
        <v>14.53</v>
      </c>
      <c r="E2310" s="2">
        <f>IFERROR(__xludf.DUMMYFUNCTION("""COMPUTED_VALUE"""),14.78)</f>
        <v>14.78</v>
      </c>
      <c r="F2310" s="2">
        <f>IFERROR(__xludf.DUMMYFUNCTION("""COMPUTED_VALUE"""),5183104.0)</f>
        <v>5183104</v>
      </c>
    </row>
    <row r="2311">
      <c r="A2311" s="3">
        <f>IFERROR(__xludf.DUMMYFUNCTION("""COMPUTED_VALUE"""),43707.66666666667)</f>
        <v>43707.66667</v>
      </c>
      <c r="B2311" s="2">
        <f>IFERROR(__xludf.DUMMYFUNCTION("""COMPUTED_VALUE"""),15.28)</f>
        <v>15.28</v>
      </c>
      <c r="C2311" s="2">
        <f>IFERROR(__xludf.DUMMYFUNCTION("""COMPUTED_VALUE"""),15.5)</f>
        <v>15.5</v>
      </c>
      <c r="D2311" s="2">
        <f>IFERROR(__xludf.DUMMYFUNCTION("""COMPUTED_VALUE"""),14.95)</f>
        <v>14.95</v>
      </c>
      <c r="E2311" s="2">
        <f>IFERROR(__xludf.DUMMYFUNCTION("""COMPUTED_VALUE"""),15.04)</f>
        <v>15.04</v>
      </c>
      <c r="F2311" s="2">
        <f>IFERROR(__xludf.DUMMYFUNCTION("""COMPUTED_VALUE"""),9327775.0)</f>
        <v>9327775</v>
      </c>
    </row>
    <row r="2312">
      <c r="A2312" s="3">
        <f>IFERROR(__xludf.DUMMYFUNCTION("""COMPUTED_VALUE"""),43711.66666666667)</f>
        <v>43711.66667</v>
      </c>
      <c r="B2312" s="2">
        <f>IFERROR(__xludf.DUMMYFUNCTION("""COMPUTED_VALUE"""),14.94)</f>
        <v>14.94</v>
      </c>
      <c r="C2312" s="2">
        <f>IFERROR(__xludf.DUMMYFUNCTION("""COMPUTED_VALUE"""),15.26)</f>
        <v>15.26</v>
      </c>
      <c r="D2312" s="2">
        <f>IFERROR(__xludf.DUMMYFUNCTION("""COMPUTED_VALUE"""),14.88)</f>
        <v>14.88</v>
      </c>
      <c r="E2312" s="2">
        <f>IFERROR(__xludf.DUMMYFUNCTION("""COMPUTED_VALUE"""),15.0)</f>
        <v>15</v>
      </c>
      <c r="F2312" s="2">
        <f>IFERROR(__xludf.DUMMYFUNCTION("""COMPUTED_VALUE"""),5360546.0)</f>
        <v>5360546</v>
      </c>
    </row>
    <row r="2313">
      <c r="A2313" s="3">
        <f>IFERROR(__xludf.DUMMYFUNCTION("""COMPUTED_VALUE"""),43712.66666666667)</f>
        <v>43712.66667</v>
      </c>
      <c r="B2313" s="2">
        <f>IFERROR(__xludf.DUMMYFUNCTION("""COMPUTED_VALUE"""),15.13)</f>
        <v>15.13</v>
      </c>
      <c r="C2313" s="2">
        <f>IFERROR(__xludf.DUMMYFUNCTION("""COMPUTED_VALUE"""),15.23)</f>
        <v>15.23</v>
      </c>
      <c r="D2313" s="2">
        <f>IFERROR(__xludf.DUMMYFUNCTION("""COMPUTED_VALUE"""),14.61)</f>
        <v>14.61</v>
      </c>
      <c r="E2313" s="2">
        <f>IFERROR(__xludf.DUMMYFUNCTION("""COMPUTED_VALUE"""),14.71)</f>
        <v>14.71</v>
      </c>
      <c r="F2313" s="2">
        <f>IFERROR(__xludf.DUMMYFUNCTION("""COMPUTED_VALUE"""),5768696.0)</f>
        <v>5768696</v>
      </c>
    </row>
    <row r="2314">
      <c r="A2314" s="3">
        <f>IFERROR(__xludf.DUMMYFUNCTION("""COMPUTED_VALUE"""),43713.66666666667)</f>
        <v>43713.66667</v>
      </c>
      <c r="B2314" s="2">
        <f>IFERROR(__xludf.DUMMYFUNCTION("""COMPUTED_VALUE"""),14.83)</f>
        <v>14.83</v>
      </c>
      <c r="C2314" s="2">
        <f>IFERROR(__xludf.DUMMYFUNCTION("""COMPUTED_VALUE"""),15.32)</f>
        <v>15.32</v>
      </c>
      <c r="D2314" s="2">
        <f>IFERROR(__xludf.DUMMYFUNCTION("""COMPUTED_VALUE"""),14.72)</f>
        <v>14.72</v>
      </c>
      <c r="E2314" s="2">
        <f>IFERROR(__xludf.DUMMYFUNCTION("""COMPUTED_VALUE"""),15.31)</f>
        <v>15.31</v>
      </c>
      <c r="F2314" s="2">
        <f>IFERROR(__xludf.DUMMYFUNCTION("""COMPUTED_VALUE"""),7403322.0)</f>
        <v>7403322</v>
      </c>
    </row>
    <row r="2315">
      <c r="A2315" s="3">
        <f>IFERROR(__xludf.DUMMYFUNCTION("""COMPUTED_VALUE"""),43714.66666666667)</f>
        <v>43714.66667</v>
      </c>
      <c r="B2315" s="2">
        <f>IFERROR(__xludf.DUMMYFUNCTION("""COMPUTED_VALUE"""),15.15)</f>
        <v>15.15</v>
      </c>
      <c r="C2315" s="2">
        <f>IFERROR(__xludf.DUMMYFUNCTION("""COMPUTED_VALUE"""),15.31)</f>
        <v>15.31</v>
      </c>
      <c r="D2315" s="2">
        <f>IFERROR(__xludf.DUMMYFUNCTION("""COMPUTED_VALUE"""),15.01)</f>
        <v>15.01</v>
      </c>
      <c r="E2315" s="2">
        <f>IFERROR(__xludf.DUMMYFUNCTION("""COMPUTED_VALUE"""),15.16)</f>
        <v>15.16</v>
      </c>
      <c r="F2315" s="2">
        <f>IFERROR(__xludf.DUMMYFUNCTION("""COMPUTED_VALUE"""),4189372.0)</f>
        <v>4189372</v>
      </c>
    </row>
    <row r="2316">
      <c r="A2316" s="3">
        <f>IFERROR(__xludf.DUMMYFUNCTION("""COMPUTED_VALUE"""),43717.66666666667)</f>
        <v>43717.66667</v>
      </c>
      <c r="B2316" s="2">
        <f>IFERROR(__xludf.DUMMYFUNCTION("""COMPUTED_VALUE"""),15.33)</f>
        <v>15.33</v>
      </c>
      <c r="C2316" s="2">
        <f>IFERROR(__xludf.DUMMYFUNCTION("""COMPUTED_VALUE"""),15.58)</f>
        <v>15.58</v>
      </c>
      <c r="D2316" s="2">
        <f>IFERROR(__xludf.DUMMYFUNCTION("""COMPUTED_VALUE"""),15.28)</f>
        <v>15.28</v>
      </c>
      <c r="E2316" s="2">
        <f>IFERROR(__xludf.DUMMYFUNCTION("""COMPUTED_VALUE"""),15.45)</f>
        <v>15.45</v>
      </c>
      <c r="F2316" s="2">
        <f>IFERROR(__xludf.DUMMYFUNCTION("""COMPUTED_VALUE"""),4802669.0)</f>
        <v>4802669</v>
      </c>
    </row>
    <row r="2317">
      <c r="A2317" s="3">
        <f>IFERROR(__xludf.DUMMYFUNCTION("""COMPUTED_VALUE"""),43718.66666666667)</f>
        <v>43718.66667</v>
      </c>
      <c r="B2317" s="2">
        <f>IFERROR(__xludf.DUMMYFUNCTION("""COMPUTED_VALUE"""),15.39)</f>
        <v>15.39</v>
      </c>
      <c r="C2317" s="2">
        <f>IFERROR(__xludf.DUMMYFUNCTION("""COMPUTED_VALUE"""),15.7)</f>
        <v>15.7</v>
      </c>
      <c r="D2317" s="2">
        <f>IFERROR(__xludf.DUMMYFUNCTION("""COMPUTED_VALUE"""),15.26)</f>
        <v>15.26</v>
      </c>
      <c r="E2317" s="2">
        <f>IFERROR(__xludf.DUMMYFUNCTION("""COMPUTED_VALUE"""),15.7)</f>
        <v>15.7</v>
      </c>
      <c r="F2317" s="2">
        <f>IFERROR(__xludf.DUMMYFUNCTION("""COMPUTED_VALUE"""),4883714.0)</f>
        <v>4883714</v>
      </c>
    </row>
    <row r="2318">
      <c r="A2318" s="3">
        <f>IFERROR(__xludf.DUMMYFUNCTION("""COMPUTED_VALUE"""),43719.66666666667)</f>
        <v>43719.66667</v>
      </c>
      <c r="B2318" s="2">
        <f>IFERROR(__xludf.DUMMYFUNCTION("""COMPUTED_VALUE"""),15.83)</f>
        <v>15.83</v>
      </c>
      <c r="C2318" s="2">
        <f>IFERROR(__xludf.DUMMYFUNCTION("""COMPUTED_VALUE"""),16.54)</f>
        <v>16.54</v>
      </c>
      <c r="D2318" s="2">
        <f>IFERROR(__xludf.DUMMYFUNCTION("""COMPUTED_VALUE"""),15.73)</f>
        <v>15.73</v>
      </c>
      <c r="E2318" s="2">
        <f>IFERROR(__xludf.DUMMYFUNCTION("""COMPUTED_VALUE"""),16.47)</f>
        <v>16.47</v>
      </c>
      <c r="F2318" s="2">
        <f>IFERROR(__xludf.DUMMYFUNCTION("""COMPUTED_VALUE"""),1.0042777E7)</f>
        <v>10042777</v>
      </c>
    </row>
    <row r="2319">
      <c r="A2319" s="3">
        <f>IFERROR(__xludf.DUMMYFUNCTION("""COMPUTED_VALUE"""),43720.66666666667)</f>
        <v>43720.66667</v>
      </c>
      <c r="B2319" s="2">
        <f>IFERROR(__xludf.DUMMYFUNCTION("""COMPUTED_VALUE"""),16.51)</f>
        <v>16.51</v>
      </c>
      <c r="C2319" s="2">
        <f>IFERROR(__xludf.DUMMYFUNCTION("""COMPUTED_VALUE"""),16.9)</f>
        <v>16.9</v>
      </c>
      <c r="D2319" s="2">
        <f>IFERROR(__xludf.DUMMYFUNCTION("""COMPUTED_VALUE"""),16.29)</f>
        <v>16.29</v>
      </c>
      <c r="E2319" s="2">
        <f>IFERROR(__xludf.DUMMYFUNCTION("""COMPUTED_VALUE"""),16.39)</f>
        <v>16.39</v>
      </c>
      <c r="F2319" s="2">
        <f>IFERROR(__xludf.DUMMYFUNCTION("""COMPUTED_VALUE"""),8581210.0)</f>
        <v>8581210</v>
      </c>
    </row>
    <row r="2320">
      <c r="A2320" s="3">
        <f>IFERROR(__xludf.DUMMYFUNCTION("""COMPUTED_VALUE"""),43721.66666666667)</f>
        <v>43721.66667</v>
      </c>
      <c r="B2320" s="2">
        <f>IFERROR(__xludf.DUMMYFUNCTION("""COMPUTED_VALUE"""),16.46)</f>
        <v>16.46</v>
      </c>
      <c r="C2320" s="2">
        <f>IFERROR(__xludf.DUMMYFUNCTION("""COMPUTED_VALUE"""),16.56)</f>
        <v>16.56</v>
      </c>
      <c r="D2320" s="2">
        <f>IFERROR(__xludf.DUMMYFUNCTION("""COMPUTED_VALUE"""),16.32)</f>
        <v>16.32</v>
      </c>
      <c r="E2320" s="2">
        <f>IFERROR(__xludf.DUMMYFUNCTION("""COMPUTED_VALUE"""),16.35)</f>
        <v>16.35</v>
      </c>
      <c r="F2320" s="2">
        <f>IFERROR(__xludf.DUMMYFUNCTION("""COMPUTED_VALUE"""),5313145.0)</f>
        <v>5313145</v>
      </c>
    </row>
    <row r="2321">
      <c r="A2321" s="3">
        <f>IFERROR(__xludf.DUMMYFUNCTION("""COMPUTED_VALUE"""),43724.66666666667)</f>
        <v>43724.66667</v>
      </c>
      <c r="B2321" s="2">
        <f>IFERROR(__xludf.DUMMYFUNCTION("""COMPUTED_VALUE"""),16.4)</f>
        <v>16.4</v>
      </c>
      <c r="C2321" s="2">
        <f>IFERROR(__xludf.DUMMYFUNCTION("""COMPUTED_VALUE"""),16.5)</f>
        <v>16.5</v>
      </c>
      <c r="D2321" s="2">
        <f>IFERROR(__xludf.DUMMYFUNCTION("""COMPUTED_VALUE"""),16.08)</f>
        <v>16.08</v>
      </c>
      <c r="E2321" s="2">
        <f>IFERROR(__xludf.DUMMYFUNCTION("""COMPUTED_VALUE"""),16.19)</f>
        <v>16.19</v>
      </c>
      <c r="F2321" s="2">
        <f>IFERROR(__xludf.DUMMYFUNCTION("""COMPUTED_VALUE"""),4728096.0)</f>
        <v>4728096</v>
      </c>
    </row>
    <row r="2322">
      <c r="A2322" s="3">
        <f>IFERROR(__xludf.DUMMYFUNCTION("""COMPUTED_VALUE"""),43725.66666666667)</f>
        <v>43725.66667</v>
      </c>
      <c r="B2322" s="2">
        <f>IFERROR(__xludf.DUMMYFUNCTION("""COMPUTED_VALUE"""),16.16)</f>
        <v>16.16</v>
      </c>
      <c r="C2322" s="2">
        <f>IFERROR(__xludf.DUMMYFUNCTION("""COMPUTED_VALUE"""),16.37)</f>
        <v>16.37</v>
      </c>
      <c r="D2322" s="2">
        <f>IFERROR(__xludf.DUMMYFUNCTION("""COMPUTED_VALUE"""),16.02)</f>
        <v>16.02</v>
      </c>
      <c r="E2322" s="2">
        <f>IFERROR(__xludf.DUMMYFUNCTION("""COMPUTED_VALUE"""),16.32)</f>
        <v>16.32</v>
      </c>
      <c r="F2322" s="2">
        <f>IFERROR(__xludf.DUMMYFUNCTION("""COMPUTED_VALUE"""),3946909.0)</f>
        <v>3946909</v>
      </c>
    </row>
    <row r="2323">
      <c r="A2323" s="3">
        <f>IFERROR(__xludf.DUMMYFUNCTION("""COMPUTED_VALUE"""),43726.66666666667)</f>
        <v>43726.66667</v>
      </c>
      <c r="B2323" s="2">
        <f>IFERROR(__xludf.DUMMYFUNCTION("""COMPUTED_VALUE"""),16.33)</f>
        <v>16.33</v>
      </c>
      <c r="C2323" s="2">
        <f>IFERROR(__xludf.DUMMYFUNCTION("""COMPUTED_VALUE"""),16.54)</f>
        <v>16.54</v>
      </c>
      <c r="D2323" s="2">
        <f>IFERROR(__xludf.DUMMYFUNCTION("""COMPUTED_VALUE"""),16.16)</f>
        <v>16.16</v>
      </c>
      <c r="E2323" s="2">
        <f>IFERROR(__xludf.DUMMYFUNCTION("""COMPUTED_VALUE"""),16.23)</f>
        <v>16.23</v>
      </c>
      <c r="F2323" s="2">
        <f>IFERROR(__xludf.DUMMYFUNCTION("""COMPUTED_VALUE"""),4228103.0)</f>
        <v>4228103</v>
      </c>
    </row>
    <row r="2324">
      <c r="A2324" s="3">
        <f>IFERROR(__xludf.DUMMYFUNCTION("""COMPUTED_VALUE"""),43727.66666666667)</f>
        <v>43727.66667</v>
      </c>
      <c r="B2324" s="2">
        <f>IFERROR(__xludf.DUMMYFUNCTION("""COMPUTED_VALUE"""),16.4)</f>
        <v>16.4</v>
      </c>
      <c r="C2324" s="2">
        <f>IFERROR(__xludf.DUMMYFUNCTION("""COMPUTED_VALUE"""),16.53)</f>
        <v>16.53</v>
      </c>
      <c r="D2324" s="2">
        <f>IFERROR(__xludf.DUMMYFUNCTION("""COMPUTED_VALUE"""),16.32)</f>
        <v>16.32</v>
      </c>
      <c r="E2324" s="2">
        <f>IFERROR(__xludf.DUMMYFUNCTION("""COMPUTED_VALUE"""),16.44)</f>
        <v>16.44</v>
      </c>
      <c r="F2324" s="2">
        <f>IFERROR(__xludf.DUMMYFUNCTION("""COMPUTED_VALUE"""),4883135.0)</f>
        <v>4883135</v>
      </c>
    </row>
    <row r="2325">
      <c r="A2325" s="3">
        <f>IFERROR(__xludf.DUMMYFUNCTION("""COMPUTED_VALUE"""),43728.66666666667)</f>
        <v>43728.66667</v>
      </c>
      <c r="B2325" s="2">
        <f>IFERROR(__xludf.DUMMYFUNCTION("""COMPUTED_VALUE"""),16.43)</f>
        <v>16.43</v>
      </c>
      <c r="C2325" s="2">
        <f>IFERROR(__xludf.DUMMYFUNCTION("""COMPUTED_VALUE"""),16.46)</f>
        <v>16.46</v>
      </c>
      <c r="D2325" s="2">
        <f>IFERROR(__xludf.DUMMYFUNCTION("""COMPUTED_VALUE"""),15.88)</f>
        <v>15.88</v>
      </c>
      <c r="E2325" s="2">
        <f>IFERROR(__xludf.DUMMYFUNCTION("""COMPUTED_VALUE"""),16.04)</f>
        <v>16.04</v>
      </c>
      <c r="F2325" s="2">
        <f>IFERROR(__xludf.DUMMYFUNCTION("""COMPUTED_VALUE"""),6506264.0)</f>
        <v>6506264</v>
      </c>
    </row>
    <row r="2326">
      <c r="A2326" s="3">
        <f>IFERROR(__xludf.DUMMYFUNCTION("""COMPUTED_VALUE"""),43731.66666666667)</f>
        <v>43731.66667</v>
      </c>
      <c r="B2326" s="2">
        <f>IFERROR(__xludf.DUMMYFUNCTION("""COMPUTED_VALUE"""),16.0)</f>
        <v>16</v>
      </c>
      <c r="C2326" s="2">
        <f>IFERROR(__xludf.DUMMYFUNCTION("""COMPUTED_VALUE"""),16.35)</f>
        <v>16.35</v>
      </c>
      <c r="D2326" s="2">
        <f>IFERROR(__xludf.DUMMYFUNCTION("""COMPUTED_VALUE"""),15.95)</f>
        <v>15.95</v>
      </c>
      <c r="E2326" s="2">
        <f>IFERROR(__xludf.DUMMYFUNCTION("""COMPUTED_VALUE"""),16.08)</f>
        <v>16.08</v>
      </c>
      <c r="F2326" s="2">
        <f>IFERROR(__xludf.DUMMYFUNCTION("""COMPUTED_VALUE"""),4391630.0)</f>
        <v>4391630</v>
      </c>
    </row>
    <row r="2327">
      <c r="A2327" s="3">
        <f>IFERROR(__xludf.DUMMYFUNCTION("""COMPUTED_VALUE"""),43732.66666666667)</f>
        <v>43732.66667</v>
      </c>
      <c r="B2327" s="2">
        <f>IFERROR(__xludf.DUMMYFUNCTION("""COMPUTED_VALUE"""),16.1)</f>
        <v>16.1</v>
      </c>
      <c r="C2327" s="2">
        <f>IFERROR(__xludf.DUMMYFUNCTION("""COMPUTED_VALUE"""),16.13)</f>
        <v>16.13</v>
      </c>
      <c r="D2327" s="2">
        <f>IFERROR(__xludf.DUMMYFUNCTION("""COMPUTED_VALUE"""),14.84)</f>
        <v>14.84</v>
      </c>
      <c r="E2327" s="2">
        <f>IFERROR(__xludf.DUMMYFUNCTION("""COMPUTED_VALUE"""),14.88)</f>
        <v>14.88</v>
      </c>
      <c r="F2327" s="2">
        <f>IFERROR(__xludf.DUMMYFUNCTION("""COMPUTED_VALUE"""),1.2941112E7)</f>
        <v>12941112</v>
      </c>
    </row>
    <row r="2328">
      <c r="A2328" s="3">
        <f>IFERROR(__xludf.DUMMYFUNCTION("""COMPUTED_VALUE"""),43733.66666666667)</f>
        <v>43733.66667</v>
      </c>
      <c r="B2328" s="2">
        <f>IFERROR(__xludf.DUMMYFUNCTION("""COMPUTED_VALUE"""),14.97)</f>
        <v>14.97</v>
      </c>
      <c r="C2328" s="2">
        <f>IFERROR(__xludf.DUMMYFUNCTION("""COMPUTED_VALUE"""),15.27)</f>
        <v>15.27</v>
      </c>
      <c r="D2328" s="2">
        <f>IFERROR(__xludf.DUMMYFUNCTION("""COMPUTED_VALUE"""),14.56)</f>
        <v>14.56</v>
      </c>
      <c r="E2328" s="2">
        <f>IFERROR(__xludf.DUMMYFUNCTION("""COMPUTED_VALUE"""),15.25)</f>
        <v>15.25</v>
      </c>
      <c r="F2328" s="2">
        <f>IFERROR(__xludf.DUMMYFUNCTION("""COMPUTED_VALUE"""),9444286.0)</f>
        <v>9444286</v>
      </c>
    </row>
    <row r="2329">
      <c r="A2329" s="3">
        <f>IFERROR(__xludf.DUMMYFUNCTION("""COMPUTED_VALUE"""),43734.66666666667)</f>
        <v>43734.66667</v>
      </c>
      <c r="B2329" s="2">
        <f>IFERROR(__xludf.DUMMYFUNCTION("""COMPUTED_VALUE"""),15.38)</f>
        <v>15.38</v>
      </c>
      <c r="C2329" s="2">
        <f>IFERROR(__xludf.DUMMYFUNCTION("""COMPUTED_VALUE"""),16.22)</f>
        <v>16.22</v>
      </c>
      <c r="D2329" s="2">
        <f>IFERROR(__xludf.DUMMYFUNCTION("""COMPUTED_VALUE"""),15.16)</f>
        <v>15.16</v>
      </c>
      <c r="E2329" s="2">
        <f>IFERROR(__xludf.DUMMYFUNCTION("""COMPUTED_VALUE"""),16.17)</f>
        <v>16.17</v>
      </c>
      <c r="F2329" s="2">
        <f>IFERROR(__xludf.DUMMYFUNCTION("""COMPUTED_VALUE"""),1.2078785E7)</f>
        <v>12078785</v>
      </c>
    </row>
    <row r="2330">
      <c r="A2330" s="3">
        <f>IFERROR(__xludf.DUMMYFUNCTION("""COMPUTED_VALUE"""),43735.66666666667)</f>
        <v>43735.66667</v>
      </c>
      <c r="B2330" s="2">
        <f>IFERROR(__xludf.DUMMYFUNCTION("""COMPUTED_VALUE"""),16.15)</f>
        <v>16.15</v>
      </c>
      <c r="C2330" s="2">
        <f>IFERROR(__xludf.DUMMYFUNCTION("""COMPUTED_VALUE"""),16.58)</f>
        <v>16.58</v>
      </c>
      <c r="D2330" s="2">
        <f>IFERROR(__xludf.DUMMYFUNCTION("""COMPUTED_VALUE"""),15.92)</f>
        <v>15.92</v>
      </c>
      <c r="E2330" s="2">
        <f>IFERROR(__xludf.DUMMYFUNCTION("""COMPUTED_VALUE"""),16.14)</f>
        <v>16.14</v>
      </c>
      <c r="F2330" s="2">
        <f>IFERROR(__xludf.DUMMYFUNCTION("""COMPUTED_VALUE"""),1.1123179E7)</f>
        <v>11123179</v>
      </c>
    </row>
    <row r="2331">
      <c r="A2331" s="3">
        <f>IFERROR(__xludf.DUMMYFUNCTION("""COMPUTED_VALUE"""),43738.66666666667)</f>
        <v>43738.66667</v>
      </c>
      <c r="B2331" s="2">
        <f>IFERROR(__xludf.DUMMYFUNCTION("""COMPUTED_VALUE"""),16.2)</f>
        <v>16.2</v>
      </c>
      <c r="C2331" s="2">
        <f>IFERROR(__xludf.DUMMYFUNCTION("""COMPUTED_VALUE"""),16.27)</f>
        <v>16.27</v>
      </c>
      <c r="D2331" s="2">
        <f>IFERROR(__xludf.DUMMYFUNCTION("""COMPUTED_VALUE"""),15.74)</f>
        <v>15.74</v>
      </c>
      <c r="E2331" s="2">
        <f>IFERROR(__xludf.DUMMYFUNCTION("""COMPUTED_VALUE"""),16.06)</f>
        <v>16.06</v>
      </c>
      <c r="F2331" s="2">
        <f>IFERROR(__xludf.DUMMYFUNCTION("""COMPUTED_VALUE"""),5946161.0)</f>
        <v>5946161</v>
      </c>
    </row>
    <row r="2332">
      <c r="A2332" s="3">
        <f>IFERROR(__xludf.DUMMYFUNCTION("""COMPUTED_VALUE"""),43739.66666666667)</f>
        <v>43739.66667</v>
      </c>
      <c r="B2332" s="2">
        <f>IFERROR(__xludf.DUMMYFUNCTION("""COMPUTED_VALUE"""),16.1)</f>
        <v>16.1</v>
      </c>
      <c r="C2332" s="2">
        <f>IFERROR(__xludf.DUMMYFUNCTION("""COMPUTED_VALUE"""),16.4)</f>
        <v>16.4</v>
      </c>
      <c r="D2332" s="2">
        <f>IFERROR(__xludf.DUMMYFUNCTION("""COMPUTED_VALUE"""),15.94)</f>
        <v>15.94</v>
      </c>
      <c r="E2332" s="2">
        <f>IFERROR(__xludf.DUMMYFUNCTION("""COMPUTED_VALUE"""),16.31)</f>
        <v>16.31</v>
      </c>
      <c r="F2332" s="2">
        <f>IFERROR(__xludf.DUMMYFUNCTION("""COMPUTED_VALUE"""),6196290.0)</f>
        <v>6196290</v>
      </c>
    </row>
    <row r="2333">
      <c r="A2333" s="3">
        <f>IFERROR(__xludf.DUMMYFUNCTION("""COMPUTED_VALUE"""),43740.66666666667)</f>
        <v>43740.66667</v>
      </c>
      <c r="B2333" s="2">
        <f>IFERROR(__xludf.DUMMYFUNCTION("""COMPUTED_VALUE"""),16.22)</f>
        <v>16.22</v>
      </c>
      <c r="C2333" s="2">
        <f>IFERROR(__xludf.DUMMYFUNCTION("""COMPUTED_VALUE"""),16.31)</f>
        <v>16.31</v>
      </c>
      <c r="D2333" s="2">
        <f>IFERROR(__xludf.DUMMYFUNCTION("""COMPUTED_VALUE"""),15.96)</f>
        <v>15.96</v>
      </c>
      <c r="E2333" s="2">
        <f>IFERROR(__xludf.DUMMYFUNCTION("""COMPUTED_VALUE"""),16.21)</f>
        <v>16.21</v>
      </c>
      <c r="F2333" s="2">
        <f>IFERROR(__xludf.DUMMYFUNCTION("""COMPUTED_VALUE"""),6256548.0)</f>
        <v>6256548</v>
      </c>
    </row>
    <row r="2334">
      <c r="A2334" s="3">
        <f>IFERROR(__xludf.DUMMYFUNCTION("""COMPUTED_VALUE"""),43741.66666666667)</f>
        <v>43741.66667</v>
      </c>
      <c r="B2334" s="2">
        <f>IFERROR(__xludf.DUMMYFUNCTION("""COMPUTED_VALUE"""),15.46)</f>
        <v>15.46</v>
      </c>
      <c r="C2334" s="2">
        <f>IFERROR(__xludf.DUMMYFUNCTION("""COMPUTED_VALUE"""),15.63)</f>
        <v>15.63</v>
      </c>
      <c r="D2334" s="2">
        <f>IFERROR(__xludf.DUMMYFUNCTION("""COMPUTED_VALUE"""),14.95)</f>
        <v>14.95</v>
      </c>
      <c r="E2334" s="2">
        <f>IFERROR(__xludf.DUMMYFUNCTION("""COMPUTED_VALUE"""),15.54)</f>
        <v>15.54</v>
      </c>
      <c r="F2334" s="2">
        <f>IFERROR(__xludf.DUMMYFUNCTION("""COMPUTED_VALUE"""),1.5137763E7)</f>
        <v>15137763</v>
      </c>
    </row>
    <row r="2335">
      <c r="A2335" s="3">
        <f>IFERROR(__xludf.DUMMYFUNCTION("""COMPUTED_VALUE"""),43742.66666666667)</f>
        <v>43742.66667</v>
      </c>
      <c r="B2335" s="2">
        <f>IFERROR(__xludf.DUMMYFUNCTION("""COMPUTED_VALUE"""),15.44)</f>
        <v>15.44</v>
      </c>
      <c r="C2335" s="2">
        <f>IFERROR(__xludf.DUMMYFUNCTION("""COMPUTED_VALUE"""),15.65)</f>
        <v>15.65</v>
      </c>
      <c r="D2335" s="2">
        <f>IFERROR(__xludf.DUMMYFUNCTION("""COMPUTED_VALUE"""),15.2)</f>
        <v>15.2</v>
      </c>
      <c r="E2335" s="2">
        <f>IFERROR(__xludf.DUMMYFUNCTION("""COMPUTED_VALUE"""),15.43)</f>
        <v>15.43</v>
      </c>
      <c r="F2335" s="2">
        <f>IFERROR(__xludf.DUMMYFUNCTION("""COMPUTED_VALUE"""),8021180.0)</f>
        <v>8021180</v>
      </c>
    </row>
    <row r="2336">
      <c r="A2336" s="3">
        <f>IFERROR(__xludf.DUMMYFUNCTION("""COMPUTED_VALUE"""),43745.66666666667)</f>
        <v>43745.66667</v>
      </c>
      <c r="B2336" s="2">
        <f>IFERROR(__xludf.DUMMYFUNCTION("""COMPUTED_VALUE"""),15.32)</f>
        <v>15.32</v>
      </c>
      <c r="C2336" s="2">
        <f>IFERROR(__xludf.DUMMYFUNCTION("""COMPUTED_VALUE"""),15.9)</f>
        <v>15.9</v>
      </c>
      <c r="D2336" s="2">
        <f>IFERROR(__xludf.DUMMYFUNCTION("""COMPUTED_VALUE"""),15.24)</f>
        <v>15.24</v>
      </c>
      <c r="E2336" s="2">
        <f>IFERROR(__xludf.DUMMYFUNCTION("""COMPUTED_VALUE"""),15.85)</f>
        <v>15.85</v>
      </c>
      <c r="F2336" s="2">
        <f>IFERROR(__xludf.DUMMYFUNCTION("""COMPUTED_VALUE"""),8086957.0)</f>
        <v>8086957</v>
      </c>
    </row>
    <row r="2337">
      <c r="A2337" s="3">
        <f>IFERROR(__xludf.DUMMYFUNCTION("""COMPUTED_VALUE"""),43746.66666666667)</f>
        <v>43746.66667</v>
      </c>
      <c r="B2337" s="2">
        <f>IFERROR(__xludf.DUMMYFUNCTION("""COMPUTED_VALUE"""),15.72)</f>
        <v>15.72</v>
      </c>
      <c r="C2337" s="2">
        <f>IFERROR(__xludf.DUMMYFUNCTION("""COMPUTED_VALUE"""),16.26)</f>
        <v>16.26</v>
      </c>
      <c r="D2337" s="2">
        <f>IFERROR(__xludf.DUMMYFUNCTION("""COMPUTED_VALUE"""),15.63)</f>
        <v>15.63</v>
      </c>
      <c r="E2337" s="2">
        <f>IFERROR(__xludf.DUMMYFUNCTION("""COMPUTED_VALUE"""),16.0)</f>
        <v>16</v>
      </c>
      <c r="F2337" s="2">
        <f>IFERROR(__xludf.DUMMYFUNCTION("""COMPUTED_VALUE"""),8702338.0)</f>
        <v>8702338</v>
      </c>
    </row>
    <row r="2338">
      <c r="A2338" s="3">
        <f>IFERROR(__xludf.DUMMYFUNCTION("""COMPUTED_VALUE"""),43747.66666666667)</f>
        <v>43747.66667</v>
      </c>
      <c r="B2338" s="2">
        <f>IFERROR(__xludf.DUMMYFUNCTION("""COMPUTED_VALUE"""),16.09)</f>
        <v>16.09</v>
      </c>
      <c r="C2338" s="2">
        <f>IFERROR(__xludf.DUMMYFUNCTION("""COMPUTED_VALUE"""),16.49)</f>
        <v>16.49</v>
      </c>
      <c r="D2338" s="2">
        <f>IFERROR(__xludf.DUMMYFUNCTION("""COMPUTED_VALUE"""),16.04)</f>
        <v>16.04</v>
      </c>
      <c r="E2338" s="2">
        <f>IFERROR(__xludf.DUMMYFUNCTION("""COMPUTED_VALUE"""),16.3)</f>
        <v>16.3</v>
      </c>
      <c r="F2338" s="2">
        <f>IFERROR(__xludf.DUMMYFUNCTION("""COMPUTED_VALUE"""),6935033.0)</f>
        <v>6935033</v>
      </c>
    </row>
    <row r="2339">
      <c r="A2339" s="3">
        <f>IFERROR(__xludf.DUMMYFUNCTION("""COMPUTED_VALUE"""),43748.66666666667)</f>
        <v>43748.66667</v>
      </c>
      <c r="B2339" s="2">
        <f>IFERROR(__xludf.DUMMYFUNCTION("""COMPUTED_VALUE"""),16.35)</f>
        <v>16.35</v>
      </c>
      <c r="C2339" s="2">
        <f>IFERROR(__xludf.DUMMYFUNCTION("""COMPUTED_VALUE"""),16.62)</f>
        <v>16.62</v>
      </c>
      <c r="D2339" s="2">
        <f>IFERROR(__xludf.DUMMYFUNCTION("""COMPUTED_VALUE"""),16.11)</f>
        <v>16.11</v>
      </c>
      <c r="E2339" s="2">
        <f>IFERROR(__xludf.DUMMYFUNCTION("""COMPUTED_VALUE"""),16.32)</f>
        <v>16.32</v>
      </c>
      <c r="F2339" s="2">
        <f>IFERROR(__xludf.DUMMYFUNCTION("""COMPUTED_VALUE"""),6313417.0)</f>
        <v>6313417</v>
      </c>
    </row>
    <row r="2340">
      <c r="A2340" s="3">
        <f>IFERROR(__xludf.DUMMYFUNCTION("""COMPUTED_VALUE"""),43749.66666666667)</f>
        <v>43749.66667</v>
      </c>
      <c r="B2340" s="2">
        <f>IFERROR(__xludf.DUMMYFUNCTION("""COMPUTED_VALUE"""),16.48)</f>
        <v>16.48</v>
      </c>
      <c r="C2340" s="2">
        <f>IFERROR(__xludf.DUMMYFUNCTION("""COMPUTED_VALUE"""),16.74)</f>
        <v>16.74</v>
      </c>
      <c r="D2340" s="2">
        <f>IFERROR(__xludf.DUMMYFUNCTION("""COMPUTED_VALUE"""),16.45)</f>
        <v>16.45</v>
      </c>
      <c r="E2340" s="2">
        <f>IFERROR(__xludf.DUMMYFUNCTION("""COMPUTED_VALUE"""),16.53)</f>
        <v>16.53</v>
      </c>
      <c r="F2340" s="2">
        <f>IFERROR(__xludf.DUMMYFUNCTION("""COMPUTED_VALUE"""),8488159.0)</f>
        <v>8488159</v>
      </c>
    </row>
    <row r="2341">
      <c r="A2341" s="3">
        <f>IFERROR(__xludf.DUMMYFUNCTION("""COMPUTED_VALUE"""),43752.66666666667)</f>
        <v>43752.66667</v>
      </c>
      <c r="B2341" s="2">
        <f>IFERROR(__xludf.DUMMYFUNCTION("""COMPUTED_VALUE"""),16.53)</f>
        <v>16.53</v>
      </c>
      <c r="C2341" s="2">
        <f>IFERROR(__xludf.DUMMYFUNCTION("""COMPUTED_VALUE"""),17.24)</f>
        <v>17.24</v>
      </c>
      <c r="D2341" s="2">
        <f>IFERROR(__xludf.DUMMYFUNCTION("""COMPUTED_VALUE"""),16.48)</f>
        <v>16.48</v>
      </c>
      <c r="E2341" s="2">
        <f>IFERROR(__xludf.DUMMYFUNCTION("""COMPUTED_VALUE"""),17.13)</f>
        <v>17.13</v>
      </c>
      <c r="F2341" s="2">
        <f>IFERROR(__xludf.DUMMYFUNCTION("""COMPUTED_VALUE"""),1.0226863E7)</f>
        <v>10226863</v>
      </c>
    </row>
    <row r="2342">
      <c r="A2342" s="3">
        <f>IFERROR(__xludf.DUMMYFUNCTION("""COMPUTED_VALUE"""),43753.66666666667)</f>
        <v>43753.66667</v>
      </c>
      <c r="B2342" s="2">
        <f>IFERROR(__xludf.DUMMYFUNCTION("""COMPUTED_VALUE"""),17.18)</f>
        <v>17.18</v>
      </c>
      <c r="C2342" s="2">
        <f>IFERROR(__xludf.DUMMYFUNCTION("""COMPUTED_VALUE"""),17.33)</f>
        <v>17.33</v>
      </c>
      <c r="D2342" s="2">
        <f>IFERROR(__xludf.DUMMYFUNCTION("""COMPUTED_VALUE"""),16.94)</f>
        <v>16.94</v>
      </c>
      <c r="E2342" s="2">
        <f>IFERROR(__xludf.DUMMYFUNCTION("""COMPUTED_VALUE"""),17.19)</f>
        <v>17.19</v>
      </c>
      <c r="F2342" s="2">
        <f>IFERROR(__xludf.DUMMYFUNCTION("""COMPUTED_VALUE"""),6479456.0)</f>
        <v>6479456</v>
      </c>
    </row>
    <row r="2343">
      <c r="A2343" s="3">
        <f>IFERROR(__xludf.DUMMYFUNCTION("""COMPUTED_VALUE"""),43754.66666666667)</f>
        <v>43754.66667</v>
      </c>
      <c r="B2343" s="2">
        <f>IFERROR(__xludf.DUMMYFUNCTION("""COMPUTED_VALUE"""),17.16)</f>
        <v>17.16</v>
      </c>
      <c r="C2343" s="2">
        <f>IFERROR(__xludf.DUMMYFUNCTION("""COMPUTED_VALUE"""),17.47)</f>
        <v>17.47</v>
      </c>
      <c r="D2343" s="2">
        <f>IFERROR(__xludf.DUMMYFUNCTION("""COMPUTED_VALUE"""),17.13)</f>
        <v>17.13</v>
      </c>
      <c r="E2343" s="2">
        <f>IFERROR(__xludf.DUMMYFUNCTION("""COMPUTED_VALUE"""),17.32)</f>
        <v>17.32</v>
      </c>
      <c r="F2343" s="2">
        <f>IFERROR(__xludf.DUMMYFUNCTION("""COMPUTED_VALUE"""),6704303.0)</f>
        <v>6704303</v>
      </c>
    </row>
    <row r="2344">
      <c r="A2344" s="3">
        <f>IFERROR(__xludf.DUMMYFUNCTION("""COMPUTED_VALUE"""),43755.66666666667)</f>
        <v>43755.66667</v>
      </c>
      <c r="B2344" s="2">
        <f>IFERROR(__xludf.DUMMYFUNCTION("""COMPUTED_VALUE"""),17.5)</f>
        <v>17.5</v>
      </c>
      <c r="C2344" s="2">
        <f>IFERROR(__xludf.DUMMYFUNCTION("""COMPUTED_VALUE"""),17.65)</f>
        <v>17.65</v>
      </c>
      <c r="D2344" s="2">
        <f>IFERROR(__xludf.DUMMYFUNCTION("""COMPUTED_VALUE"""),17.34)</f>
        <v>17.34</v>
      </c>
      <c r="E2344" s="2">
        <f>IFERROR(__xludf.DUMMYFUNCTION("""COMPUTED_VALUE"""),17.46)</f>
        <v>17.46</v>
      </c>
      <c r="F2344" s="2">
        <f>IFERROR(__xludf.DUMMYFUNCTION("""COMPUTED_VALUE"""),4779043.0)</f>
        <v>4779043</v>
      </c>
    </row>
    <row r="2345">
      <c r="A2345" s="3">
        <f>IFERROR(__xludf.DUMMYFUNCTION("""COMPUTED_VALUE"""),43756.66666666667)</f>
        <v>43756.66667</v>
      </c>
      <c r="B2345" s="2">
        <f>IFERROR(__xludf.DUMMYFUNCTION("""COMPUTED_VALUE"""),17.38)</f>
        <v>17.38</v>
      </c>
      <c r="C2345" s="2">
        <f>IFERROR(__xludf.DUMMYFUNCTION("""COMPUTED_VALUE"""),17.52)</f>
        <v>17.52</v>
      </c>
      <c r="D2345" s="2">
        <f>IFERROR(__xludf.DUMMYFUNCTION("""COMPUTED_VALUE"""),17.01)</f>
        <v>17.01</v>
      </c>
      <c r="E2345" s="2">
        <f>IFERROR(__xludf.DUMMYFUNCTION("""COMPUTED_VALUE"""),17.13)</f>
        <v>17.13</v>
      </c>
      <c r="F2345" s="2">
        <f>IFERROR(__xludf.DUMMYFUNCTION("""COMPUTED_VALUE"""),5753666.0)</f>
        <v>5753666</v>
      </c>
    </row>
    <row r="2346">
      <c r="A2346" s="3">
        <f>IFERROR(__xludf.DUMMYFUNCTION("""COMPUTED_VALUE"""),43759.66666666667)</f>
        <v>43759.66667</v>
      </c>
      <c r="B2346" s="2">
        <f>IFERROR(__xludf.DUMMYFUNCTION("""COMPUTED_VALUE"""),17.22)</f>
        <v>17.22</v>
      </c>
      <c r="C2346" s="2">
        <f>IFERROR(__xludf.DUMMYFUNCTION("""COMPUTED_VALUE"""),17.3)</f>
        <v>17.3</v>
      </c>
      <c r="D2346" s="2">
        <f>IFERROR(__xludf.DUMMYFUNCTION("""COMPUTED_VALUE"""),16.68)</f>
        <v>16.68</v>
      </c>
      <c r="E2346" s="2">
        <f>IFERROR(__xludf.DUMMYFUNCTION("""COMPUTED_VALUE"""),16.9)</f>
        <v>16.9</v>
      </c>
      <c r="F2346" s="2">
        <f>IFERROR(__xludf.DUMMYFUNCTION("""COMPUTED_VALUE"""),5108101.0)</f>
        <v>5108101</v>
      </c>
    </row>
    <row r="2347">
      <c r="A2347" s="3">
        <f>IFERROR(__xludf.DUMMYFUNCTION("""COMPUTED_VALUE"""),43760.66666666667)</f>
        <v>43760.66667</v>
      </c>
      <c r="B2347" s="2">
        <f>IFERROR(__xludf.DUMMYFUNCTION("""COMPUTED_VALUE"""),16.95)</f>
        <v>16.95</v>
      </c>
      <c r="C2347" s="2">
        <f>IFERROR(__xludf.DUMMYFUNCTION("""COMPUTED_VALUE"""),17.22)</f>
        <v>17.22</v>
      </c>
      <c r="D2347" s="2">
        <f>IFERROR(__xludf.DUMMYFUNCTION("""COMPUTED_VALUE"""),16.72)</f>
        <v>16.72</v>
      </c>
      <c r="E2347" s="2">
        <f>IFERROR(__xludf.DUMMYFUNCTION("""COMPUTED_VALUE"""),17.04)</f>
        <v>17.04</v>
      </c>
      <c r="F2347" s="2">
        <f>IFERROR(__xludf.DUMMYFUNCTION("""COMPUTED_VALUE"""),4625095.0)</f>
        <v>4625095</v>
      </c>
    </row>
    <row r="2348">
      <c r="A2348" s="3">
        <f>IFERROR(__xludf.DUMMYFUNCTION("""COMPUTED_VALUE"""),43761.66666666667)</f>
        <v>43761.66667</v>
      </c>
      <c r="B2348" s="2">
        <f>IFERROR(__xludf.DUMMYFUNCTION("""COMPUTED_VALUE"""),16.97)</f>
        <v>16.97</v>
      </c>
      <c r="C2348" s="2">
        <f>IFERROR(__xludf.DUMMYFUNCTION("""COMPUTED_VALUE"""),17.08)</f>
        <v>17.08</v>
      </c>
      <c r="D2348" s="2">
        <f>IFERROR(__xludf.DUMMYFUNCTION("""COMPUTED_VALUE"""),16.76)</f>
        <v>16.76</v>
      </c>
      <c r="E2348" s="2">
        <f>IFERROR(__xludf.DUMMYFUNCTION("""COMPUTED_VALUE"""),16.98)</f>
        <v>16.98</v>
      </c>
      <c r="F2348" s="2">
        <f>IFERROR(__xludf.DUMMYFUNCTION("""COMPUTED_VALUE"""),1.1216182E7)</f>
        <v>11216182</v>
      </c>
    </row>
    <row r="2349">
      <c r="A2349" s="3">
        <f>IFERROR(__xludf.DUMMYFUNCTION("""COMPUTED_VALUE"""),43762.66666666667)</f>
        <v>43762.66667</v>
      </c>
      <c r="B2349" s="2">
        <f>IFERROR(__xludf.DUMMYFUNCTION("""COMPUTED_VALUE"""),19.89)</f>
        <v>19.89</v>
      </c>
      <c r="C2349" s="2">
        <f>IFERROR(__xludf.DUMMYFUNCTION("""COMPUTED_VALUE"""),20.33)</f>
        <v>20.33</v>
      </c>
      <c r="D2349" s="2">
        <f>IFERROR(__xludf.DUMMYFUNCTION("""COMPUTED_VALUE"""),19.28)</f>
        <v>19.28</v>
      </c>
      <c r="E2349" s="2">
        <f>IFERROR(__xludf.DUMMYFUNCTION("""COMPUTED_VALUE"""),19.98)</f>
        <v>19.98</v>
      </c>
      <c r="F2349" s="2">
        <f>IFERROR(__xludf.DUMMYFUNCTION("""COMPUTED_VALUE"""),2.9819231E7)</f>
        <v>29819231</v>
      </c>
    </row>
    <row r="2350">
      <c r="A2350" s="3">
        <f>IFERROR(__xludf.DUMMYFUNCTION("""COMPUTED_VALUE"""),43763.66666666667)</f>
        <v>43763.66667</v>
      </c>
      <c r="B2350" s="2">
        <f>IFERROR(__xludf.DUMMYFUNCTION("""COMPUTED_VALUE"""),19.85)</f>
        <v>19.85</v>
      </c>
      <c r="C2350" s="2">
        <f>IFERROR(__xludf.DUMMYFUNCTION("""COMPUTED_VALUE"""),22.0)</f>
        <v>22</v>
      </c>
      <c r="D2350" s="2">
        <f>IFERROR(__xludf.DUMMYFUNCTION("""COMPUTED_VALUE"""),19.74)</f>
        <v>19.74</v>
      </c>
      <c r="E2350" s="2">
        <f>IFERROR(__xludf.DUMMYFUNCTION("""COMPUTED_VALUE"""),21.88)</f>
        <v>21.88</v>
      </c>
      <c r="F2350" s="2">
        <f>IFERROR(__xludf.DUMMYFUNCTION("""COMPUTED_VALUE"""),3.0006091E7)</f>
        <v>30006091</v>
      </c>
    </row>
    <row r="2351">
      <c r="A2351" s="3">
        <f>IFERROR(__xludf.DUMMYFUNCTION("""COMPUTED_VALUE"""),43766.66666666667)</f>
        <v>43766.66667</v>
      </c>
      <c r="B2351" s="2">
        <f>IFERROR(__xludf.DUMMYFUNCTION("""COMPUTED_VALUE"""),21.84)</f>
        <v>21.84</v>
      </c>
      <c r="C2351" s="2">
        <f>IFERROR(__xludf.DUMMYFUNCTION("""COMPUTED_VALUE"""),22.72)</f>
        <v>22.72</v>
      </c>
      <c r="D2351" s="2">
        <f>IFERROR(__xludf.DUMMYFUNCTION("""COMPUTED_VALUE"""),21.51)</f>
        <v>21.51</v>
      </c>
      <c r="E2351" s="2">
        <f>IFERROR(__xludf.DUMMYFUNCTION("""COMPUTED_VALUE"""),21.85)</f>
        <v>21.85</v>
      </c>
      <c r="F2351" s="2">
        <f>IFERROR(__xludf.DUMMYFUNCTION("""COMPUTED_VALUE"""),1.8870286E7)</f>
        <v>18870286</v>
      </c>
    </row>
    <row r="2352">
      <c r="A2352" s="3">
        <f>IFERROR(__xludf.DUMMYFUNCTION("""COMPUTED_VALUE"""),43767.66666666667)</f>
        <v>43767.66667</v>
      </c>
      <c r="B2352" s="2">
        <f>IFERROR(__xludf.DUMMYFUNCTION("""COMPUTED_VALUE"""),21.33)</f>
        <v>21.33</v>
      </c>
      <c r="C2352" s="2">
        <f>IFERROR(__xludf.DUMMYFUNCTION("""COMPUTED_VALUE"""),21.62)</f>
        <v>21.62</v>
      </c>
      <c r="D2352" s="2">
        <f>IFERROR(__xludf.DUMMYFUNCTION("""COMPUTED_VALUE"""),20.98)</f>
        <v>20.98</v>
      </c>
      <c r="E2352" s="2">
        <f>IFERROR(__xludf.DUMMYFUNCTION("""COMPUTED_VALUE"""),21.08)</f>
        <v>21.08</v>
      </c>
      <c r="F2352" s="2">
        <f>IFERROR(__xludf.DUMMYFUNCTION("""COMPUTED_VALUE"""),1.2684267E7)</f>
        <v>12684267</v>
      </c>
    </row>
    <row r="2353">
      <c r="A2353" s="3">
        <f>IFERROR(__xludf.DUMMYFUNCTION("""COMPUTED_VALUE"""),43768.66666666667)</f>
        <v>43768.66667</v>
      </c>
      <c r="B2353" s="2">
        <f>IFERROR(__xludf.DUMMYFUNCTION("""COMPUTED_VALUE"""),20.87)</f>
        <v>20.87</v>
      </c>
      <c r="C2353" s="2">
        <f>IFERROR(__xludf.DUMMYFUNCTION("""COMPUTED_VALUE"""),21.25)</f>
        <v>21.25</v>
      </c>
      <c r="D2353" s="2">
        <f>IFERROR(__xludf.DUMMYFUNCTION("""COMPUTED_VALUE"""),20.66)</f>
        <v>20.66</v>
      </c>
      <c r="E2353" s="2">
        <f>IFERROR(__xludf.DUMMYFUNCTION("""COMPUTED_VALUE"""),21.0)</f>
        <v>21</v>
      </c>
      <c r="F2353" s="2">
        <f>IFERROR(__xludf.DUMMYFUNCTION("""COMPUTED_VALUE"""),9641810.0)</f>
        <v>9641810</v>
      </c>
    </row>
    <row r="2354">
      <c r="A2354" s="3">
        <f>IFERROR(__xludf.DUMMYFUNCTION("""COMPUTED_VALUE"""),43769.66666666667)</f>
        <v>43769.66667</v>
      </c>
      <c r="B2354" s="2">
        <f>IFERROR(__xludf.DUMMYFUNCTION("""COMPUTED_VALUE"""),20.87)</f>
        <v>20.87</v>
      </c>
      <c r="C2354" s="2">
        <f>IFERROR(__xludf.DUMMYFUNCTION("""COMPUTED_VALUE"""),21.27)</f>
        <v>21.27</v>
      </c>
      <c r="D2354" s="2">
        <f>IFERROR(__xludf.DUMMYFUNCTION("""COMPUTED_VALUE"""),20.87)</f>
        <v>20.87</v>
      </c>
      <c r="E2354" s="2">
        <f>IFERROR(__xludf.DUMMYFUNCTION("""COMPUTED_VALUE"""),20.99)</f>
        <v>20.99</v>
      </c>
      <c r="F2354" s="2">
        <f>IFERROR(__xludf.DUMMYFUNCTION("""COMPUTED_VALUE"""),5066956.0)</f>
        <v>5066956</v>
      </c>
    </row>
    <row r="2355">
      <c r="A2355" s="3">
        <f>IFERROR(__xludf.DUMMYFUNCTION("""COMPUTED_VALUE"""),43770.66666666667)</f>
        <v>43770.66667</v>
      </c>
      <c r="B2355" s="2">
        <f>IFERROR(__xludf.DUMMYFUNCTION("""COMPUTED_VALUE"""),21.09)</f>
        <v>21.09</v>
      </c>
      <c r="C2355" s="2">
        <f>IFERROR(__xludf.DUMMYFUNCTION("""COMPUTED_VALUE"""),21.1)</f>
        <v>21.1</v>
      </c>
      <c r="D2355" s="2">
        <f>IFERROR(__xludf.DUMMYFUNCTION("""COMPUTED_VALUE"""),20.65)</f>
        <v>20.65</v>
      </c>
      <c r="E2355" s="2">
        <f>IFERROR(__xludf.DUMMYFUNCTION("""COMPUTED_VALUE"""),20.89)</f>
        <v>20.89</v>
      </c>
      <c r="F2355" s="2">
        <f>IFERROR(__xludf.DUMMYFUNCTION("""COMPUTED_VALUE"""),6383929.0)</f>
        <v>6383929</v>
      </c>
    </row>
    <row r="2356">
      <c r="A2356" s="3">
        <f>IFERROR(__xludf.DUMMYFUNCTION("""COMPUTED_VALUE"""),43773.66666666667)</f>
        <v>43773.66667</v>
      </c>
      <c r="B2356" s="2">
        <f>IFERROR(__xludf.DUMMYFUNCTION("""COMPUTED_VALUE"""),20.99)</f>
        <v>20.99</v>
      </c>
      <c r="C2356" s="2">
        <f>IFERROR(__xludf.DUMMYFUNCTION("""COMPUTED_VALUE"""),21.46)</f>
        <v>21.46</v>
      </c>
      <c r="D2356" s="2">
        <f>IFERROR(__xludf.DUMMYFUNCTION("""COMPUTED_VALUE"""),20.62)</f>
        <v>20.62</v>
      </c>
      <c r="E2356" s="2">
        <f>IFERROR(__xludf.DUMMYFUNCTION("""COMPUTED_VALUE"""),21.16)</f>
        <v>21.16</v>
      </c>
      <c r="F2356" s="2">
        <f>IFERROR(__xludf.DUMMYFUNCTION("""COMPUTED_VALUE"""),8787040.0)</f>
        <v>8787040</v>
      </c>
    </row>
    <row r="2357">
      <c r="A2357" s="3">
        <f>IFERROR(__xludf.DUMMYFUNCTION("""COMPUTED_VALUE"""),43774.66666666667)</f>
        <v>43774.66667</v>
      </c>
      <c r="B2357" s="2">
        <f>IFERROR(__xludf.DUMMYFUNCTION("""COMPUTED_VALUE"""),21.31)</f>
        <v>21.31</v>
      </c>
      <c r="C2357" s="2">
        <f>IFERROR(__xludf.DUMMYFUNCTION("""COMPUTED_VALUE"""),21.57)</f>
        <v>21.57</v>
      </c>
      <c r="D2357" s="2">
        <f>IFERROR(__xludf.DUMMYFUNCTION("""COMPUTED_VALUE"""),21.07)</f>
        <v>21.07</v>
      </c>
      <c r="E2357" s="2">
        <f>IFERROR(__xludf.DUMMYFUNCTION("""COMPUTED_VALUE"""),21.15)</f>
        <v>21.15</v>
      </c>
      <c r="F2357" s="2">
        <f>IFERROR(__xludf.DUMMYFUNCTION("""COMPUTED_VALUE"""),6943417.0)</f>
        <v>6943417</v>
      </c>
    </row>
    <row r="2358">
      <c r="A2358" s="3">
        <f>IFERROR(__xludf.DUMMYFUNCTION("""COMPUTED_VALUE"""),43775.66666666667)</f>
        <v>43775.66667</v>
      </c>
      <c r="B2358" s="2">
        <f>IFERROR(__xludf.DUMMYFUNCTION("""COMPUTED_VALUE"""),21.2)</f>
        <v>21.2</v>
      </c>
      <c r="C2358" s="2">
        <f>IFERROR(__xludf.DUMMYFUNCTION("""COMPUTED_VALUE"""),21.78)</f>
        <v>21.78</v>
      </c>
      <c r="D2358" s="2">
        <f>IFERROR(__xludf.DUMMYFUNCTION("""COMPUTED_VALUE"""),20.97)</f>
        <v>20.97</v>
      </c>
      <c r="E2358" s="2">
        <f>IFERROR(__xludf.DUMMYFUNCTION("""COMPUTED_VALUE"""),21.77)</f>
        <v>21.77</v>
      </c>
      <c r="F2358" s="2">
        <f>IFERROR(__xludf.DUMMYFUNCTION("""COMPUTED_VALUE"""),7940932.0)</f>
        <v>7940932</v>
      </c>
    </row>
    <row r="2359">
      <c r="A2359" s="3">
        <f>IFERROR(__xludf.DUMMYFUNCTION("""COMPUTED_VALUE"""),43776.66666666667)</f>
        <v>43776.66667</v>
      </c>
      <c r="B2359" s="2">
        <f>IFERROR(__xludf.DUMMYFUNCTION("""COMPUTED_VALUE"""),21.94)</f>
        <v>21.94</v>
      </c>
      <c r="C2359" s="2">
        <f>IFERROR(__xludf.DUMMYFUNCTION("""COMPUTED_VALUE"""),22.77)</f>
        <v>22.77</v>
      </c>
      <c r="D2359" s="2">
        <f>IFERROR(__xludf.DUMMYFUNCTION("""COMPUTED_VALUE"""),21.87)</f>
        <v>21.87</v>
      </c>
      <c r="E2359" s="2">
        <f>IFERROR(__xludf.DUMMYFUNCTION("""COMPUTED_VALUE"""),22.37)</f>
        <v>22.37</v>
      </c>
      <c r="F2359" s="2">
        <f>IFERROR(__xludf.DUMMYFUNCTION("""COMPUTED_VALUE"""),1.4467348E7)</f>
        <v>14467348</v>
      </c>
    </row>
    <row r="2360">
      <c r="A2360" s="3">
        <f>IFERROR(__xludf.DUMMYFUNCTION("""COMPUTED_VALUE"""),43777.66666666667)</f>
        <v>43777.66667</v>
      </c>
      <c r="B2360" s="2">
        <f>IFERROR(__xludf.DUMMYFUNCTION("""COMPUTED_VALUE"""),22.3)</f>
        <v>22.3</v>
      </c>
      <c r="C2360" s="2">
        <f>IFERROR(__xludf.DUMMYFUNCTION("""COMPUTED_VALUE"""),22.5)</f>
        <v>22.5</v>
      </c>
      <c r="D2360" s="2">
        <f>IFERROR(__xludf.DUMMYFUNCTION("""COMPUTED_VALUE"""),22.17)</f>
        <v>22.17</v>
      </c>
      <c r="E2360" s="2">
        <f>IFERROR(__xludf.DUMMYFUNCTION("""COMPUTED_VALUE"""),22.48)</f>
        <v>22.48</v>
      </c>
      <c r="F2360" s="2">
        <f>IFERROR(__xludf.DUMMYFUNCTION("""COMPUTED_VALUE"""),6074221.0)</f>
        <v>6074221</v>
      </c>
    </row>
    <row r="2361">
      <c r="A2361" s="3">
        <f>IFERROR(__xludf.DUMMYFUNCTION("""COMPUTED_VALUE"""),43780.66666666667)</f>
        <v>43780.66667</v>
      </c>
      <c r="B2361" s="2">
        <f>IFERROR(__xludf.DUMMYFUNCTION("""COMPUTED_VALUE"""),22.93)</f>
        <v>22.93</v>
      </c>
      <c r="C2361" s="2">
        <f>IFERROR(__xludf.DUMMYFUNCTION("""COMPUTED_VALUE"""),23.28)</f>
        <v>23.28</v>
      </c>
      <c r="D2361" s="2">
        <f>IFERROR(__xludf.DUMMYFUNCTION("""COMPUTED_VALUE"""),22.8)</f>
        <v>22.8</v>
      </c>
      <c r="E2361" s="2">
        <f>IFERROR(__xludf.DUMMYFUNCTION("""COMPUTED_VALUE"""),23.01)</f>
        <v>23.01</v>
      </c>
      <c r="F2361" s="2">
        <f>IFERROR(__xludf.DUMMYFUNCTION("""COMPUTED_VALUE"""),9993689.0)</f>
        <v>9993689</v>
      </c>
    </row>
    <row r="2362">
      <c r="A2362" s="3">
        <f>IFERROR(__xludf.DUMMYFUNCTION("""COMPUTED_VALUE"""),43781.66666666667)</f>
        <v>43781.66667</v>
      </c>
      <c r="B2362" s="2">
        <f>IFERROR(__xludf.DUMMYFUNCTION("""COMPUTED_VALUE"""),23.13)</f>
        <v>23.13</v>
      </c>
      <c r="C2362" s="2">
        <f>IFERROR(__xludf.DUMMYFUNCTION("""COMPUTED_VALUE"""),23.36)</f>
        <v>23.36</v>
      </c>
      <c r="D2362" s="2">
        <f>IFERROR(__xludf.DUMMYFUNCTION("""COMPUTED_VALUE"""),22.94)</f>
        <v>22.94</v>
      </c>
      <c r="E2362" s="2">
        <f>IFERROR(__xludf.DUMMYFUNCTION("""COMPUTED_VALUE"""),23.33)</f>
        <v>23.33</v>
      </c>
      <c r="F2362" s="2">
        <f>IFERROR(__xludf.DUMMYFUNCTION("""COMPUTED_VALUE"""),7359383.0)</f>
        <v>7359383</v>
      </c>
    </row>
    <row r="2363">
      <c r="A2363" s="3">
        <f>IFERROR(__xludf.DUMMYFUNCTION("""COMPUTED_VALUE"""),43782.66666666667)</f>
        <v>43782.66667</v>
      </c>
      <c r="B2363" s="2">
        <f>IFERROR(__xludf.DUMMYFUNCTION("""COMPUTED_VALUE"""),23.67)</f>
        <v>23.67</v>
      </c>
      <c r="C2363" s="2">
        <f>IFERROR(__xludf.DUMMYFUNCTION("""COMPUTED_VALUE"""),23.76)</f>
        <v>23.76</v>
      </c>
      <c r="D2363" s="2">
        <f>IFERROR(__xludf.DUMMYFUNCTION("""COMPUTED_VALUE"""),23.01)</f>
        <v>23.01</v>
      </c>
      <c r="E2363" s="2">
        <f>IFERROR(__xludf.DUMMYFUNCTION("""COMPUTED_VALUE"""),23.07)</f>
        <v>23.07</v>
      </c>
      <c r="F2363" s="2">
        <f>IFERROR(__xludf.DUMMYFUNCTION("""COMPUTED_VALUE"""),8467863.0)</f>
        <v>8467863</v>
      </c>
    </row>
    <row r="2364">
      <c r="A2364" s="3">
        <f>IFERROR(__xludf.DUMMYFUNCTION("""COMPUTED_VALUE"""),43783.66666666667)</f>
        <v>43783.66667</v>
      </c>
      <c r="B2364" s="2">
        <f>IFERROR(__xludf.DUMMYFUNCTION("""COMPUTED_VALUE"""),23.07)</f>
        <v>23.07</v>
      </c>
      <c r="C2364" s="2">
        <f>IFERROR(__xludf.DUMMYFUNCTION("""COMPUTED_VALUE"""),23.59)</f>
        <v>23.59</v>
      </c>
      <c r="D2364" s="2">
        <f>IFERROR(__xludf.DUMMYFUNCTION("""COMPUTED_VALUE"""),22.86)</f>
        <v>22.86</v>
      </c>
      <c r="E2364" s="2">
        <f>IFERROR(__xludf.DUMMYFUNCTION("""COMPUTED_VALUE"""),23.29)</f>
        <v>23.29</v>
      </c>
      <c r="F2364" s="2">
        <f>IFERROR(__xludf.DUMMYFUNCTION("""COMPUTED_VALUE"""),6471703.0)</f>
        <v>6471703</v>
      </c>
    </row>
    <row r="2365">
      <c r="A2365" s="3">
        <f>IFERROR(__xludf.DUMMYFUNCTION("""COMPUTED_VALUE"""),43784.66666666667)</f>
        <v>43784.66667</v>
      </c>
      <c r="B2365" s="2">
        <f>IFERROR(__xludf.DUMMYFUNCTION("""COMPUTED_VALUE"""),23.38)</f>
        <v>23.38</v>
      </c>
      <c r="C2365" s="2">
        <f>IFERROR(__xludf.DUMMYFUNCTION("""COMPUTED_VALUE"""),23.52)</f>
        <v>23.52</v>
      </c>
      <c r="D2365" s="2">
        <f>IFERROR(__xludf.DUMMYFUNCTION("""COMPUTED_VALUE"""),23.22)</f>
        <v>23.22</v>
      </c>
      <c r="E2365" s="2">
        <f>IFERROR(__xludf.DUMMYFUNCTION("""COMPUTED_VALUE"""),23.48)</f>
        <v>23.48</v>
      </c>
      <c r="F2365" s="2">
        <f>IFERROR(__xludf.DUMMYFUNCTION("""COMPUTED_VALUE"""),4812563.0)</f>
        <v>4812563</v>
      </c>
    </row>
    <row r="2366">
      <c r="A2366" s="3">
        <f>IFERROR(__xludf.DUMMYFUNCTION("""COMPUTED_VALUE"""),43787.66666666667)</f>
        <v>43787.66667</v>
      </c>
      <c r="B2366" s="2">
        <f>IFERROR(__xludf.DUMMYFUNCTION("""COMPUTED_VALUE"""),23.53)</f>
        <v>23.53</v>
      </c>
      <c r="C2366" s="2">
        <f>IFERROR(__xludf.DUMMYFUNCTION("""COMPUTED_VALUE"""),23.54)</f>
        <v>23.54</v>
      </c>
      <c r="D2366" s="2">
        <f>IFERROR(__xludf.DUMMYFUNCTION("""COMPUTED_VALUE"""),23.07)</f>
        <v>23.07</v>
      </c>
      <c r="E2366" s="2">
        <f>IFERROR(__xludf.DUMMYFUNCTION("""COMPUTED_VALUE"""),23.33)</f>
        <v>23.33</v>
      </c>
      <c r="F2366" s="2">
        <f>IFERROR(__xludf.DUMMYFUNCTION("""COMPUTED_VALUE"""),4408505.0)</f>
        <v>4408505</v>
      </c>
    </row>
    <row r="2367">
      <c r="A2367" s="3">
        <f>IFERROR(__xludf.DUMMYFUNCTION("""COMPUTED_VALUE"""),43788.66666666667)</f>
        <v>43788.66667</v>
      </c>
      <c r="B2367" s="2">
        <f>IFERROR(__xludf.DUMMYFUNCTION("""COMPUTED_VALUE"""),23.45)</f>
        <v>23.45</v>
      </c>
      <c r="C2367" s="2">
        <f>IFERROR(__xludf.DUMMYFUNCTION("""COMPUTED_VALUE"""),24.0)</f>
        <v>24</v>
      </c>
      <c r="D2367" s="2">
        <f>IFERROR(__xludf.DUMMYFUNCTION("""COMPUTED_VALUE"""),23.19)</f>
        <v>23.19</v>
      </c>
      <c r="E2367" s="2">
        <f>IFERROR(__xludf.DUMMYFUNCTION("""COMPUTED_VALUE"""),23.97)</f>
        <v>23.97</v>
      </c>
      <c r="F2367" s="2">
        <f>IFERROR(__xludf.DUMMYFUNCTION("""COMPUTED_VALUE"""),7736078.0)</f>
        <v>7736078</v>
      </c>
    </row>
    <row r="2368">
      <c r="A2368" s="3">
        <f>IFERROR(__xludf.DUMMYFUNCTION("""COMPUTED_VALUE"""),43789.66666666667)</f>
        <v>43789.66667</v>
      </c>
      <c r="B2368" s="2">
        <f>IFERROR(__xludf.DUMMYFUNCTION("""COMPUTED_VALUE"""),24.0)</f>
        <v>24</v>
      </c>
      <c r="C2368" s="2">
        <f>IFERROR(__xludf.DUMMYFUNCTION("""COMPUTED_VALUE"""),24.08)</f>
        <v>24.08</v>
      </c>
      <c r="D2368" s="2">
        <f>IFERROR(__xludf.DUMMYFUNCTION("""COMPUTED_VALUE"""),23.3)</f>
        <v>23.3</v>
      </c>
      <c r="E2368" s="2">
        <f>IFERROR(__xludf.DUMMYFUNCTION("""COMPUTED_VALUE"""),23.48)</f>
        <v>23.48</v>
      </c>
      <c r="F2368" s="2">
        <f>IFERROR(__xludf.DUMMYFUNCTION("""COMPUTED_VALUE"""),6733965.0)</f>
        <v>6733965</v>
      </c>
    </row>
    <row r="2369">
      <c r="A2369" s="3">
        <f>IFERROR(__xludf.DUMMYFUNCTION("""COMPUTED_VALUE"""),43790.66666666667)</f>
        <v>43790.66667</v>
      </c>
      <c r="B2369" s="2">
        <f>IFERROR(__xludf.DUMMYFUNCTION("""COMPUTED_VALUE"""),23.63)</f>
        <v>23.63</v>
      </c>
      <c r="C2369" s="2">
        <f>IFERROR(__xludf.DUMMYFUNCTION("""COMPUTED_VALUE"""),24.06)</f>
        <v>24.06</v>
      </c>
      <c r="D2369" s="2">
        <f>IFERROR(__xludf.DUMMYFUNCTION("""COMPUTED_VALUE"""),23.6)</f>
        <v>23.6</v>
      </c>
      <c r="E2369" s="2">
        <f>IFERROR(__xludf.DUMMYFUNCTION("""COMPUTED_VALUE"""),23.66)</f>
        <v>23.66</v>
      </c>
      <c r="F2369" s="2">
        <f>IFERROR(__xludf.DUMMYFUNCTION("""COMPUTED_VALUE"""),6110013.0)</f>
        <v>6110013</v>
      </c>
    </row>
    <row r="2370">
      <c r="A2370" s="3">
        <f>IFERROR(__xludf.DUMMYFUNCTION("""COMPUTED_VALUE"""),43791.66666666667)</f>
        <v>43791.66667</v>
      </c>
      <c r="B2370" s="2">
        <f>IFERROR(__xludf.DUMMYFUNCTION("""COMPUTED_VALUE"""),22.68)</f>
        <v>22.68</v>
      </c>
      <c r="C2370" s="2">
        <f>IFERROR(__xludf.DUMMYFUNCTION("""COMPUTED_VALUE"""),22.73)</f>
        <v>22.73</v>
      </c>
      <c r="D2370" s="2">
        <f>IFERROR(__xludf.DUMMYFUNCTION("""COMPUTED_VALUE"""),22.0)</f>
        <v>22</v>
      </c>
      <c r="E2370" s="2">
        <f>IFERROR(__xludf.DUMMYFUNCTION("""COMPUTED_VALUE"""),22.2)</f>
        <v>22.2</v>
      </c>
      <c r="F2370" s="2">
        <f>IFERROR(__xludf.DUMMYFUNCTION("""COMPUTED_VALUE"""),1.6870642E7)</f>
        <v>16870642</v>
      </c>
    </row>
    <row r="2371">
      <c r="A2371" s="3">
        <f>IFERROR(__xludf.DUMMYFUNCTION("""COMPUTED_VALUE"""),43794.66666666667)</f>
        <v>43794.66667</v>
      </c>
      <c r="B2371" s="2">
        <f>IFERROR(__xludf.DUMMYFUNCTION("""COMPUTED_VALUE"""),22.95)</f>
        <v>22.95</v>
      </c>
      <c r="C2371" s="2">
        <f>IFERROR(__xludf.DUMMYFUNCTION("""COMPUTED_VALUE"""),22.97)</f>
        <v>22.97</v>
      </c>
      <c r="D2371" s="2">
        <f>IFERROR(__xludf.DUMMYFUNCTION("""COMPUTED_VALUE"""),22.3)</f>
        <v>22.3</v>
      </c>
      <c r="E2371" s="2">
        <f>IFERROR(__xludf.DUMMYFUNCTION("""COMPUTED_VALUE"""),22.42)</f>
        <v>22.42</v>
      </c>
      <c r="F2371" s="2">
        <f>IFERROR(__xludf.DUMMYFUNCTION("""COMPUTED_VALUE"""),1.2345765E7)</f>
        <v>12345765</v>
      </c>
    </row>
    <row r="2372">
      <c r="A2372" s="3">
        <f>IFERROR(__xludf.DUMMYFUNCTION("""COMPUTED_VALUE"""),43795.66666666667)</f>
        <v>43795.66667</v>
      </c>
      <c r="B2372" s="2">
        <f>IFERROR(__xludf.DUMMYFUNCTION("""COMPUTED_VALUE"""),22.35)</f>
        <v>22.35</v>
      </c>
      <c r="C2372" s="2">
        <f>IFERROR(__xludf.DUMMYFUNCTION("""COMPUTED_VALUE"""),22.37)</f>
        <v>22.37</v>
      </c>
      <c r="D2372" s="2">
        <f>IFERROR(__xludf.DUMMYFUNCTION("""COMPUTED_VALUE"""),21.81)</f>
        <v>21.81</v>
      </c>
      <c r="E2372" s="2">
        <f>IFERROR(__xludf.DUMMYFUNCTION("""COMPUTED_VALUE"""),21.93)</f>
        <v>21.93</v>
      </c>
      <c r="F2372" s="2">
        <f>IFERROR(__xludf.DUMMYFUNCTION("""COMPUTED_VALUE"""),7956239.0)</f>
        <v>7956239</v>
      </c>
    </row>
    <row r="2373">
      <c r="A2373" s="3">
        <f>IFERROR(__xludf.DUMMYFUNCTION("""COMPUTED_VALUE"""),43796.66666666667)</f>
        <v>43796.66667</v>
      </c>
      <c r="B2373" s="2">
        <f>IFERROR(__xludf.DUMMYFUNCTION("""COMPUTED_VALUE"""),22.07)</f>
        <v>22.07</v>
      </c>
      <c r="C2373" s="2">
        <f>IFERROR(__xludf.DUMMYFUNCTION("""COMPUTED_VALUE"""),22.26)</f>
        <v>22.26</v>
      </c>
      <c r="D2373" s="2">
        <f>IFERROR(__xludf.DUMMYFUNCTION("""COMPUTED_VALUE"""),21.9)</f>
        <v>21.9</v>
      </c>
      <c r="E2373" s="2">
        <f>IFERROR(__xludf.DUMMYFUNCTION("""COMPUTED_VALUE"""),22.09)</f>
        <v>22.09</v>
      </c>
      <c r="F2373" s="2">
        <f>IFERROR(__xludf.DUMMYFUNCTION("""COMPUTED_VALUE"""),5563459.0)</f>
        <v>5563459</v>
      </c>
    </row>
    <row r="2374">
      <c r="A2374" s="3">
        <f>IFERROR(__xludf.DUMMYFUNCTION("""COMPUTED_VALUE"""),43798.54166666667)</f>
        <v>43798.54167</v>
      </c>
      <c r="B2374" s="2">
        <f>IFERROR(__xludf.DUMMYFUNCTION("""COMPUTED_VALUE"""),22.07)</f>
        <v>22.07</v>
      </c>
      <c r="C2374" s="2">
        <f>IFERROR(__xludf.DUMMYFUNCTION("""COMPUTED_VALUE"""),22.08)</f>
        <v>22.08</v>
      </c>
      <c r="D2374" s="2">
        <f>IFERROR(__xludf.DUMMYFUNCTION("""COMPUTED_VALUE"""),21.83)</f>
        <v>21.83</v>
      </c>
      <c r="E2374" s="2">
        <f>IFERROR(__xludf.DUMMYFUNCTION("""COMPUTED_VALUE"""),22.0)</f>
        <v>22</v>
      </c>
      <c r="F2374" s="2">
        <f>IFERROR(__xludf.DUMMYFUNCTION("""COMPUTED_VALUE"""),2465629.0)</f>
        <v>2465629</v>
      </c>
    </row>
    <row r="2375">
      <c r="A2375" s="3">
        <f>IFERROR(__xludf.DUMMYFUNCTION("""COMPUTED_VALUE"""),43801.66666666667)</f>
        <v>43801.66667</v>
      </c>
      <c r="B2375" s="2">
        <f>IFERROR(__xludf.DUMMYFUNCTION("""COMPUTED_VALUE"""),21.96)</f>
        <v>21.96</v>
      </c>
      <c r="C2375" s="2">
        <f>IFERROR(__xludf.DUMMYFUNCTION("""COMPUTED_VALUE"""),22.43)</f>
        <v>22.43</v>
      </c>
      <c r="D2375" s="2">
        <f>IFERROR(__xludf.DUMMYFUNCTION("""COMPUTED_VALUE"""),21.91)</f>
        <v>21.91</v>
      </c>
      <c r="E2375" s="2">
        <f>IFERROR(__xludf.DUMMYFUNCTION("""COMPUTED_VALUE"""),22.32)</f>
        <v>22.32</v>
      </c>
      <c r="F2375" s="2">
        <f>IFERROR(__xludf.DUMMYFUNCTION("""COMPUTED_VALUE"""),6081986.0)</f>
        <v>6081986</v>
      </c>
    </row>
    <row r="2376">
      <c r="A2376" s="3">
        <f>IFERROR(__xludf.DUMMYFUNCTION("""COMPUTED_VALUE"""),43802.66666666667)</f>
        <v>43802.66667</v>
      </c>
      <c r="B2376" s="2">
        <f>IFERROR(__xludf.DUMMYFUNCTION("""COMPUTED_VALUE"""),22.17)</f>
        <v>22.17</v>
      </c>
      <c r="C2376" s="2">
        <f>IFERROR(__xludf.DUMMYFUNCTION("""COMPUTED_VALUE"""),22.53)</f>
        <v>22.53</v>
      </c>
      <c r="D2376" s="2">
        <f>IFERROR(__xludf.DUMMYFUNCTION("""COMPUTED_VALUE"""),22.15)</f>
        <v>22.15</v>
      </c>
      <c r="E2376" s="2">
        <f>IFERROR(__xludf.DUMMYFUNCTION("""COMPUTED_VALUE"""),22.41)</f>
        <v>22.41</v>
      </c>
      <c r="F2376" s="2">
        <f>IFERROR(__xludf.DUMMYFUNCTION("""COMPUTED_VALUE"""),6613476.0)</f>
        <v>6613476</v>
      </c>
    </row>
    <row r="2377">
      <c r="A2377" s="3">
        <f>IFERROR(__xludf.DUMMYFUNCTION("""COMPUTED_VALUE"""),43803.66666666667)</f>
        <v>43803.66667</v>
      </c>
      <c r="B2377" s="2">
        <f>IFERROR(__xludf.DUMMYFUNCTION("""COMPUTED_VALUE"""),22.52)</f>
        <v>22.52</v>
      </c>
      <c r="C2377" s="2">
        <f>IFERROR(__xludf.DUMMYFUNCTION("""COMPUTED_VALUE"""),22.52)</f>
        <v>22.52</v>
      </c>
      <c r="D2377" s="2">
        <f>IFERROR(__xludf.DUMMYFUNCTION("""COMPUTED_VALUE"""),22.19)</f>
        <v>22.19</v>
      </c>
      <c r="E2377" s="2">
        <f>IFERROR(__xludf.DUMMYFUNCTION("""COMPUTED_VALUE"""),22.2)</f>
        <v>22.2</v>
      </c>
      <c r="F2377" s="2">
        <f>IFERROR(__xludf.DUMMYFUNCTION("""COMPUTED_VALUE"""),5536255.0)</f>
        <v>5536255</v>
      </c>
    </row>
    <row r="2378">
      <c r="A2378" s="3">
        <f>IFERROR(__xludf.DUMMYFUNCTION("""COMPUTED_VALUE"""),43804.66666666667)</f>
        <v>43804.66667</v>
      </c>
      <c r="B2378" s="2">
        <f>IFERROR(__xludf.DUMMYFUNCTION("""COMPUTED_VALUE"""),22.19)</f>
        <v>22.19</v>
      </c>
      <c r="C2378" s="2">
        <f>IFERROR(__xludf.DUMMYFUNCTION("""COMPUTED_VALUE"""),22.29)</f>
        <v>22.29</v>
      </c>
      <c r="D2378" s="2">
        <f>IFERROR(__xludf.DUMMYFUNCTION("""COMPUTED_VALUE"""),21.82)</f>
        <v>21.82</v>
      </c>
      <c r="E2378" s="2">
        <f>IFERROR(__xludf.DUMMYFUNCTION("""COMPUTED_VALUE"""),22.02)</f>
        <v>22.02</v>
      </c>
      <c r="F2378" s="2">
        <f>IFERROR(__xludf.DUMMYFUNCTION("""COMPUTED_VALUE"""),3736976.0)</f>
        <v>3736976</v>
      </c>
    </row>
    <row r="2379">
      <c r="A2379" s="3">
        <f>IFERROR(__xludf.DUMMYFUNCTION("""COMPUTED_VALUE"""),43805.66666666667)</f>
        <v>43805.66667</v>
      </c>
      <c r="B2379" s="2">
        <f>IFERROR(__xludf.DUMMYFUNCTION("""COMPUTED_VALUE"""),22.33)</f>
        <v>22.33</v>
      </c>
      <c r="C2379" s="2">
        <f>IFERROR(__xludf.DUMMYFUNCTION("""COMPUTED_VALUE"""),22.59)</f>
        <v>22.59</v>
      </c>
      <c r="D2379" s="2">
        <f>IFERROR(__xludf.DUMMYFUNCTION("""COMPUTED_VALUE"""),22.32)</f>
        <v>22.32</v>
      </c>
      <c r="E2379" s="2">
        <f>IFERROR(__xludf.DUMMYFUNCTION("""COMPUTED_VALUE"""),22.39)</f>
        <v>22.39</v>
      </c>
      <c r="F2379" s="2">
        <f>IFERROR(__xludf.DUMMYFUNCTION("""COMPUTED_VALUE"""),7618937.0)</f>
        <v>7618937</v>
      </c>
    </row>
    <row r="2380">
      <c r="A2380" s="3">
        <f>IFERROR(__xludf.DUMMYFUNCTION("""COMPUTED_VALUE"""),43808.66666666667)</f>
        <v>43808.66667</v>
      </c>
      <c r="B2380" s="2">
        <f>IFERROR(__xludf.DUMMYFUNCTION("""COMPUTED_VALUE"""),22.44)</f>
        <v>22.44</v>
      </c>
      <c r="C2380" s="2">
        <f>IFERROR(__xludf.DUMMYFUNCTION("""COMPUTED_VALUE"""),22.96)</f>
        <v>22.96</v>
      </c>
      <c r="D2380" s="2">
        <f>IFERROR(__xludf.DUMMYFUNCTION("""COMPUTED_VALUE"""),22.34)</f>
        <v>22.34</v>
      </c>
      <c r="E2380" s="2">
        <f>IFERROR(__xludf.DUMMYFUNCTION("""COMPUTED_VALUE"""),22.64)</f>
        <v>22.64</v>
      </c>
      <c r="F2380" s="2">
        <f>IFERROR(__xludf.DUMMYFUNCTION("""COMPUTED_VALUE"""),9040217.0)</f>
        <v>9040217</v>
      </c>
    </row>
    <row r="2381">
      <c r="A2381" s="3">
        <f>IFERROR(__xludf.DUMMYFUNCTION("""COMPUTED_VALUE"""),43809.66666666667)</f>
        <v>43809.66667</v>
      </c>
      <c r="B2381" s="2">
        <f>IFERROR(__xludf.DUMMYFUNCTION("""COMPUTED_VALUE"""),22.66)</f>
        <v>22.66</v>
      </c>
      <c r="C2381" s="2">
        <f>IFERROR(__xludf.DUMMYFUNCTION("""COMPUTED_VALUE"""),23.38)</f>
        <v>23.38</v>
      </c>
      <c r="D2381" s="2">
        <f>IFERROR(__xludf.DUMMYFUNCTION("""COMPUTED_VALUE"""),22.62)</f>
        <v>22.62</v>
      </c>
      <c r="E2381" s="2">
        <f>IFERROR(__xludf.DUMMYFUNCTION("""COMPUTED_VALUE"""),23.26)</f>
        <v>23.26</v>
      </c>
      <c r="F2381" s="2">
        <f>IFERROR(__xludf.DUMMYFUNCTION("""COMPUTED_VALUE"""),8839951.0)</f>
        <v>8839951</v>
      </c>
    </row>
    <row r="2382">
      <c r="A2382" s="3">
        <f>IFERROR(__xludf.DUMMYFUNCTION("""COMPUTED_VALUE"""),43810.66666666667)</f>
        <v>43810.66667</v>
      </c>
      <c r="B2382" s="2">
        <f>IFERROR(__xludf.DUMMYFUNCTION("""COMPUTED_VALUE"""),23.46)</f>
        <v>23.46</v>
      </c>
      <c r="C2382" s="2">
        <f>IFERROR(__xludf.DUMMYFUNCTION("""COMPUTED_VALUE"""),23.81)</f>
        <v>23.81</v>
      </c>
      <c r="D2382" s="2">
        <f>IFERROR(__xludf.DUMMYFUNCTION("""COMPUTED_VALUE"""),23.41)</f>
        <v>23.41</v>
      </c>
      <c r="E2382" s="2">
        <f>IFERROR(__xludf.DUMMYFUNCTION("""COMPUTED_VALUE"""),23.51)</f>
        <v>23.51</v>
      </c>
      <c r="F2382" s="2">
        <f>IFERROR(__xludf.DUMMYFUNCTION("""COMPUTED_VALUE"""),6919162.0)</f>
        <v>6919162</v>
      </c>
    </row>
    <row r="2383">
      <c r="A2383" s="3">
        <f>IFERROR(__xludf.DUMMYFUNCTION("""COMPUTED_VALUE"""),43811.66666666667)</f>
        <v>43811.66667</v>
      </c>
      <c r="B2383" s="2">
        <f>IFERROR(__xludf.DUMMYFUNCTION("""COMPUTED_VALUE"""),23.66)</f>
        <v>23.66</v>
      </c>
      <c r="C2383" s="2">
        <f>IFERROR(__xludf.DUMMYFUNCTION("""COMPUTED_VALUE"""),24.18)</f>
        <v>24.18</v>
      </c>
      <c r="D2383" s="2">
        <f>IFERROR(__xludf.DUMMYFUNCTION("""COMPUTED_VALUE"""),23.55)</f>
        <v>23.55</v>
      </c>
      <c r="E2383" s="2">
        <f>IFERROR(__xludf.DUMMYFUNCTION("""COMPUTED_VALUE"""),23.98)</f>
        <v>23.98</v>
      </c>
      <c r="F2383" s="2">
        <f>IFERROR(__xludf.DUMMYFUNCTION("""COMPUTED_VALUE"""),7776211.0)</f>
        <v>7776211</v>
      </c>
    </row>
    <row r="2384">
      <c r="A2384" s="3">
        <f>IFERROR(__xludf.DUMMYFUNCTION("""COMPUTED_VALUE"""),43812.66666666667)</f>
        <v>43812.66667</v>
      </c>
      <c r="B2384" s="2">
        <f>IFERROR(__xludf.DUMMYFUNCTION("""COMPUTED_VALUE"""),24.07)</f>
        <v>24.07</v>
      </c>
      <c r="C2384" s="2">
        <f>IFERROR(__xludf.DUMMYFUNCTION("""COMPUTED_VALUE"""),24.35)</f>
        <v>24.35</v>
      </c>
      <c r="D2384" s="2">
        <f>IFERROR(__xludf.DUMMYFUNCTION("""COMPUTED_VALUE"""),23.64)</f>
        <v>23.64</v>
      </c>
      <c r="E2384" s="2">
        <f>IFERROR(__xludf.DUMMYFUNCTION("""COMPUTED_VALUE"""),23.89)</f>
        <v>23.89</v>
      </c>
      <c r="F2384" s="2">
        <f>IFERROR(__xludf.DUMMYFUNCTION("""COMPUTED_VALUE"""),6574281.0)</f>
        <v>6574281</v>
      </c>
    </row>
    <row r="2385">
      <c r="A2385" s="3">
        <f>IFERROR(__xludf.DUMMYFUNCTION("""COMPUTED_VALUE"""),43815.66666666667)</f>
        <v>43815.66667</v>
      </c>
      <c r="B2385" s="2">
        <f>IFERROR(__xludf.DUMMYFUNCTION("""COMPUTED_VALUE"""),24.17)</f>
        <v>24.17</v>
      </c>
      <c r="C2385" s="2">
        <f>IFERROR(__xludf.DUMMYFUNCTION("""COMPUTED_VALUE"""),25.57)</f>
        <v>25.57</v>
      </c>
      <c r="D2385" s="2">
        <f>IFERROR(__xludf.DUMMYFUNCTION("""COMPUTED_VALUE"""),24.17)</f>
        <v>24.17</v>
      </c>
      <c r="E2385" s="2">
        <f>IFERROR(__xludf.DUMMYFUNCTION("""COMPUTED_VALUE"""),25.43)</f>
        <v>25.43</v>
      </c>
      <c r="F2385" s="2">
        <f>IFERROR(__xludf.DUMMYFUNCTION("""COMPUTED_VALUE"""),1.822094E7)</f>
        <v>18220940</v>
      </c>
    </row>
    <row r="2386">
      <c r="A2386" s="3">
        <f>IFERROR(__xludf.DUMMYFUNCTION("""COMPUTED_VALUE"""),43816.66666666667)</f>
        <v>43816.66667</v>
      </c>
      <c r="B2386" s="2">
        <f>IFERROR(__xludf.DUMMYFUNCTION("""COMPUTED_VALUE"""),25.27)</f>
        <v>25.27</v>
      </c>
      <c r="C2386" s="2">
        <f>IFERROR(__xludf.DUMMYFUNCTION("""COMPUTED_VALUE"""),25.7)</f>
        <v>25.7</v>
      </c>
      <c r="D2386" s="2">
        <f>IFERROR(__xludf.DUMMYFUNCTION("""COMPUTED_VALUE"""),25.06)</f>
        <v>25.06</v>
      </c>
      <c r="E2386" s="2">
        <f>IFERROR(__xludf.DUMMYFUNCTION("""COMPUTED_VALUE"""),25.27)</f>
        <v>25.27</v>
      </c>
      <c r="F2386" s="2">
        <f>IFERROR(__xludf.DUMMYFUNCTION("""COMPUTED_VALUE"""),8503775.0)</f>
        <v>8503775</v>
      </c>
    </row>
    <row r="2387">
      <c r="A2387" s="3">
        <f>IFERROR(__xludf.DUMMYFUNCTION("""COMPUTED_VALUE"""),43817.66666666667)</f>
        <v>43817.66667</v>
      </c>
      <c r="B2387" s="2">
        <f>IFERROR(__xludf.DUMMYFUNCTION("""COMPUTED_VALUE"""),25.38)</f>
        <v>25.38</v>
      </c>
      <c r="C2387" s="2">
        <f>IFERROR(__xludf.DUMMYFUNCTION("""COMPUTED_VALUE"""),26.35)</f>
        <v>26.35</v>
      </c>
      <c r="D2387" s="2">
        <f>IFERROR(__xludf.DUMMYFUNCTION("""COMPUTED_VALUE"""),25.37)</f>
        <v>25.37</v>
      </c>
      <c r="E2387" s="2">
        <f>IFERROR(__xludf.DUMMYFUNCTION("""COMPUTED_VALUE"""),26.21)</f>
        <v>26.21</v>
      </c>
      <c r="F2387" s="2">
        <f>IFERROR(__xludf.DUMMYFUNCTION("""COMPUTED_VALUE"""),1.4136392E7)</f>
        <v>14136392</v>
      </c>
    </row>
    <row r="2388">
      <c r="A2388" s="3">
        <f>IFERROR(__xludf.DUMMYFUNCTION("""COMPUTED_VALUE"""),43818.66666666667)</f>
        <v>43818.66667</v>
      </c>
      <c r="B2388" s="2">
        <f>IFERROR(__xludf.DUMMYFUNCTION("""COMPUTED_VALUE"""),26.49)</f>
        <v>26.49</v>
      </c>
      <c r="C2388" s="2">
        <f>IFERROR(__xludf.DUMMYFUNCTION("""COMPUTED_VALUE"""),27.12)</f>
        <v>27.12</v>
      </c>
      <c r="D2388" s="2">
        <f>IFERROR(__xludf.DUMMYFUNCTION("""COMPUTED_VALUE"""),26.43)</f>
        <v>26.43</v>
      </c>
      <c r="E2388" s="2">
        <f>IFERROR(__xludf.DUMMYFUNCTION("""COMPUTED_VALUE"""),26.94)</f>
        <v>26.94</v>
      </c>
      <c r="F2388" s="2">
        <f>IFERROR(__xludf.DUMMYFUNCTION("""COMPUTED_VALUE"""),1.8120307E7)</f>
        <v>18120307</v>
      </c>
    </row>
    <row r="2389">
      <c r="A2389" s="3">
        <f>IFERROR(__xludf.DUMMYFUNCTION("""COMPUTED_VALUE"""),43819.66666666667)</f>
        <v>43819.66667</v>
      </c>
      <c r="B2389" s="2">
        <f>IFERROR(__xludf.DUMMYFUNCTION("""COMPUTED_VALUE"""),27.35)</f>
        <v>27.35</v>
      </c>
      <c r="C2389" s="2">
        <f>IFERROR(__xludf.DUMMYFUNCTION("""COMPUTED_VALUE"""),27.53)</f>
        <v>27.53</v>
      </c>
      <c r="D2389" s="2">
        <f>IFERROR(__xludf.DUMMYFUNCTION("""COMPUTED_VALUE"""),26.68)</f>
        <v>26.68</v>
      </c>
      <c r="E2389" s="2">
        <f>IFERROR(__xludf.DUMMYFUNCTION("""COMPUTED_VALUE"""),27.04)</f>
        <v>27.04</v>
      </c>
      <c r="F2389" s="2">
        <f>IFERROR(__xludf.DUMMYFUNCTION("""COMPUTED_VALUE"""),1.4785206E7)</f>
        <v>14785206</v>
      </c>
    </row>
    <row r="2390">
      <c r="A2390" s="3">
        <f>IFERROR(__xludf.DUMMYFUNCTION("""COMPUTED_VALUE"""),43822.66666666667)</f>
        <v>43822.66667</v>
      </c>
      <c r="B2390" s="2">
        <f>IFERROR(__xludf.DUMMYFUNCTION("""COMPUTED_VALUE"""),27.45)</f>
        <v>27.45</v>
      </c>
      <c r="C2390" s="2">
        <f>IFERROR(__xludf.DUMMYFUNCTION("""COMPUTED_VALUE"""),28.13)</f>
        <v>28.13</v>
      </c>
      <c r="D2390" s="2">
        <f>IFERROR(__xludf.DUMMYFUNCTION("""COMPUTED_VALUE"""),27.33)</f>
        <v>27.33</v>
      </c>
      <c r="E2390" s="2">
        <f>IFERROR(__xludf.DUMMYFUNCTION("""COMPUTED_VALUE"""),27.95)</f>
        <v>27.95</v>
      </c>
      <c r="F2390" s="2">
        <f>IFERROR(__xludf.DUMMYFUNCTION("""COMPUTED_VALUE"""),1.3332821E7)</f>
        <v>13332821</v>
      </c>
    </row>
    <row r="2391">
      <c r="A2391" s="3">
        <f>IFERROR(__xludf.DUMMYFUNCTION("""COMPUTED_VALUE"""),43823.54166666667)</f>
        <v>43823.54167</v>
      </c>
      <c r="B2391" s="2">
        <f>IFERROR(__xludf.DUMMYFUNCTION("""COMPUTED_VALUE"""),27.89)</f>
        <v>27.89</v>
      </c>
      <c r="C2391" s="2">
        <f>IFERROR(__xludf.DUMMYFUNCTION("""COMPUTED_VALUE"""),28.36)</f>
        <v>28.36</v>
      </c>
      <c r="D2391" s="2">
        <f>IFERROR(__xludf.DUMMYFUNCTION("""COMPUTED_VALUE"""),27.51)</f>
        <v>27.51</v>
      </c>
      <c r="E2391" s="2">
        <f>IFERROR(__xludf.DUMMYFUNCTION("""COMPUTED_VALUE"""),28.35)</f>
        <v>28.35</v>
      </c>
      <c r="F2391" s="2">
        <f>IFERROR(__xludf.DUMMYFUNCTION("""COMPUTED_VALUE"""),8054720.0)</f>
        <v>8054720</v>
      </c>
    </row>
    <row r="2392">
      <c r="A2392" s="3">
        <f>IFERROR(__xludf.DUMMYFUNCTION("""COMPUTED_VALUE"""),43825.66666666667)</f>
        <v>43825.66667</v>
      </c>
      <c r="B2392" s="2">
        <f>IFERROR(__xludf.DUMMYFUNCTION("""COMPUTED_VALUE"""),28.53)</f>
        <v>28.53</v>
      </c>
      <c r="C2392" s="2">
        <f>IFERROR(__xludf.DUMMYFUNCTION("""COMPUTED_VALUE"""),28.9)</f>
        <v>28.9</v>
      </c>
      <c r="D2392" s="2">
        <f>IFERROR(__xludf.DUMMYFUNCTION("""COMPUTED_VALUE"""),28.42)</f>
        <v>28.42</v>
      </c>
      <c r="E2392" s="2">
        <f>IFERROR(__xludf.DUMMYFUNCTION("""COMPUTED_VALUE"""),28.73)</f>
        <v>28.73</v>
      </c>
      <c r="F2392" s="2">
        <f>IFERROR(__xludf.DUMMYFUNCTION("""COMPUTED_VALUE"""),1.0648289E7)</f>
        <v>10648289</v>
      </c>
    </row>
    <row r="2393">
      <c r="A2393" s="3">
        <f>IFERROR(__xludf.DUMMYFUNCTION("""COMPUTED_VALUE"""),43826.66666666667)</f>
        <v>43826.66667</v>
      </c>
      <c r="B2393" s="2">
        <f>IFERROR(__xludf.DUMMYFUNCTION("""COMPUTED_VALUE"""),29.0)</f>
        <v>29</v>
      </c>
      <c r="C2393" s="2">
        <f>IFERROR(__xludf.DUMMYFUNCTION("""COMPUTED_VALUE"""),29.02)</f>
        <v>29.02</v>
      </c>
      <c r="D2393" s="2">
        <f>IFERROR(__xludf.DUMMYFUNCTION("""COMPUTED_VALUE"""),28.41)</f>
        <v>28.41</v>
      </c>
      <c r="E2393" s="2">
        <f>IFERROR(__xludf.DUMMYFUNCTION("""COMPUTED_VALUE"""),28.69)</f>
        <v>28.69</v>
      </c>
      <c r="F2393" s="2">
        <f>IFERROR(__xludf.DUMMYFUNCTION("""COMPUTED_VALUE"""),9956827.0)</f>
        <v>9956827</v>
      </c>
    </row>
    <row r="2394">
      <c r="A2394" s="3">
        <f>IFERROR(__xludf.DUMMYFUNCTION("""COMPUTED_VALUE"""),43829.66666666667)</f>
        <v>43829.66667</v>
      </c>
      <c r="B2394" s="2">
        <f>IFERROR(__xludf.DUMMYFUNCTION("""COMPUTED_VALUE"""),28.59)</f>
        <v>28.59</v>
      </c>
      <c r="C2394" s="2">
        <f>IFERROR(__xludf.DUMMYFUNCTION("""COMPUTED_VALUE"""),28.6)</f>
        <v>28.6</v>
      </c>
      <c r="D2394" s="2">
        <f>IFERROR(__xludf.DUMMYFUNCTION("""COMPUTED_VALUE"""),27.28)</f>
        <v>27.28</v>
      </c>
      <c r="E2394" s="2">
        <f>IFERROR(__xludf.DUMMYFUNCTION("""COMPUTED_VALUE"""),27.65)</f>
        <v>27.65</v>
      </c>
      <c r="F2394" s="2">
        <f>IFERROR(__xludf.DUMMYFUNCTION("""COMPUTED_VALUE"""),1.2601265E7)</f>
        <v>12601265</v>
      </c>
    </row>
    <row r="2395">
      <c r="A2395" s="3">
        <f>IFERROR(__xludf.DUMMYFUNCTION("""COMPUTED_VALUE"""),43830.66666666667)</f>
        <v>43830.66667</v>
      </c>
      <c r="B2395" s="2">
        <f>IFERROR(__xludf.DUMMYFUNCTION("""COMPUTED_VALUE"""),27.0)</f>
        <v>27</v>
      </c>
      <c r="C2395" s="2">
        <f>IFERROR(__xludf.DUMMYFUNCTION("""COMPUTED_VALUE"""),28.09)</f>
        <v>28.09</v>
      </c>
      <c r="D2395" s="2">
        <f>IFERROR(__xludf.DUMMYFUNCTION("""COMPUTED_VALUE"""),26.81)</f>
        <v>26.81</v>
      </c>
      <c r="E2395" s="2">
        <f>IFERROR(__xludf.DUMMYFUNCTION("""COMPUTED_VALUE"""),27.89)</f>
        <v>27.89</v>
      </c>
      <c r="F2395" s="2">
        <f>IFERROR(__xludf.DUMMYFUNCTION("""COMPUTED_VALUE"""),1.0292456E7)</f>
        <v>10292456</v>
      </c>
    </row>
    <row r="2396">
      <c r="A2396" s="3">
        <f>IFERROR(__xludf.DUMMYFUNCTION("""COMPUTED_VALUE"""),43832.66666666667)</f>
        <v>43832.66667</v>
      </c>
      <c r="B2396" s="2">
        <f>IFERROR(__xludf.DUMMYFUNCTION("""COMPUTED_VALUE"""),28.3)</f>
        <v>28.3</v>
      </c>
      <c r="C2396" s="2">
        <f>IFERROR(__xludf.DUMMYFUNCTION("""COMPUTED_VALUE"""),28.71)</f>
        <v>28.71</v>
      </c>
      <c r="D2396" s="2">
        <f>IFERROR(__xludf.DUMMYFUNCTION("""COMPUTED_VALUE"""),28.11)</f>
        <v>28.11</v>
      </c>
      <c r="E2396" s="2">
        <f>IFERROR(__xludf.DUMMYFUNCTION("""COMPUTED_VALUE"""),28.68)</f>
        <v>28.68</v>
      </c>
      <c r="F2396" s="2">
        <f>IFERROR(__xludf.DUMMYFUNCTION("""COMPUTED_VALUE"""),9558386.0)</f>
        <v>9558386</v>
      </c>
    </row>
    <row r="2397">
      <c r="A2397" s="3">
        <f>IFERROR(__xludf.DUMMYFUNCTION("""COMPUTED_VALUE"""),43833.66666666667)</f>
        <v>43833.66667</v>
      </c>
      <c r="B2397" s="2">
        <f>IFERROR(__xludf.DUMMYFUNCTION("""COMPUTED_VALUE"""),29.37)</f>
        <v>29.37</v>
      </c>
      <c r="C2397" s="2">
        <f>IFERROR(__xludf.DUMMYFUNCTION("""COMPUTED_VALUE"""),30.27)</f>
        <v>30.27</v>
      </c>
      <c r="D2397" s="2">
        <f>IFERROR(__xludf.DUMMYFUNCTION("""COMPUTED_VALUE"""),29.13)</f>
        <v>29.13</v>
      </c>
      <c r="E2397" s="2">
        <f>IFERROR(__xludf.DUMMYFUNCTION("""COMPUTED_VALUE"""),29.53)</f>
        <v>29.53</v>
      </c>
      <c r="F2397" s="2">
        <f>IFERROR(__xludf.DUMMYFUNCTION("""COMPUTED_VALUE"""),1.7794697E7)</f>
        <v>17794697</v>
      </c>
    </row>
    <row r="2398">
      <c r="A2398" s="3">
        <f>IFERROR(__xludf.DUMMYFUNCTION("""COMPUTED_VALUE"""),43836.66666666667)</f>
        <v>43836.66667</v>
      </c>
      <c r="B2398" s="2">
        <f>IFERROR(__xludf.DUMMYFUNCTION("""COMPUTED_VALUE"""),29.36)</f>
        <v>29.36</v>
      </c>
      <c r="C2398" s="2">
        <f>IFERROR(__xludf.DUMMYFUNCTION("""COMPUTED_VALUE"""),30.1)</f>
        <v>30.1</v>
      </c>
      <c r="D2398" s="2">
        <f>IFERROR(__xludf.DUMMYFUNCTION("""COMPUTED_VALUE"""),29.33)</f>
        <v>29.33</v>
      </c>
      <c r="E2398" s="2">
        <f>IFERROR(__xludf.DUMMYFUNCTION("""COMPUTED_VALUE"""),30.1)</f>
        <v>30.1</v>
      </c>
      <c r="F2398" s="2">
        <f>IFERROR(__xludf.DUMMYFUNCTION("""COMPUTED_VALUE"""),1.0157499E7)</f>
        <v>10157499</v>
      </c>
    </row>
    <row r="2399">
      <c r="A2399" s="3">
        <f>IFERROR(__xludf.DUMMYFUNCTION("""COMPUTED_VALUE"""),43837.66666666667)</f>
        <v>43837.66667</v>
      </c>
      <c r="B2399" s="2">
        <f>IFERROR(__xludf.DUMMYFUNCTION("""COMPUTED_VALUE"""),30.76)</f>
        <v>30.76</v>
      </c>
      <c r="C2399" s="2">
        <f>IFERROR(__xludf.DUMMYFUNCTION("""COMPUTED_VALUE"""),31.44)</f>
        <v>31.44</v>
      </c>
      <c r="D2399" s="2">
        <f>IFERROR(__xludf.DUMMYFUNCTION("""COMPUTED_VALUE"""),30.22)</f>
        <v>30.22</v>
      </c>
      <c r="E2399" s="2">
        <f>IFERROR(__xludf.DUMMYFUNCTION("""COMPUTED_VALUE"""),31.27)</f>
        <v>31.27</v>
      </c>
      <c r="F2399" s="2">
        <f>IFERROR(__xludf.DUMMYFUNCTION("""COMPUTED_VALUE"""),1.8209138E7)</f>
        <v>18209138</v>
      </c>
    </row>
    <row r="2400">
      <c r="A2400" s="3">
        <f>IFERROR(__xludf.DUMMYFUNCTION("""COMPUTED_VALUE"""),43838.66666666667)</f>
        <v>43838.66667</v>
      </c>
      <c r="B2400" s="2">
        <f>IFERROR(__xludf.DUMMYFUNCTION("""COMPUTED_VALUE"""),31.58)</f>
        <v>31.58</v>
      </c>
      <c r="C2400" s="2">
        <f>IFERROR(__xludf.DUMMYFUNCTION("""COMPUTED_VALUE"""),33.23)</f>
        <v>33.23</v>
      </c>
      <c r="D2400" s="2">
        <f>IFERROR(__xludf.DUMMYFUNCTION("""COMPUTED_VALUE"""),31.22)</f>
        <v>31.22</v>
      </c>
      <c r="E2400" s="2">
        <f>IFERROR(__xludf.DUMMYFUNCTION("""COMPUTED_VALUE"""),32.81)</f>
        <v>32.81</v>
      </c>
      <c r="F2400" s="2">
        <f>IFERROR(__xludf.DUMMYFUNCTION("""COMPUTED_VALUE"""),3.1199393E7)</f>
        <v>31199393</v>
      </c>
    </row>
    <row r="2401">
      <c r="A2401" s="3">
        <f>IFERROR(__xludf.DUMMYFUNCTION("""COMPUTED_VALUE"""),43839.66666666667)</f>
        <v>43839.66667</v>
      </c>
      <c r="B2401" s="2">
        <f>IFERROR(__xludf.DUMMYFUNCTION("""COMPUTED_VALUE"""),33.14)</f>
        <v>33.14</v>
      </c>
      <c r="C2401" s="2">
        <f>IFERROR(__xludf.DUMMYFUNCTION("""COMPUTED_VALUE"""),33.25)</f>
        <v>33.25</v>
      </c>
      <c r="D2401" s="2">
        <f>IFERROR(__xludf.DUMMYFUNCTION("""COMPUTED_VALUE"""),31.52)</f>
        <v>31.52</v>
      </c>
      <c r="E2401" s="2">
        <f>IFERROR(__xludf.DUMMYFUNCTION("""COMPUTED_VALUE"""),32.09)</f>
        <v>32.09</v>
      </c>
      <c r="F2401" s="2">
        <f>IFERROR(__xludf.DUMMYFUNCTION("""COMPUTED_VALUE"""),2.8463186E7)</f>
        <v>28463186</v>
      </c>
    </row>
    <row r="2402">
      <c r="A2402" s="3">
        <f>IFERROR(__xludf.DUMMYFUNCTION("""COMPUTED_VALUE"""),43840.66666666667)</f>
        <v>43840.66667</v>
      </c>
      <c r="B2402" s="2">
        <f>IFERROR(__xludf.DUMMYFUNCTION("""COMPUTED_VALUE"""),32.12)</f>
        <v>32.12</v>
      </c>
      <c r="C2402" s="2">
        <f>IFERROR(__xludf.DUMMYFUNCTION("""COMPUTED_VALUE"""),32.33)</f>
        <v>32.33</v>
      </c>
      <c r="D2402" s="2">
        <f>IFERROR(__xludf.DUMMYFUNCTION("""COMPUTED_VALUE"""),31.58)</f>
        <v>31.58</v>
      </c>
      <c r="E2402" s="2">
        <f>IFERROR(__xludf.DUMMYFUNCTION("""COMPUTED_VALUE"""),31.88)</f>
        <v>31.88</v>
      </c>
      <c r="F2402" s="2">
        <f>IFERROR(__xludf.DUMMYFUNCTION("""COMPUTED_VALUE"""),1.2976832E7)</f>
        <v>12976832</v>
      </c>
    </row>
    <row r="2403">
      <c r="A2403" s="3">
        <f>IFERROR(__xludf.DUMMYFUNCTION("""COMPUTED_VALUE"""),43843.66666666667)</f>
        <v>43843.66667</v>
      </c>
      <c r="B2403" s="2">
        <f>IFERROR(__xludf.DUMMYFUNCTION("""COMPUTED_VALUE"""),32.9)</f>
        <v>32.9</v>
      </c>
      <c r="C2403" s="2">
        <f>IFERROR(__xludf.DUMMYFUNCTION("""COMPUTED_VALUE"""),35.04)</f>
        <v>35.04</v>
      </c>
      <c r="D2403" s="2">
        <f>IFERROR(__xludf.DUMMYFUNCTION("""COMPUTED_VALUE"""),32.8)</f>
        <v>32.8</v>
      </c>
      <c r="E2403" s="2">
        <f>IFERROR(__xludf.DUMMYFUNCTION("""COMPUTED_VALUE"""),34.99)</f>
        <v>34.99</v>
      </c>
      <c r="F2403" s="2">
        <f>IFERROR(__xludf.DUMMYFUNCTION("""COMPUTED_VALUE"""),2.6634547E7)</f>
        <v>26634547</v>
      </c>
    </row>
    <row r="2404">
      <c r="A2404" s="3">
        <f>IFERROR(__xludf.DUMMYFUNCTION("""COMPUTED_VALUE"""),43844.66666666667)</f>
        <v>43844.66667</v>
      </c>
      <c r="B2404" s="2">
        <f>IFERROR(__xludf.DUMMYFUNCTION("""COMPUTED_VALUE"""),36.28)</f>
        <v>36.28</v>
      </c>
      <c r="C2404" s="2">
        <f>IFERROR(__xludf.DUMMYFUNCTION("""COMPUTED_VALUE"""),36.49)</f>
        <v>36.49</v>
      </c>
      <c r="D2404" s="2">
        <f>IFERROR(__xludf.DUMMYFUNCTION("""COMPUTED_VALUE"""),34.99)</f>
        <v>34.99</v>
      </c>
      <c r="E2404" s="2">
        <f>IFERROR(__xludf.DUMMYFUNCTION("""COMPUTED_VALUE"""),35.86)</f>
        <v>35.86</v>
      </c>
      <c r="F2404" s="2">
        <f>IFERROR(__xludf.DUMMYFUNCTION("""COMPUTED_VALUE"""),2.9061377E7)</f>
        <v>29061377</v>
      </c>
    </row>
    <row r="2405">
      <c r="A2405" s="3">
        <f>IFERROR(__xludf.DUMMYFUNCTION("""COMPUTED_VALUE"""),43845.66666666667)</f>
        <v>43845.66667</v>
      </c>
      <c r="B2405" s="2">
        <f>IFERROR(__xludf.DUMMYFUNCTION("""COMPUTED_VALUE"""),35.32)</f>
        <v>35.32</v>
      </c>
      <c r="C2405" s="2">
        <f>IFERROR(__xludf.DUMMYFUNCTION("""COMPUTED_VALUE"""),35.86)</f>
        <v>35.86</v>
      </c>
      <c r="D2405" s="2">
        <f>IFERROR(__xludf.DUMMYFUNCTION("""COMPUTED_VALUE"""),34.45)</f>
        <v>34.45</v>
      </c>
      <c r="E2405" s="2">
        <f>IFERROR(__xludf.DUMMYFUNCTION("""COMPUTED_VALUE"""),34.57)</f>
        <v>34.57</v>
      </c>
      <c r="F2405" s="2">
        <f>IFERROR(__xludf.DUMMYFUNCTION("""COMPUTED_VALUE"""),1.7368831E7)</f>
        <v>17368831</v>
      </c>
    </row>
    <row r="2406">
      <c r="A2406" s="3">
        <f>IFERROR(__xludf.DUMMYFUNCTION("""COMPUTED_VALUE"""),43846.66666666667)</f>
        <v>43846.66667</v>
      </c>
      <c r="B2406" s="2">
        <f>IFERROR(__xludf.DUMMYFUNCTION("""COMPUTED_VALUE"""),32.92)</f>
        <v>32.92</v>
      </c>
      <c r="C2406" s="2">
        <f>IFERROR(__xludf.DUMMYFUNCTION("""COMPUTED_VALUE"""),34.3)</f>
        <v>34.3</v>
      </c>
      <c r="D2406" s="2">
        <f>IFERROR(__xludf.DUMMYFUNCTION("""COMPUTED_VALUE"""),32.81)</f>
        <v>32.81</v>
      </c>
      <c r="E2406" s="2">
        <f>IFERROR(__xludf.DUMMYFUNCTION("""COMPUTED_VALUE"""),34.23)</f>
        <v>34.23</v>
      </c>
      <c r="F2406" s="2">
        <f>IFERROR(__xludf.DUMMYFUNCTION("""COMPUTED_VALUE"""),2.1736653E7)</f>
        <v>21736653</v>
      </c>
    </row>
    <row r="2407">
      <c r="A2407" s="3">
        <f>IFERROR(__xludf.DUMMYFUNCTION("""COMPUTED_VALUE"""),43847.66666666667)</f>
        <v>43847.66667</v>
      </c>
      <c r="B2407" s="2">
        <f>IFERROR(__xludf.DUMMYFUNCTION("""COMPUTED_VALUE"""),33.84)</f>
        <v>33.84</v>
      </c>
      <c r="C2407" s="2">
        <f>IFERROR(__xludf.DUMMYFUNCTION("""COMPUTED_VALUE"""),34.38)</f>
        <v>34.38</v>
      </c>
      <c r="D2407" s="2">
        <f>IFERROR(__xludf.DUMMYFUNCTION("""COMPUTED_VALUE"""),33.54)</f>
        <v>33.54</v>
      </c>
      <c r="E2407" s="2">
        <f>IFERROR(__xludf.DUMMYFUNCTION("""COMPUTED_VALUE"""),34.03)</f>
        <v>34.03</v>
      </c>
      <c r="F2407" s="2">
        <f>IFERROR(__xludf.DUMMYFUNCTION("""COMPUTED_VALUE"""),1.3629073E7)</f>
        <v>13629073</v>
      </c>
    </row>
    <row r="2408">
      <c r="A2408" s="3">
        <f>IFERROR(__xludf.DUMMYFUNCTION("""COMPUTED_VALUE"""),43851.66666666667)</f>
        <v>43851.66667</v>
      </c>
      <c r="B2408" s="2">
        <f>IFERROR(__xludf.DUMMYFUNCTION("""COMPUTED_VALUE"""),35.35)</f>
        <v>35.35</v>
      </c>
      <c r="C2408" s="2">
        <f>IFERROR(__xludf.DUMMYFUNCTION("""COMPUTED_VALUE"""),36.57)</f>
        <v>36.57</v>
      </c>
      <c r="D2408" s="2">
        <f>IFERROR(__xludf.DUMMYFUNCTION("""COMPUTED_VALUE"""),35.23)</f>
        <v>35.23</v>
      </c>
      <c r="E2408" s="2">
        <f>IFERROR(__xludf.DUMMYFUNCTION("""COMPUTED_VALUE"""),36.48)</f>
        <v>36.48</v>
      </c>
      <c r="F2408" s="2">
        <f>IFERROR(__xludf.DUMMYFUNCTION("""COMPUTED_VALUE"""),1.7803471E7)</f>
        <v>17803471</v>
      </c>
    </row>
    <row r="2409">
      <c r="A2409" s="3">
        <f>IFERROR(__xludf.DUMMYFUNCTION("""COMPUTED_VALUE"""),43852.66666666667)</f>
        <v>43852.66667</v>
      </c>
      <c r="B2409" s="2">
        <f>IFERROR(__xludf.DUMMYFUNCTION("""COMPUTED_VALUE"""),38.13)</f>
        <v>38.13</v>
      </c>
      <c r="C2409" s="2">
        <f>IFERROR(__xludf.DUMMYFUNCTION("""COMPUTED_VALUE"""),39.63)</f>
        <v>39.63</v>
      </c>
      <c r="D2409" s="2">
        <f>IFERROR(__xludf.DUMMYFUNCTION("""COMPUTED_VALUE"""),37.27)</f>
        <v>37.27</v>
      </c>
      <c r="E2409" s="2">
        <f>IFERROR(__xludf.DUMMYFUNCTION("""COMPUTED_VALUE"""),37.97)</f>
        <v>37.97</v>
      </c>
      <c r="F2409" s="2">
        <f>IFERROR(__xludf.DUMMYFUNCTION("""COMPUTED_VALUE"""),3.1369028E7)</f>
        <v>31369028</v>
      </c>
    </row>
    <row r="2410">
      <c r="A2410" s="3">
        <f>IFERROR(__xludf.DUMMYFUNCTION("""COMPUTED_VALUE"""),43853.66666666667)</f>
        <v>43853.66667</v>
      </c>
      <c r="B2410" s="2">
        <f>IFERROR(__xludf.DUMMYFUNCTION("""COMPUTED_VALUE"""),37.62)</f>
        <v>37.62</v>
      </c>
      <c r="C2410" s="2">
        <f>IFERROR(__xludf.DUMMYFUNCTION("""COMPUTED_VALUE"""),38.8)</f>
        <v>38.8</v>
      </c>
      <c r="D2410" s="2">
        <f>IFERROR(__xludf.DUMMYFUNCTION("""COMPUTED_VALUE"""),37.04)</f>
        <v>37.04</v>
      </c>
      <c r="E2410" s="2">
        <f>IFERROR(__xludf.DUMMYFUNCTION("""COMPUTED_VALUE"""),38.15)</f>
        <v>38.15</v>
      </c>
      <c r="F2410" s="2">
        <f>IFERROR(__xludf.DUMMYFUNCTION("""COMPUTED_VALUE"""),1.9651042E7)</f>
        <v>19651042</v>
      </c>
    </row>
    <row r="2411">
      <c r="A2411" s="3">
        <f>IFERROR(__xludf.DUMMYFUNCTION("""COMPUTED_VALUE"""),43854.66666666667)</f>
        <v>43854.66667</v>
      </c>
      <c r="B2411" s="2">
        <f>IFERROR(__xludf.DUMMYFUNCTION("""COMPUTED_VALUE"""),38.04)</f>
        <v>38.04</v>
      </c>
      <c r="C2411" s="2">
        <f>IFERROR(__xludf.DUMMYFUNCTION("""COMPUTED_VALUE"""),38.26)</f>
        <v>38.26</v>
      </c>
      <c r="D2411" s="2">
        <f>IFERROR(__xludf.DUMMYFUNCTION("""COMPUTED_VALUE"""),36.95)</f>
        <v>36.95</v>
      </c>
      <c r="E2411" s="2">
        <f>IFERROR(__xludf.DUMMYFUNCTION("""COMPUTED_VALUE"""),37.65)</f>
        <v>37.65</v>
      </c>
      <c r="F2411" s="2">
        <f>IFERROR(__xludf.DUMMYFUNCTION("""COMPUTED_VALUE"""),1.43536E7)</f>
        <v>14353600</v>
      </c>
    </row>
    <row r="2412">
      <c r="A2412" s="3">
        <f>IFERROR(__xludf.DUMMYFUNCTION("""COMPUTED_VALUE"""),43857.66666666667)</f>
        <v>43857.66667</v>
      </c>
      <c r="B2412" s="2">
        <f>IFERROR(__xludf.DUMMYFUNCTION("""COMPUTED_VALUE"""),36.13)</f>
        <v>36.13</v>
      </c>
      <c r="C2412" s="2">
        <f>IFERROR(__xludf.DUMMYFUNCTION("""COMPUTED_VALUE"""),37.63)</f>
        <v>37.63</v>
      </c>
      <c r="D2412" s="2">
        <f>IFERROR(__xludf.DUMMYFUNCTION("""COMPUTED_VALUE"""),35.95)</f>
        <v>35.95</v>
      </c>
      <c r="E2412" s="2">
        <f>IFERROR(__xludf.DUMMYFUNCTION("""COMPUTED_VALUE"""),37.2)</f>
        <v>37.2</v>
      </c>
      <c r="F2412" s="2">
        <f>IFERROR(__xludf.DUMMYFUNCTION("""COMPUTED_VALUE"""),1.3608068E7)</f>
        <v>13608068</v>
      </c>
    </row>
    <row r="2413">
      <c r="A2413" s="3">
        <f>IFERROR(__xludf.DUMMYFUNCTION("""COMPUTED_VALUE"""),43858.66666666667)</f>
        <v>43858.66667</v>
      </c>
      <c r="B2413" s="2">
        <f>IFERROR(__xludf.DUMMYFUNCTION("""COMPUTED_VALUE"""),37.9)</f>
        <v>37.9</v>
      </c>
      <c r="C2413" s="2">
        <f>IFERROR(__xludf.DUMMYFUNCTION("""COMPUTED_VALUE"""),38.45)</f>
        <v>38.45</v>
      </c>
      <c r="D2413" s="2">
        <f>IFERROR(__xludf.DUMMYFUNCTION("""COMPUTED_VALUE"""),37.21)</f>
        <v>37.21</v>
      </c>
      <c r="E2413" s="2">
        <f>IFERROR(__xludf.DUMMYFUNCTION("""COMPUTED_VALUE"""),37.79)</f>
        <v>37.79</v>
      </c>
      <c r="F2413" s="2">
        <f>IFERROR(__xludf.DUMMYFUNCTION("""COMPUTED_VALUE"""),1.1788493E7)</f>
        <v>11788493</v>
      </c>
    </row>
    <row r="2414">
      <c r="A2414" s="3">
        <f>IFERROR(__xludf.DUMMYFUNCTION("""COMPUTED_VALUE"""),43859.66666666667)</f>
        <v>43859.66667</v>
      </c>
      <c r="B2414" s="2">
        <f>IFERROR(__xludf.DUMMYFUNCTION("""COMPUTED_VALUE"""),38.38)</f>
        <v>38.38</v>
      </c>
      <c r="C2414" s="2">
        <f>IFERROR(__xludf.DUMMYFUNCTION("""COMPUTED_VALUE"""),39.32)</f>
        <v>39.32</v>
      </c>
      <c r="D2414" s="2">
        <f>IFERROR(__xludf.DUMMYFUNCTION("""COMPUTED_VALUE"""),37.83)</f>
        <v>37.83</v>
      </c>
      <c r="E2414" s="2">
        <f>IFERROR(__xludf.DUMMYFUNCTION("""COMPUTED_VALUE"""),38.73)</f>
        <v>38.73</v>
      </c>
      <c r="F2414" s="2">
        <f>IFERROR(__xludf.DUMMYFUNCTION("""COMPUTED_VALUE"""),1.8216672E7)</f>
        <v>18216672</v>
      </c>
    </row>
    <row r="2415">
      <c r="A2415" s="3">
        <f>IFERROR(__xludf.DUMMYFUNCTION("""COMPUTED_VALUE"""),43860.66666666667)</f>
        <v>43860.66667</v>
      </c>
      <c r="B2415" s="2">
        <f>IFERROR(__xludf.DUMMYFUNCTION("""COMPUTED_VALUE"""),42.16)</f>
        <v>42.16</v>
      </c>
      <c r="C2415" s="2">
        <f>IFERROR(__xludf.DUMMYFUNCTION("""COMPUTED_VALUE"""),43.39)</f>
        <v>43.39</v>
      </c>
      <c r="D2415" s="2">
        <f>IFERROR(__xludf.DUMMYFUNCTION("""COMPUTED_VALUE"""),41.2)</f>
        <v>41.2</v>
      </c>
      <c r="E2415" s="2">
        <f>IFERROR(__xludf.DUMMYFUNCTION("""COMPUTED_VALUE"""),42.72)</f>
        <v>42.72</v>
      </c>
      <c r="F2415" s="2">
        <f>IFERROR(__xludf.DUMMYFUNCTION("""COMPUTED_VALUE"""),2.9005676E7)</f>
        <v>29005676</v>
      </c>
    </row>
    <row r="2416">
      <c r="A2416" s="3">
        <f>IFERROR(__xludf.DUMMYFUNCTION("""COMPUTED_VALUE"""),43861.66666666667)</f>
        <v>43861.66667</v>
      </c>
      <c r="B2416" s="2">
        <f>IFERROR(__xludf.DUMMYFUNCTION("""COMPUTED_VALUE"""),42.67)</f>
        <v>42.67</v>
      </c>
      <c r="C2416" s="2">
        <f>IFERROR(__xludf.DUMMYFUNCTION("""COMPUTED_VALUE"""),43.53)</f>
        <v>43.53</v>
      </c>
      <c r="D2416" s="2">
        <f>IFERROR(__xludf.DUMMYFUNCTION("""COMPUTED_VALUE"""),42.17)</f>
        <v>42.17</v>
      </c>
      <c r="E2416" s="2">
        <f>IFERROR(__xludf.DUMMYFUNCTION("""COMPUTED_VALUE"""),43.37)</f>
        <v>43.37</v>
      </c>
      <c r="F2416" s="2">
        <f>IFERROR(__xludf.DUMMYFUNCTION("""COMPUTED_VALUE"""),1.5719266E7)</f>
        <v>15719266</v>
      </c>
    </row>
    <row r="2417">
      <c r="A2417" s="3">
        <f>IFERROR(__xludf.DUMMYFUNCTION("""COMPUTED_VALUE"""),43864.66666666667)</f>
        <v>43864.66667</v>
      </c>
      <c r="B2417" s="2">
        <f>IFERROR(__xludf.DUMMYFUNCTION("""COMPUTED_VALUE"""),44.91)</f>
        <v>44.91</v>
      </c>
      <c r="C2417" s="2">
        <f>IFERROR(__xludf.DUMMYFUNCTION("""COMPUTED_VALUE"""),52.41)</f>
        <v>52.41</v>
      </c>
      <c r="D2417" s="2">
        <f>IFERROR(__xludf.DUMMYFUNCTION("""COMPUTED_VALUE"""),44.9)</f>
        <v>44.9</v>
      </c>
      <c r="E2417" s="2">
        <f>IFERROR(__xludf.DUMMYFUNCTION("""COMPUTED_VALUE"""),52.0)</f>
        <v>52</v>
      </c>
      <c r="F2417" s="2">
        <f>IFERROR(__xludf.DUMMYFUNCTION("""COMPUTED_VALUE"""),4.7233495E7)</f>
        <v>47233495</v>
      </c>
    </row>
    <row r="2418">
      <c r="A2418" s="3">
        <f>IFERROR(__xludf.DUMMYFUNCTION("""COMPUTED_VALUE"""),43865.66666666667)</f>
        <v>43865.66667</v>
      </c>
      <c r="B2418" s="2">
        <f>IFERROR(__xludf.DUMMYFUNCTION("""COMPUTED_VALUE"""),58.86)</f>
        <v>58.86</v>
      </c>
      <c r="C2418" s="2">
        <f>IFERROR(__xludf.DUMMYFUNCTION("""COMPUTED_VALUE"""),64.6)</f>
        <v>64.6</v>
      </c>
      <c r="D2418" s="2">
        <f>IFERROR(__xludf.DUMMYFUNCTION("""COMPUTED_VALUE"""),55.59)</f>
        <v>55.59</v>
      </c>
      <c r="E2418" s="2">
        <f>IFERROR(__xludf.DUMMYFUNCTION("""COMPUTED_VALUE"""),59.14)</f>
        <v>59.14</v>
      </c>
      <c r="F2418" s="2">
        <f>IFERROR(__xludf.DUMMYFUNCTION("""COMPUTED_VALUE"""),6.0938758E7)</f>
        <v>60938758</v>
      </c>
    </row>
    <row r="2419">
      <c r="A2419" s="3">
        <f>IFERROR(__xludf.DUMMYFUNCTION("""COMPUTED_VALUE"""),43866.66666666667)</f>
        <v>43866.66667</v>
      </c>
      <c r="B2419" s="2">
        <f>IFERROR(__xludf.DUMMYFUNCTION("""COMPUTED_VALUE"""),54.88)</f>
        <v>54.88</v>
      </c>
      <c r="C2419" s="2">
        <f>IFERROR(__xludf.DUMMYFUNCTION("""COMPUTED_VALUE"""),56.4)</f>
        <v>56.4</v>
      </c>
      <c r="D2419" s="2">
        <f>IFERROR(__xludf.DUMMYFUNCTION("""COMPUTED_VALUE"""),46.94)</f>
        <v>46.94</v>
      </c>
      <c r="E2419" s="2">
        <f>IFERROR(__xludf.DUMMYFUNCTION("""COMPUTED_VALUE"""),48.98)</f>
        <v>48.98</v>
      </c>
      <c r="F2419" s="2">
        <f>IFERROR(__xludf.DUMMYFUNCTION("""COMPUTED_VALUE"""),4.8423837E7)</f>
        <v>48423837</v>
      </c>
    </row>
    <row r="2420">
      <c r="A2420" s="3">
        <f>IFERROR(__xludf.DUMMYFUNCTION("""COMPUTED_VALUE"""),43867.66666666667)</f>
        <v>43867.66667</v>
      </c>
      <c r="B2420" s="2">
        <f>IFERROR(__xludf.DUMMYFUNCTION("""COMPUTED_VALUE"""),46.66)</f>
        <v>46.66</v>
      </c>
      <c r="C2420" s="2">
        <f>IFERROR(__xludf.DUMMYFUNCTION("""COMPUTED_VALUE"""),53.06)</f>
        <v>53.06</v>
      </c>
      <c r="D2420" s="2">
        <f>IFERROR(__xludf.DUMMYFUNCTION("""COMPUTED_VALUE"""),45.8)</f>
        <v>45.8</v>
      </c>
      <c r="E2420" s="2">
        <f>IFERROR(__xludf.DUMMYFUNCTION("""COMPUTED_VALUE"""),49.93)</f>
        <v>49.93</v>
      </c>
      <c r="F2420" s="2">
        <f>IFERROR(__xludf.DUMMYFUNCTION("""COMPUTED_VALUE"""),3.9880752E7)</f>
        <v>39880752</v>
      </c>
    </row>
    <row r="2421">
      <c r="A2421" s="3">
        <f>IFERROR(__xludf.DUMMYFUNCTION("""COMPUTED_VALUE"""),43868.66666666667)</f>
        <v>43868.66667</v>
      </c>
      <c r="B2421" s="2">
        <f>IFERROR(__xludf.DUMMYFUNCTION("""COMPUTED_VALUE"""),48.7)</f>
        <v>48.7</v>
      </c>
      <c r="C2421" s="2">
        <f>IFERROR(__xludf.DUMMYFUNCTION("""COMPUTED_VALUE"""),51.32)</f>
        <v>51.32</v>
      </c>
      <c r="D2421" s="2">
        <f>IFERROR(__xludf.DUMMYFUNCTION("""COMPUTED_VALUE"""),48.67)</f>
        <v>48.67</v>
      </c>
      <c r="E2421" s="2">
        <f>IFERROR(__xludf.DUMMYFUNCTION("""COMPUTED_VALUE"""),49.87)</f>
        <v>49.87</v>
      </c>
      <c r="F2421" s="2">
        <f>IFERROR(__xludf.DUMMYFUNCTION("""COMPUTED_VALUE"""),1.7063521E7)</f>
        <v>17063521</v>
      </c>
    </row>
    <row r="2422">
      <c r="A2422" s="3">
        <f>IFERROR(__xludf.DUMMYFUNCTION("""COMPUTED_VALUE"""),43871.66666666667)</f>
        <v>43871.66667</v>
      </c>
      <c r="B2422" s="2">
        <f>IFERROR(__xludf.DUMMYFUNCTION("""COMPUTED_VALUE"""),53.33)</f>
        <v>53.33</v>
      </c>
      <c r="C2422" s="2">
        <f>IFERROR(__xludf.DUMMYFUNCTION("""COMPUTED_VALUE"""),54.67)</f>
        <v>54.67</v>
      </c>
      <c r="D2422" s="2">
        <f>IFERROR(__xludf.DUMMYFUNCTION("""COMPUTED_VALUE"""),50.16)</f>
        <v>50.16</v>
      </c>
      <c r="E2422" s="2">
        <f>IFERROR(__xludf.DUMMYFUNCTION("""COMPUTED_VALUE"""),51.42)</f>
        <v>51.42</v>
      </c>
      <c r="F2422" s="2">
        <f>IFERROR(__xludf.DUMMYFUNCTION("""COMPUTED_VALUE"""),2.4689163E7)</f>
        <v>24689163</v>
      </c>
    </row>
    <row r="2423">
      <c r="A2423" s="3">
        <f>IFERROR(__xludf.DUMMYFUNCTION("""COMPUTED_VALUE"""),43872.66666666667)</f>
        <v>43872.66667</v>
      </c>
      <c r="B2423" s="2">
        <f>IFERROR(__xludf.DUMMYFUNCTION("""COMPUTED_VALUE"""),51.25)</f>
        <v>51.25</v>
      </c>
      <c r="C2423" s="2">
        <f>IFERROR(__xludf.DUMMYFUNCTION("""COMPUTED_VALUE"""),52.23)</f>
        <v>52.23</v>
      </c>
      <c r="D2423" s="2">
        <f>IFERROR(__xludf.DUMMYFUNCTION("""COMPUTED_VALUE"""),50.53)</f>
        <v>50.53</v>
      </c>
      <c r="E2423" s="2">
        <f>IFERROR(__xludf.DUMMYFUNCTION("""COMPUTED_VALUE"""),51.63)</f>
        <v>51.63</v>
      </c>
      <c r="F2423" s="2">
        <f>IFERROR(__xludf.DUMMYFUNCTION("""COMPUTED_VALUE"""),1.1697473E7)</f>
        <v>11697473</v>
      </c>
    </row>
    <row r="2424">
      <c r="A2424" s="3">
        <f>IFERROR(__xludf.DUMMYFUNCTION("""COMPUTED_VALUE"""),43873.66666666667)</f>
        <v>43873.66667</v>
      </c>
      <c r="B2424" s="2">
        <f>IFERROR(__xludf.DUMMYFUNCTION("""COMPUTED_VALUE"""),51.86)</f>
        <v>51.86</v>
      </c>
      <c r="C2424" s="2">
        <f>IFERROR(__xludf.DUMMYFUNCTION("""COMPUTED_VALUE"""),52.65)</f>
        <v>52.65</v>
      </c>
      <c r="D2424" s="2">
        <f>IFERROR(__xludf.DUMMYFUNCTION("""COMPUTED_VALUE"""),50.89)</f>
        <v>50.89</v>
      </c>
      <c r="E2424" s="2">
        <f>IFERROR(__xludf.DUMMYFUNCTION("""COMPUTED_VALUE"""),51.15)</f>
        <v>51.15</v>
      </c>
      <c r="F2424" s="2">
        <f>IFERROR(__xludf.DUMMYFUNCTION("""COMPUTED_VALUE"""),1.202247E7)</f>
        <v>12022470</v>
      </c>
    </row>
    <row r="2425">
      <c r="A2425" s="3">
        <f>IFERROR(__xludf.DUMMYFUNCTION("""COMPUTED_VALUE"""),43874.66666666667)</f>
        <v>43874.66667</v>
      </c>
      <c r="B2425" s="2">
        <f>IFERROR(__xludf.DUMMYFUNCTION("""COMPUTED_VALUE"""),49.46)</f>
        <v>49.46</v>
      </c>
      <c r="C2425" s="2">
        <f>IFERROR(__xludf.DUMMYFUNCTION("""COMPUTED_VALUE"""),54.53)</f>
        <v>54.53</v>
      </c>
      <c r="D2425" s="2">
        <f>IFERROR(__xludf.DUMMYFUNCTION("""COMPUTED_VALUE"""),49.0)</f>
        <v>49</v>
      </c>
      <c r="E2425" s="2">
        <f>IFERROR(__xludf.DUMMYFUNCTION("""COMPUTED_VALUE"""),53.6)</f>
        <v>53.6</v>
      </c>
      <c r="F2425" s="2">
        <f>IFERROR(__xludf.DUMMYFUNCTION("""COMPUTED_VALUE"""),2.6289348E7)</f>
        <v>26289348</v>
      </c>
    </row>
    <row r="2426">
      <c r="A2426" s="3">
        <f>IFERROR(__xludf.DUMMYFUNCTION("""COMPUTED_VALUE"""),43875.66666666667)</f>
        <v>43875.66667</v>
      </c>
      <c r="B2426" s="2">
        <f>IFERROR(__xludf.DUMMYFUNCTION("""COMPUTED_VALUE"""),52.48)</f>
        <v>52.48</v>
      </c>
      <c r="C2426" s="2">
        <f>IFERROR(__xludf.DUMMYFUNCTION("""COMPUTED_VALUE"""),54.2)</f>
        <v>54.2</v>
      </c>
      <c r="D2426" s="2">
        <f>IFERROR(__xludf.DUMMYFUNCTION("""COMPUTED_VALUE"""),52.37)</f>
        <v>52.37</v>
      </c>
      <c r="E2426" s="2">
        <f>IFERROR(__xludf.DUMMYFUNCTION("""COMPUTED_VALUE"""),53.34)</f>
        <v>53.34</v>
      </c>
      <c r="F2426" s="2">
        <f>IFERROR(__xludf.DUMMYFUNCTION("""COMPUTED_VALUE"""),1.5693711E7)</f>
        <v>15693711</v>
      </c>
    </row>
    <row r="2427">
      <c r="A2427" s="3">
        <f>IFERROR(__xludf.DUMMYFUNCTION("""COMPUTED_VALUE"""),43879.66666666667)</f>
        <v>43879.66667</v>
      </c>
      <c r="B2427" s="2">
        <f>IFERROR(__xludf.DUMMYFUNCTION("""COMPUTED_VALUE"""),56.11)</f>
        <v>56.11</v>
      </c>
      <c r="C2427" s="2">
        <f>IFERROR(__xludf.DUMMYFUNCTION("""COMPUTED_VALUE"""),57.33)</f>
        <v>57.33</v>
      </c>
      <c r="D2427" s="2">
        <f>IFERROR(__xludf.DUMMYFUNCTION("""COMPUTED_VALUE"""),55.49)</f>
        <v>55.49</v>
      </c>
      <c r="E2427" s="2">
        <f>IFERROR(__xludf.DUMMYFUNCTION("""COMPUTED_VALUE"""),57.23)</f>
        <v>57.23</v>
      </c>
      <c r="F2427" s="2">
        <f>IFERROR(__xludf.DUMMYFUNCTION("""COMPUTED_VALUE"""),1.6698369E7)</f>
        <v>16698369</v>
      </c>
    </row>
    <row r="2428">
      <c r="A2428" s="3">
        <f>IFERROR(__xludf.DUMMYFUNCTION("""COMPUTED_VALUE"""),43880.66666666667)</f>
        <v>43880.66667</v>
      </c>
      <c r="B2428" s="2">
        <f>IFERROR(__xludf.DUMMYFUNCTION("""COMPUTED_VALUE"""),61.57)</f>
        <v>61.57</v>
      </c>
      <c r="C2428" s="2">
        <f>IFERROR(__xludf.DUMMYFUNCTION("""COMPUTED_VALUE"""),62.99)</f>
        <v>62.99</v>
      </c>
      <c r="D2428" s="2">
        <f>IFERROR(__xludf.DUMMYFUNCTION("""COMPUTED_VALUE"""),60.07)</f>
        <v>60.07</v>
      </c>
      <c r="E2428" s="2">
        <f>IFERROR(__xludf.DUMMYFUNCTION("""COMPUTED_VALUE"""),61.16)</f>
        <v>61.16</v>
      </c>
      <c r="F2428" s="2">
        <f>IFERROR(__xludf.DUMMYFUNCTION("""COMPUTED_VALUE"""),2.5422958E7)</f>
        <v>25422958</v>
      </c>
    </row>
    <row r="2429">
      <c r="A2429" s="3">
        <f>IFERROR(__xludf.DUMMYFUNCTION("""COMPUTED_VALUE"""),43881.66666666667)</f>
        <v>43881.66667</v>
      </c>
      <c r="B2429" s="2">
        <f>IFERROR(__xludf.DUMMYFUNCTION("""COMPUTED_VALUE"""),60.8)</f>
        <v>60.8</v>
      </c>
      <c r="C2429" s="2">
        <f>IFERROR(__xludf.DUMMYFUNCTION("""COMPUTED_VALUE"""),60.8)</f>
        <v>60.8</v>
      </c>
      <c r="D2429" s="2">
        <f>IFERROR(__xludf.DUMMYFUNCTION("""COMPUTED_VALUE"""),57.33)</f>
        <v>57.33</v>
      </c>
      <c r="E2429" s="2">
        <f>IFERROR(__xludf.DUMMYFUNCTION("""COMPUTED_VALUE"""),59.96)</f>
        <v>59.96</v>
      </c>
      <c r="F2429" s="2">
        <f>IFERROR(__xludf.DUMMYFUNCTION("""COMPUTED_VALUE"""),1.7634893E7)</f>
        <v>17634893</v>
      </c>
    </row>
    <row r="2430">
      <c r="A2430" s="3">
        <f>IFERROR(__xludf.DUMMYFUNCTION("""COMPUTED_VALUE"""),43882.66666666667)</f>
        <v>43882.66667</v>
      </c>
      <c r="B2430" s="2">
        <f>IFERROR(__xludf.DUMMYFUNCTION("""COMPUTED_VALUE"""),60.47)</f>
        <v>60.47</v>
      </c>
      <c r="C2430" s="2">
        <f>IFERROR(__xludf.DUMMYFUNCTION("""COMPUTED_VALUE"""),60.87)</f>
        <v>60.87</v>
      </c>
      <c r="D2430" s="2">
        <f>IFERROR(__xludf.DUMMYFUNCTION("""COMPUTED_VALUE"""),58.7)</f>
        <v>58.7</v>
      </c>
      <c r="E2430" s="2">
        <f>IFERROR(__xludf.DUMMYFUNCTION("""COMPUTED_VALUE"""),60.07)</f>
        <v>60.07</v>
      </c>
      <c r="F2430" s="2">
        <f>IFERROR(__xludf.DUMMYFUNCTION("""COMPUTED_VALUE"""),1.4339446E7)</f>
        <v>14339446</v>
      </c>
    </row>
    <row r="2431">
      <c r="A2431" s="3">
        <f>IFERROR(__xludf.DUMMYFUNCTION("""COMPUTED_VALUE"""),43885.66666666667)</f>
        <v>43885.66667</v>
      </c>
      <c r="B2431" s="2">
        <f>IFERROR(__xludf.DUMMYFUNCTION("""COMPUTED_VALUE"""),55.93)</f>
        <v>55.93</v>
      </c>
      <c r="C2431" s="2">
        <f>IFERROR(__xludf.DUMMYFUNCTION("""COMPUTED_VALUE"""),57.57)</f>
        <v>57.57</v>
      </c>
      <c r="D2431" s="2">
        <f>IFERROR(__xludf.DUMMYFUNCTION("""COMPUTED_VALUE"""),54.81)</f>
        <v>54.81</v>
      </c>
      <c r="E2431" s="2">
        <f>IFERROR(__xludf.DUMMYFUNCTION("""COMPUTED_VALUE"""),55.59)</f>
        <v>55.59</v>
      </c>
      <c r="F2431" s="2">
        <f>IFERROR(__xludf.DUMMYFUNCTION("""COMPUTED_VALUE"""),1.5192163E7)</f>
        <v>15192163</v>
      </c>
    </row>
    <row r="2432">
      <c r="A2432" s="3">
        <f>IFERROR(__xludf.DUMMYFUNCTION("""COMPUTED_VALUE"""),43886.66666666667)</f>
        <v>43886.66667</v>
      </c>
      <c r="B2432" s="2">
        <f>IFERROR(__xludf.DUMMYFUNCTION("""COMPUTED_VALUE"""),56.6)</f>
        <v>56.6</v>
      </c>
      <c r="C2432" s="2">
        <f>IFERROR(__xludf.DUMMYFUNCTION("""COMPUTED_VALUE"""),57.11)</f>
        <v>57.11</v>
      </c>
      <c r="D2432" s="2">
        <f>IFERROR(__xludf.DUMMYFUNCTION("""COMPUTED_VALUE"""),52.47)</f>
        <v>52.47</v>
      </c>
      <c r="E2432" s="2">
        <f>IFERROR(__xludf.DUMMYFUNCTION("""COMPUTED_VALUE"""),53.33)</f>
        <v>53.33</v>
      </c>
      <c r="F2432" s="2">
        <f>IFERROR(__xludf.DUMMYFUNCTION("""COMPUTED_VALUE"""),1.7290481E7)</f>
        <v>17290481</v>
      </c>
    </row>
    <row r="2433">
      <c r="A2433" s="3">
        <f>IFERROR(__xludf.DUMMYFUNCTION("""COMPUTED_VALUE"""),43887.66666666667)</f>
        <v>43887.66667</v>
      </c>
      <c r="B2433" s="2">
        <f>IFERROR(__xludf.DUMMYFUNCTION("""COMPUTED_VALUE"""),52.17)</f>
        <v>52.17</v>
      </c>
      <c r="C2433" s="2">
        <f>IFERROR(__xludf.DUMMYFUNCTION("""COMPUTED_VALUE"""),54.22)</f>
        <v>54.22</v>
      </c>
      <c r="D2433" s="2">
        <f>IFERROR(__xludf.DUMMYFUNCTION("""COMPUTED_VALUE"""),51.74)</f>
        <v>51.74</v>
      </c>
      <c r="E2433" s="2">
        <f>IFERROR(__xludf.DUMMYFUNCTION("""COMPUTED_VALUE"""),51.92)</f>
        <v>51.92</v>
      </c>
      <c r="F2433" s="2">
        <f>IFERROR(__xludf.DUMMYFUNCTION("""COMPUTED_VALUE"""),1.4153843E7)</f>
        <v>14153843</v>
      </c>
    </row>
    <row r="2434">
      <c r="A2434" s="3">
        <f>IFERROR(__xludf.DUMMYFUNCTION("""COMPUTED_VALUE"""),43888.66666666667)</f>
        <v>43888.66667</v>
      </c>
      <c r="B2434" s="2">
        <f>IFERROR(__xludf.DUMMYFUNCTION("""COMPUTED_VALUE"""),48.67)</f>
        <v>48.67</v>
      </c>
      <c r="C2434" s="2">
        <f>IFERROR(__xludf.DUMMYFUNCTION("""COMPUTED_VALUE"""),49.32)</f>
        <v>49.32</v>
      </c>
      <c r="D2434" s="2">
        <f>IFERROR(__xludf.DUMMYFUNCTION("""COMPUTED_VALUE"""),44.6)</f>
        <v>44.6</v>
      </c>
      <c r="E2434" s="2">
        <f>IFERROR(__xludf.DUMMYFUNCTION("""COMPUTED_VALUE"""),45.27)</f>
        <v>45.27</v>
      </c>
      <c r="F2434" s="2">
        <f>IFERROR(__xludf.DUMMYFUNCTION("""COMPUTED_VALUE"""),2.427716E7)</f>
        <v>24277160</v>
      </c>
    </row>
    <row r="2435">
      <c r="A2435" s="3">
        <f>IFERROR(__xludf.DUMMYFUNCTION("""COMPUTED_VALUE"""),43889.66666666667)</f>
        <v>43889.66667</v>
      </c>
      <c r="B2435" s="2">
        <f>IFERROR(__xludf.DUMMYFUNCTION("""COMPUTED_VALUE"""),41.98)</f>
        <v>41.98</v>
      </c>
      <c r="C2435" s="2">
        <f>IFERROR(__xludf.DUMMYFUNCTION("""COMPUTED_VALUE"""),46.03)</f>
        <v>46.03</v>
      </c>
      <c r="D2435" s="2">
        <f>IFERROR(__xludf.DUMMYFUNCTION("""COMPUTED_VALUE"""),40.77)</f>
        <v>40.77</v>
      </c>
      <c r="E2435" s="2">
        <f>IFERROR(__xludf.DUMMYFUNCTION("""COMPUTED_VALUE"""),44.53)</f>
        <v>44.53</v>
      </c>
      <c r="F2435" s="2">
        <f>IFERROR(__xludf.DUMMYFUNCTION("""COMPUTED_VALUE"""),2.4564171E7)</f>
        <v>24564171</v>
      </c>
    </row>
    <row r="2436">
      <c r="A2436" s="3">
        <f>IFERROR(__xludf.DUMMYFUNCTION("""COMPUTED_VALUE"""),43892.66666666667)</f>
        <v>43892.66667</v>
      </c>
      <c r="B2436" s="2">
        <f>IFERROR(__xludf.DUMMYFUNCTION("""COMPUTED_VALUE"""),47.42)</f>
        <v>47.42</v>
      </c>
      <c r="C2436" s="2">
        <f>IFERROR(__xludf.DUMMYFUNCTION("""COMPUTED_VALUE"""),49.58)</f>
        <v>49.58</v>
      </c>
      <c r="D2436" s="2">
        <f>IFERROR(__xludf.DUMMYFUNCTION("""COMPUTED_VALUE"""),45.78)</f>
        <v>45.78</v>
      </c>
      <c r="E2436" s="2">
        <f>IFERROR(__xludf.DUMMYFUNCTION("""COMPUTED_VALUE"""),49.57)</f>
        <v>49.57</v>
      </c>
      <c r="F2436" s="2">
        <f>IFERROR(__xludf.DUMMYFUNCTION("""COMPUTED_VALUE"""),2.0194991E7)</f>
        <v>20194991</v>
      </c>
    </row>
    <row r="2437">
      <c r="A2437" s="3">
        <f>IFERROR(__xludf.DUMMYFUNCTION("""COMPUTED_VALUE"""),43893.66666666667)</f>
        <v>43893.66667</v>
      </c>
      <c r="B2437" s="2">
        <f>IFERROR(__xludf.DUMMYFUNCTION("""COMPUTED_VALUE"""),53.67)</f>
        <v>53.67</v>
      </c>
      <c r="C2437" s="2">
        <f>IFERROR(__xludf.DUMMYFUNCTION("""COMPUTED_VALUE"""),53.8)</f>
        <v>53.8</v>
      </c>
      <c r="D2437" s="2">
        <f>IFERROR(__xludf.DUMMYFUNCTION("""COMPUTED_VALUE"""),47.74)</f>
        <v>47.74</v>
      </c>
      <c r="E2437" s="2">
        <f>IFERROR(__xludf.DUMMYFUNCTION("""COMPUTED_VALUE"""),49.7)</f>
        <v>49.7</v>
      </c>
      <c r="F2437" s="2">
        <f>IFERROR(__xludf.DUMMYFUNCTION("""COMPUTED_VALUE"""),2.5784003E7)</f>
        <v>25784003</v>
      </c>
    </row>
    <row r="2438">
      <c r="A2438" s="3">
        <f>IFERROR(__xludf.DUMMYFUNCTION("""COMPUTED_VALUE"""),43894.66666666667)</f>
        <v>43894.66667</v>
      </c>
      <c r="B2438" s="2">
        <f>IFERROR(__xludf.DUMMYFUNCTION("""COMPUTED_VALUE"""),50.93)</f>
        <v>50.93</v>
      </c>
      <c r="C2438" s="2">
        <f>IFERROR(__xludf.DUMMYFUNCTION("""COMPUTED_VALUE"""),51.1)</f>
        <v>51.1</v>
      </c>
      <c r="D2438" s="2">
        <f>IFERROR(__xludf.DUMMYFUNCTION("""COMPUTED_VALUE"""),48.32)</f>
        <v>48.32</v>
      </c>
      <c r="E2438" s="2">
        <f>IFERROR(__xludf.DUMMYFUNCTION("""COMPUTED_VALUE"""),49.97)</f>
        <v>49.97</v>
      </c>
      <c r="F2438" s="2">
        <f>IFERROR(__xludf.DUMMYFUNCTION("""COMPUTED_VALUE"""),1.5048977E7)</f>
        <v>15048977</v>
      </c>
    </row>
    <row r="2439">
      <c r="A2439" s="3">
        <f>IFERROR(__xludf.DUMMYFUNCTION("""COMPUTED_VALUE"""),43895.66666666667)</f>
        <v>43895.66667</v>
      </c>
      <c r="B2439" s="2">
        <f>IFERROR(__xludf.DUMMYFUNCTION("""COMPUTED_VALUE"""),48.25)</f>
        <v>48.25</v>
      </c>
      <c r="C2439" s="2">
        <f>IFERROR(__xludf.DUMMYFUNCTION("""COMPUTED_VALUE"""),49.72)</f>
        <v>49.72</v>
      </c>
      <c r="D2439" s="2">
        <f>IFERROR(__xludf.DUMMYFUNCTION("""COMPUTED_VALUE"""),47.87)</f>
        <v>47.87</v>
      </c>
      <c r="E2439" s="2">
        <f>IFERROR(__xludf.DUMMYFUNCTION("""COMPUTED_VALUE"""),48.3)</f>
        <v>48.3</v>
      </c>
      <c r="F2439" s="2">
        <f>IFERROR(__xludf.DUMMYFUNCTION("""COMPUTED_VALUE"""),1.0852657E7)</f>
        <v>10852657</v>
      </c>
    </row>
    <row r="2440">
      <c r="A2440" s="3">
        <f>IFERROR(__xludf.DUMMYFUNCTION("""COMPUTED_VALUE"""),43896.66666666667)</f>
        <v>43896.66667</v>
      </c>
      <c r="B2440" s="2">
        <f>IFERROR(__xludf.DUMMYFUNCTION("""COMPUTED_VALUE"""),46.0)</f>
        <v>46</v>
      </c>
      <c r="C2440" s="2">
        <f>IFERROR(__xludf.DUMMYFUNCTION("""COMPUTED_VALUE"""),47.13)</f>
        <v>47.13</v>
      </c>
      <c r="D2440" s="2">
        <f>IFERROR(__xludf.DUMMYFUNCTION("""COMPUTED_VALUE"""),45.62)</f>
        <v>45.62</v>
      </c>
      <c r="E2440" s="2">
        <f>IFERROR(__xludf.DUMMYFUNCTION("""COMPUTED_VALUE"""),46.9)</f>
        <v>46.9</v>
      </c>
      <c r="F2440" s="2">
        <f>IFERROR(__xludf.DUMMYFUNCTION("""COMPUTED_VALUE"""),1.2662918E7)</f>
        <v>12662918</v>
      </c>
    </row>
    <row r="2441">
      <c r="A2441" s="3">
        <f>IFERROR(__xludf.DUMMYFUNCTION("""COMPUTED_VALUE"""),43899.66666666667)</f>
        <v>43899.66667</v>
      </c>
      <c r="B2441" s="2">
        <f>IFERROR(__xludf.DUMMYFUNCTION("""COMPUTED_VALUE"""),40.36)</f>
        <v>40.36</v>
      </c>
      <c r="C2441" s="2">
        <f>IFERROR(__xludf.DUMMYFUNCTION("""COMPUTED_VALUE"""),44.2)</f>
        <v>44.2</v>
      </c>
      <c r="D2441" s="2">
        <f>IFERROR(__xludf.DUMMYFUNCTION("""COMPUTED_VALUE"""),40.33)</f>
        <v>40.33</v>
      </c>
      <c r="E2441" s="2">
        <f>IFERROR(__xludf.DUMMYFUNCTION("""COMPUTED_VALUE"""),40.53)</f>
        <v>40.53</v>
      </c>
      <c r="F2441" s="2">
        <f>IFERROR(__xludf.DUMMYFUNCTION("""COMPUTED_VALUE"""),1.707374E7)</f>
        <v>17073740</v>
      </c>
    </row>
    <row r="2442">
      <c r="A2442" s="3">
        <f>IFERROR(__xludf.DUMMYFUNCTION("""COMPUTED_VALUE"""),43900.66666666667)</f>
        <v>43900.66667</v>
      </c>
      <c r="B2442" s="2">
        <f>IFERROR(__xludf.DUMMYFUNCTION("""COMPUTED_VALUE"""),43.96)</f>
        <v>43.96</v>
      </c>
      <c r="C2442" s="2">
        <f>IFERROR(__xludf.DUMMYFUNCTION("""COMPUTED_VALUE"""),44.53)</f>
        <v>44.53</v>
      </c>
      <c r="D2442" s="2">
        <f>IFERROR(__xludf.DUMMYFUNCTION("""COMPUTED_VALUE"""),40.53)</f>
        <v>40.53</v>
      </c>
      <c r="E2442" s="2">
        <f>IFERROR(__xludf.DUMMYFUNCTION("""COMPUTED_VALUE"""),43.02)</f>
        <v>43.02</v>
      </c>
      <c r="F2442" s="2">
        <f>IFERROR(__xludf.DUMMYFUNCTION("""COMPUTED_VALUE"""),1.5594443E7)</f>
        <v>15594443</v>
      </c>
    </row>
    <row r="2443">
      <c r="A2443" s="3">
        <f>IFERROR(__xludf.DUMMYFUNCTION("""COMPUTED_VALUE"""),43901.66666666667)</f>
        <v>43901.66667</v>
      </c>
      <c r="B2443" s="2">
        <f>IFERROR(__xludf.DUMMYFUNCTION("""COMPUTED_VALUE"""),42.68)</f>
        <v>42.68</v>
      </c>
      <c r="C2443" s="2">
        <f>IFERROR(__xludf.DUMMYFUNCTION("""COMPUTED_VALUE"""),43.57)</f>
        <v>43.57</v>
      </c>
      <c r="D2443" s="2">
        <f>IFERROR(__xludf.DUMMYFUNCTION("""COMPUTED_VALUE"""),40.87)</f>
        <v>40.87</v>
      </c>
      <c r="E2443" s="2">
        <f>IFERROR(__xludf.DUMMYFUNCTION("""COMPUTED_VALUE"""),42.28)</f>
        <v>42.28</v>
      </c>
      <c r="F2443" s="2">
        <f>IFERROR(__xludf.DUMMYFUNCTION("""COMPUTED_VALUE"""),1.3413587E7)</f>
        <v>13413587</v>
      </c>
    </row>
    <row r="2444">
      <c r="A2444" s="3">
        <f>IFERROR(__xludf.DUMMYFUNCTION("""COMPUTED_VALUE"""),43902.66666666667)</f>
        <v>43902.66667</v>
      </c>
      <c r="B2444" s="2">
        <f>IFERROR(__xludf.DUMMYFUNCTION("""COMPUTED_VALUE"""),38.73)</f>
        <v>38.73</v>
      </c>
      <c r="C2444" s="2">
        <f>IFERROR(__xludf.DUMMYFUNCTION("""COMPUTED_VALUE"""),39.63)</f>
        <v>39.63</v>
      </c>
      <c r="D2444" s="2">
        <f>IFERROR(__xludf.DUMMYFUNCTION("""COMPUTED_VALUE"""),36.42)</f>
        <v>36.42</v>
      </c>
      <c r="E2444" s="2">
        <f>IFERROR(__xludf.DUMMYFUNCTION("""COMPUTED_VALUE"""),37.37)</f>
        <v>37.37</v>
      </c>
      <c r="F2444" s="2">
        <f>IFERROR(__xludf.DUMMYFUNCTION("""COMPUTED_VALUE"""),1.8909052E7)</f>
        <v>18909052</v>
      </c>
    </row>
    <row r="2445">
      <c r="A2445" s="3">
        <f>IFERROR(__xludf.DUMMYFUNCTION("""COMPUTED_VALUE"""),43903.66666666667)</f>
        <v>43903.66667</v>
      </c>
      <c r="B2445" s="2">
        <f>IFERROR(__xludf.DUMMYFUNCTION("""COMPUTED_VALUE"""),39.67)</f>
        <v>39.67</v>
      </c>
      <c r="C2445" s="2">
        <f>IFERROR(__xludf.DUMMYFUNCTION("""COMPUTED_VALUE"""),40.5)</f>
        <v>40.5</v>
      </c>
      <c r="D2445" s="2">
        <f>IFERROR(__xludf.DUMMYFUNCTION("""COMPUTED_VALUE"""),33.47)</f>
        <v>33.47</v>
      </c>
      <c r="E2445" s="2">
        <f>IFERROR(__xludf.DUMMYFUNCTION("""COMPUTED_VALUE"""),36.44)</f>
        <v>36.44</v>
      </c>
      <c r="F2445" s="2">
        <f>IFERROR(__xludf.DUMMYFUNCTION("""COMPUTED_VALUE"""),2.2640254E7)</f>
        <v>22640254</v>
      </c>
    </row>
    <row r="2446">
      <c r="A2446" s="3">
        <f>IFERROR(__xludf.DUMMYFUNCTION("""COMPUTED_VALUE"""),43906.66666666667)</f>
        <v>43906.66667</v>
      </c>
      <c r="B2446" s="2">
        <f>IFERROR(__xludf.DUMMYFUNCTION("""COMPUTED_VALUE"""),31.3)</f>
        <v>31.3</v>
      </c>
      <c r="C2446" s="2">
        <f>IFERROR(__xludf.DUMMYFUNCTION("""COMPUTED_VALUE"""),32.99)</f>
        <v>32.99</v>
      </c>
      <c r="D2446" s="2">
        <f>IFERROR(__xludf.DUMMYFUNCTION("""COMPUTED_VALUE"""),29.48)</f>
        <v>29.48</v>
      </c>
      <c r="E2446" s="2">
        <f>IFERROR(__xludf.DUMMYFUNCTION("""COMPUTED_VALUE"""),29.67)</f>
        <v>29.67</v>
      </c>
      <c r="F2446" s="2">
        <f>IFERROR(__xludf.DUMMYFUNCTION("""COMPUTED_VALUE"""),2.0489464E7)</f>
        <v>20489464</v>
      </c>
    </row>
    <row r="2447">
      <c r="A2447" s="3">
        <f>IFERROR(__xludf.DUMMYFUNCTION("""COMPUTED_VALUE"""),43907.66666666667)</f>
        <v>43907.66667</v>
      </c>
      <c r="B2447" s="2">
        <f>IFERROR(__xludf.DUMMYFUNCTION("""COMPUTED_VALUE"""),29.33)</f>
        <v>29.33</v>
      </c>
      <c r="C2447" s="2">
        <f>IFERROR(__xludf.DUMMYFUNCTION("""COMPUTED_VALUE"""),31.46)</f>
        <v>31.46</v>
      </c>
      <c r="D2447" s="2">
        <f>IFERROR(__xludf.DUMMYFUNCTION("""COMPUTED_VALUE"""),26.4)</f>
        <v>26.4</v>
      </c>
      <c r="E2447" s="2">
        <f>IFERROR(__xludf.DUMMYFUNCTION("""COMPUTED_VALUE"""),28.68)</f>
        <v>28.68</v>
      </c>
      <c r="F2447" s="2">
        <f>IFERROR(__xludf.DUMMYFUNCTION("""COMPUTED_VALUE"""),2.399458E7)</f>
        <v>23994580</v>
      </c>
    </row>
    <row r="2448">
      <c r="A2448" s="3">
        <f>IFERROR(__xludf.DUMMYFUNCTION("""COMPUTED_VALUE"""),43908.66666666667)</f>
        <v>43908.66667</v>
      </c>
      <c r="B2448" s="2">
        <f>IFERROR(__xludf.DUMMYFUNCTION("""COMPUTED_VALUE"""),25.93)</f>
        <v>25.93</v>
      </c>
      <c r="C2448" s="2">
        <f>IFERROR(__xludf.DUMMYFUNCTION("""COMPUTED_VALUE"""),26.99)</f>
        <v>26.99</v>
      </c>
      <c r="D2448" s="2">
        <f>IFERROR(__xludf.DUMMYFUNCTION("""COMPUTED_VALUE"""),23.37)</f>
        <v>23.37</v>
      </c>
      <c r="E2448" s="2">
        <f>IFERROR(__xludf.DUMMYFUNCTION("""COMPUTED_VALUE"""),24.08)</f>
        <v>24.08</v>
      </c>
      <c r="F2448" s="2">
        <f>IFERROR(__xludf.DUMMYFUNCTION("""COMPUTED_VALUE"""),2.3786162E7)</f>
        <v>23786162</v>
      </c>
    </row>
    <row r="2449">
      <c r="A2449" s="3">
        <f>IFERROR(__xludf.DUMMYFUNCTION("""COMPUTED_VALUE"""),43909.66666666667)</f>
        <v>43909.66667</v>
      </c>
      <c r="B2449" s="2">
        <f>IFERROR(__xludf.DUMMYFUNCTION("""COMPUTED_VALUE"""),24.98)</f>
        <v>24.98</v>
      </c>
      <c r="C2449" s="2">
        <f>IFERROR(__xludf.DUMMYFUNCTION("""COMPUTED_VALUE"""),30.13)</f>
        <v>30.13</v>
      </c>
      <c r="D2449" s="2">
        <f>IFERROR(__xludf.DUMMYFUNCTION("""COMPUTED_VALUE"""),23.9)</f>
        <v>23.9</v>
      </c>
      <c r="E2449" s="2">
        <f>IFERROR(__xludf.DUMMYFUNCTION("""COMPUTED_VALUE"""),28.51)</f>
        <v>28.51</v>
      </c>
      <c r="F2449" s="2">
        <f>IFERROR(__xludf.DUMMYFUNCTION("""COMPUTED_VALUE"""),3.019546E7)</f>
        <v>30195460</v>
      </c>
    </row>
    <row r="2450">
      <c r="A2450" s="3">
        <f>IFERROR(__xludf.DUMMYFUNCTION("""COMPUTED_VALUE"""),43910.66666666667)</f>
        <v>43910.66667</v>
      </c>
      <c r="B2450" s="2">
        <f>IFERROR(__xludf.DUMMYFUNCTION("""COMPUTED_VALUE"""),29.21)</f>
        <v>29.21</v>
      </c>
      <c r="C2450" s="2">
        <f>IFERROR(__xludf.DUMMYFUNCTION("""COMPUTED_VALUE"""),31.8)</f>
        <v>31.8</v>
      </c>
      <c r="D2450" s="2">
        <f>IFERROR(__xludf.DUMMYFUNCTION("""COMPUTED_VALUE"""),28.39)</f>
        <v>28.39</v>
      </c>
      <c r="E2450" s="2">
        <f>IFERROR(__xludf.DUMMYFUNCTION("""COMPUTED_VALUE"""),28.5)</f>
        <v>28.5</v>
      </c>
      <c r="F2450" s="2">
        <f>IFERROR(__xludf.DUMMYFUNCTION("""COMPUTED_VALUE"""),2.8285502E7)</f>
        <v>28285502</v>
      </c>
    </row>
    <row r="2451">
      <c r="A2451" s="3">
        <f>IFERROR(__xludf.DUMMYFUNCTION("""COMPUTED_VALUE"""),43913.66666666667)</f>
        <v>43913.66667</v>
      </c>
      <c r="B2451" s="2">
        <f>IFERROR(__xludf.DUMMYFUNCTION("""COMPUTED_VALUE"""),28.91)</f>
        <v>28.91</v>
      </c>
      <c r="C2451" s="2">
        <f>IFERROR(__xludf.DUMMYFUNCTION("""COMPUTED_VALUE"""),29.47)</f>
        <v>29.47</v>
      </c>
      <c r="D2451" s="2">
        <f>IFERROR(__xludf.DUMMYFUNCTION("""COMPUTED_VALUE"""),27.37)</f>
        <v>27.37</v>
      </c>
      <c r="E2451" s="2">
        <f>IFERROR(__xludf.DUMMYFUNCTION("""COMPUTED_VALUE"""),28.95)</f>
        <v>28.95</v>
      </c>
      <c r="F2451" s="2">
        <f>IFERROR(__xludf.DUMMYFUNCTION("""COMPUTED_VALUE"""),1.6454549E7)</f>
        <v>16454549</v>
      </c>
    </row>
    <row r="2452">
      <c r="A2452" s="3">
        <f>IFERROR(__xludf.DUMMYFUNCTION("""COMPUTED_VALUE"""),43914.66666666667)</f>
        <v>43914.66667</v>
      </c>
      <c r="B2452" s="2">
        <f>IFERROR(__xludf.DUMMYFUNCTION("""COMPUTED_VALUE"""),31.82)</f>
        <v>31.82</v>
      </c>
      <c r="C2452" s="2">
        <f>IFERROR(__xludf.DUMMYFUNCTION("""COMPUTED_VALUE"""),34.25)</f>
        <v>34.25</v>
      </c>
      <c r="D2452" s="2">
        <f>IFERROR(__xludf.DUMMYFUNCTION("""COMPUTED_VALUE"""),31.6)</f>
        <v>31.6</v>
      </c>
      <c r="E2452" s="2">
        <f>IFERROR(__xludf.DUMMYFUNCTION("""COMPUTED_VALUE"""),33.67)</f>
        <v>33.67</v>
      </c>
      <c r="F2452" s="2">
        <f>IFERROR(__xludf.DUMMYFUNCTION("""COMPUTED_VALUE"""),2.289517E7)</f>
        <v>22895170</v>
      </c>
    </row>
    <row r="2453">
      <c r="A2453" s="3">
        <f>IFERROR(__xludf.DUMMYFUNCTION("""COMPUTED_VALUE"""),43915.66666666667)</f>
        <v>43915.66667</v>
      </c>
      <c r="B2453" s="2">
        <f>IFERROR(__xludf.DUMMYFUNCTION("""COMPUTED_VALUE"""),36.35)</f>
        <v>36.35</v>
      </c>
      <c r="C2453" s="2">
        <f>IFERROR(__xludf.DUMMYFUNCTION("""COMPUTED_VALUE"""),37.13)</f>
        <v>37.13</v>
      </c>
      <c r="D2453" s="2">
        <f>IFERROR(__xludf.DUMMYFUNCTION("""COMPUTED_VALUE"""),34.07)</f>
        <v>34.07</v>
      </c>
      <c r="E2453" s="2">
        <f>IFERROR(__xludf.DUMMYFUNCTION("""COMPUTED_VALUE"""),35.95)</f>
        <v>35.95</v>
      </c>
      <c r="F2453" s="2">
        <f>IFERROR(__xludf.DUMMYFUNCTION("""COMPUTED_VALUE"""),2.1222745E7)</f>
        <v>21222745</v>
      </c>
    </row>
    <row r="2454">
      <c r="A2454" s="3">
        <f>IFERROR(__xludf.DUMMYFUNCTION("""COMPUTED_VALUE"""),43916.66666666667)</f>
        <v>43916.66667</v>
      </c>
      <c r="B2454" s="2">
        <f>IFERROR(__xludf.DUMMYFUNCTION("""COMPUTED_VALUE"""),36.49)</f>
        <v>36.49</v>
      </c>
      <c r="C2454" s="2">
        <f>IFERROR(__xludf.DUMMYFUNCTION("""COMPUTED_VALUE"""),37.33)</f>
        <v>37.33</v>
      </c>
      <c r="D2454" s="2">
        <f>IFERROR(__xludf.DUMMYFUNCTION("""COMPUTED_VALUE"""),34.15)</f>
        <v>34.15</v>
      </c>
      <c r="E2454" s="2">
        <f>IFERROR(__xludf.DUMMYFUNCTION("""COMPUTED_VALUE"""),35.21)</f>
        <v>35.21</v>
      </c>
      <c r="F2454" s="2">
        <f>IFERROR(__xludf.DUMMYFUNCTION("""COMPUTED_VALUE"""),1.7422082E7)</f>
        <v>17422082</v>
      </c>
    </row>
    <row r="2455">
      <c r="A2455" s="3">
        <f>IFERROR(__xludf.DUMMYFUNCTION("""COMPUTED_VALUE"""),43917.66666666667)</f>
        <v>43917.66667</v>
      </c>
      <c r="B2455" s="2">
        <f>IFERROR(__xludf.DUMMYFUNCTION("""COMPUTED_VALUE"""),33.67)</f>
        <v>33.67</v>
      </c>
      <c r="C2455" s="2">
        <f>IFERROR(__xludf.DUMMYFUNCTION("""COMPUTED_VALUE"""),35.05)</f>
        <v>35.05</v>
      </c>
      <c r="D2455" s="2">
        <f>IFERROR(__xludf.DUMMYFUNCTION("""COMPUTED_VALUE"""),32.94)</f>
        <v>32.94</v>
      </c>
      <c r="E2455" s="2">
        <f>IFERROR(__xludf.DUMMYFUNCTION("""COMPUTED_VALUE"""),34.29)</f>
        <v>34.29</v>
      </c>
      <c r="F2455" s="2">
        <f>IFERROR(__xludf.DUMMYFUNCTION("""COMPUTED_VALUE"""),1.4377408E7)</f>
        <v>14377408</v>
      </c>
    </row>
    <row r="2456">
      <c r="A2456" s="3">
        <f>IFERROR(__xludf.DUMMYFUNCTION("""COMPUTED_VALUE"""),43920.66666666667)</f>
        <v>43920.66667</v>
      </c>
      <c r="B2456" s="2">
        <f>IFERROR(__xludf.DUMMYFUNCTION("""COMPUTED_VALUE"""),34.02)</f>
        <v>34.02</v>
      </c>
      <c r="C2456" s="2">
        <f>IFERROR(__xludf.DUMMYFUNCTION("""COMPUTED_VALUE"""),34.44)</f>
        <v>34.44</v>
      </c>
      <c r="D2456" s="2">
        <f>IFERROR(__xludf.DUMMYFUNCTION("""COMPUTED_VALUE"""),32.75)</f>
        <v>32.75</v>
      </c>
      <c r="E2456" s="2">
        <f>IFERROR(__xludf.DUMMYFUNCTION("""COMPUTED_VALUE"""),33.48)</f>
        <v>33.48</v>
      </c>
      <c r="F2456" s="2">
        <f>IFERROR(__xludf.DUMMYFUNCTION("""COMPUTED_VALUE"""),1.1998067E7)</f>
        <v>11998067</v>
      </c>
    </row>
    <row r="2457">
      <c r="A2457" s="3">
        <f>IFERROR(__xludf.DUMMYFUNCTION("""COMPUTED_VALUE"""),43921.66666666667)</f>
        <v>43921.66667</v>
      </c>
      <c r="B2457" s="2">
        <f>IFERROR(__xludf.DUMMYFUNCTION("""COMPUTED_VALUE"""),33.42)</f>
        <v>33.42</v>
      </c>
      <c r="C2457" s="2">
        <f>IFERROR(__xludf.DUMMYFUNCTION("""COMPUTED_VALUE"""),36.2)</f>
        <v>36.2</v>
      </c>
      <c r="D2457" s="2">
        <f>IFERROR(__xludf.DUMMYFUNCTION("""COMPUTED_VALUE"""),33.13)</f>
        <v>33.13</v>
      </c>
      <c r="E2457" s="2">
        <f>IFERROR(__xludf.DUMMYFUNCTION("""COMPUTED_VALUE"""),34.93)</f>
        <v>34.93</v>
      </c>
      <c r="F2457" s="2">
        <f>IFERROR(__xludf.DUMMYFUNCTION("""COMPUTED_VALUE"""),1.7771485E7)</f>
        <v>17771485</v>
      </c>
    </row>
    <row r="2458">
      <c r="A2458" s="3">
        <f>IFERROR(__xludf.DUMMYFUNCTION("""COMPUTED_VALUE"""),43922.66666666667)</f>
        <v>43922.66667</v>
      </c>
      <c r="B2458" s="2">
        <f>IFERROR(__xludf.DUMMYFUNCTION("""COMPUTED_VALUE"""),33.6)</f>
        <v>33.6</v>
      </c>
      <c r="C2458" s="2">
        <f>IFERROR(__xludf.DUMMYFUNCTION("""COMPUTED_VALUE"""),34.26)</f>
        <v>34.26</v>
      </c>
      <c r="D2458" s="2">
        <f>IFERROR(__xludf.DUMMYFUNCTION("""COMPUTED_VALUE"""),31.67)</f>
        <v>31.67</v>
      </c>
      <c r="E2458" s="2">
        <f>IFERROR(__xludf.DUMMYFUNCTION("""COMPUTED_VALUE"""),32.1)</f>
        <v>32.1</v>
      </c>
      <c r="F2458" s="2">
        <f>IFERROR(__xludf.DUMMYFUNCTION("""COMPUTED_VALUE"""),1.335318E7)</f>
        <v>13353180</v>
      </c>
    </row>
    <row r="2459">
      <c r="A2459" s="3">
        <f>IFERROR(__xludf.DUMMYFUNCTION("""COMPUTED_VALUE"""),43923.66666666667)</f>
        <v>43923.66667</v>
      </c>
      <c r="B2459" s="2">
        <f>IFERROR(__xludf.DUMMYFUNCTION("""COMPUTED_VALUE"""),32.07)</f>
        <v>32.07</v>
      </c>
      <c r="C2459" s="2">
        <f>IFERROR(__xludf.DUMMYFUNCTION("""COMPUTED_VALUE"""),32.95)</f>
        <v>32.95</v>
      </c>
      <c r="D2459" s="2">
        <f>IFERROR(__xludf.DUMMYFUNCTION("""COMPUTED_VALUE"""),29.76)</f>
        <v>29.76</v>
      </c>
      <c r="E2459" s="2">
        <f>IFERROR(__xludf.DUMMYFUNCTION("""COMPUTED_VALUE"""),30.3)</f>
        <v>30.3</v>
      </c>
      <c r="F2459" s="2">
        <f>IFERROR(__xludf.DUMMYFUNCTION("""COMPUTED_VALUE"""),1.9858427E7)</f>
        <v>19858427</v>
      </c>
    </row>
    <row r="2460">
      <c r="A2460" s="3">
        <f>IFERROR(__xludf.DUMMYFUNCTION("""COMPUTED_VALUE"""),43924.66666666667)</f>
        <v>43924.66667</v>
      </c>
      <c r="B2460" s="2">
        <f>IFERROR(__xludf.DUMMYFUNCTION("""COMPUTED_VALUE"""),33.97)</f>
        <v>33.97</v>
      </c>
      <c r="C2460" s="2">
        <f>IFERROR(__xludf.DUMMYFUNCTION("""COMPUTED_VALUE"""),34.37)</f>
        <v>34.37</v>
      </c>
      <c r="D2460" s="2">
        <f>IFERROR(__xludf.DUMMYFUNCTION("""COMPUTED_VALUE"""),31.23)</f>
        <v>31.23</v>
      </c>
      <c r="E2460" s="2">
        <f>IFERROR(__xludf.DUMMYFUNCTION("""COMPUTED_VALUE"""),32.0)</f>
        <v>32</v>
      </c>
      <c r="F2460" s="2">
        <f>IFERROR(__xludf.DUMMYFUNCTION("""COMPUTED_VALUE"""),2.2562076E7)</f>
        <v>22562076</v>
      </c>
    </row>
    <row r="2461">
      <c r="A2461" s="3">
        <f>IFERROR(__xludf.DUMMYFUNCTION("""COMPUTED_VALUE"""),43927.66666666667)</f>
        <v>43927.66667</v>
      </c>
      <c r="B2461" s="2">
        <f>IFERROR(__xludf.DUMMYFUNCTION("""COMPUTED_VALUE"""),34.08)</f>
        <v>34.08</v>
      </c>
      <c r="C2461" s="2">
        <f>IFERROR(__xludf.DUMMYFUNCTION("""COMPUTED_VALUE"""),34.73)</f>
        <v>34.73</v>
      </c>
      <c r="D2461" s="2">
        <f>IFERROR(__xludf.DUMMYFUNCTION("""COMPUTED_VALUE"""),33.2)</f>
        <v>33.2</v>
      </c>
      <c r="E2461" s="2">
        <f>IFERROR(__xludf.DUMMYFUNCTION("""COMPUTED_VALUE"""),34.42)</f>
        <v>34.42</v>
      </c>
      <c r="F2461" s="2">
        <f>IFERROR(__xludf.DUMMYFUNCTION("""COMPUTED_VALUE"""),1.4901836E7)</f>
        <v>14901836</v>
      </c>
    </row>
    <row r="2462">
      <c r="A2462" s="3">
        <f>IFERROR(__xludf.DUMMYFUNCTION("""COMPUTED_VALUE"""),43928.66666666667)</f>
        <v>43928.66667</v>
      </c>
      <c r="B2462" s="2">
        <f>IFERROR(__xludf.DUMMYFUNCTION("""COMPUTED_VALUE"""),36.33)</f>
        <v>36.33</v>
      </c>
      <c r="C2462" s="2">
        <f>IFERROR(__xludf.DUMMYFUNCTION("""COMPUTED_VALUE"""),37.67)</f>
        <v>37.67</v>
      </c>
      <c r="D2462" s="2">
        <f>IFERROR(__xludf.DUMMYFUNCTION("""COMPUTED_VALUE"""),35.49)</f>
        <v>35.49</v>
      </c>
      <c r="E2462" s="2">
        <f>IFERROR(__xludf.DUMMYFUNCTION("""COMPUTED_VALUE"""),36.36)</f>
        <v>36.36</v>
      </c>
      <c r="F2462" s="2">
        <f>IFERROR(__xludf.DUMMYFUNCTION("""COMPUTED_VALUE"""),1.7919784E7)</f>
        <v>17919784</v>
      </c>
    </row>
    <row r="2463">
      <c r="A2463" s="3">
        <f>IFERROR(__xludf.DUMMYFUNCTION("""COMPUTED_VALUE"""),43929.66666666667)</f>
        <v>43929.66667</v>
      </c>
      <c r="B2463" s="2">
        <f>IFERROR(__xludf.DUMMYFUNCTION("""COMPUTED_VALUE"""),36.95)</f>
        <v>36.95</v>
      </c>
      <c r="C2463" s="2">
        <f>IFERROR(__xludf.DUMMYFUNCTION("""COMPUTED_VALUE"""),37.15)</f>
        <v>37.15</v>
      </c>
      <c r="D2463" s="2">
        <f>IFERROR(__xludf.DUMMYFUNCTION("""COMPUTED_VALUE"""),35.56)</f>
        <v>35.56</v>
      </c>
      <c r="E2463" s="2">
        <f>IFERROR(__xludf.DUMMYFUNCTION("""COMPUTED_VALUE"""),36.59)</f>
        <v>36.59</v>
      </c>
      <c r="F2463" s="2">
        <f>IFERROR(__xludf.DUMMYFUNCTION("""COMPUTED_VALUE"""),1.2656024E7)</f>
        <v>12656024</v>
      </c>
    </row>
    <row r="2464">
      <c r="A2464" s="3">
        <f>IFERROR(__xludf.DUMMYFUNCTION("""COMPUTED_VALUE"""),43930.66666666667)</f>
        <v>43930.66667</v>
      </c>
      <c r="B2464" s="2">
        <f>IFERROR(__xludf.DUMMYFUNCTION("""COMPUTED_VALUE"""),37.47)</f>
        <v>37.47</v>
      </c>
      <c r="C2464" s="2">
        <f>IFERROR(__xludf.DUMMYFUNCTION("""COMPUTED_VALUE"""),38.35)</f>
        <v>38.35</v>
      </c>
      <c r="D2464" s="2">
        <f>IFERROR(__xludf.DUMMYFUNCTION("""COMPUTED_VALUE"""),37.14)</f>
        <v>37.14</v>
      </c>
      <c r="E2464" s="2">
        <f>IFERROR(__xludf.DUMMYFUNCTION("""COMPUTED_VALUE"""),38.2)</f>
        <v>38.2</v>
      </c>
      <c r="F2464" s="2">
        <f>IFERROR(__xludf.DUMMYFUNCTION("""COMPUTED_VALUE"""),1.365E7)</f>
        <v>13650000</v>
      </c>
    </row>
    <row r="2465">
      <c r="A2465" s="3">
        <f>IFERROR(__xludf.DUMMYFUNCTION("""COMPUTED_VALUE"""),43934.66666666667)</f>
        <v>43934.66667</v>
      </c>
      <c r="B2465" s="2">
        <f>IFERROR(__xludf.DUMMYFUNCTION("""COMPUTED_VALUE"""),39.34)</f>
        <v>39.34</v>
      </c>
      <c r="C2465" s="2">
        <f>IFERROR(__xludf.DUMMYFUNCTION("""COMPUTED_VALUE"""),43.47)</f>
        <v>43.47</v>
      </c>
      <c r="D2465" s="2">
        <f>IFERROR(__xludf.DUMMYFUNCTION("""COMPUTED_VALUE"""),38.7)</f>
        <v>38.7</v>
      </c>
      <c r="E2465" s="2">
        <f>IFERROR(__xludf.DUMMYFUNCTION("""COMPUTED_VALUE"""),43.4)</f>
        <v>43.4</v>
      </c>
      <c r="F2465" s="2">
        <f>IFERROR(__xludf.DUMMYFUNCTION("""COMPUTED_VALUE"""),2.2475421E7)</f>
        <v>22475421</v>
      </c>
    </row>
    <row r="2466">
      <c r="A2466" s="3">
        <f>IFERROR(__xludf.DUMMYFUNCTION("""COMPUTED_VALUE"""),43935.66666666667)</f>
        <v>43935.66667</v>
      </c>
      <c r="B2466" s="2">
        <f>IFERROR(__xludf.DUMMYFUNCTION("""COMPUTED_VALUE"""),46.6)</f>
        <v>46.6</v>
      </c>
      <c r="C2466" s="2">
        <f>IFERROR(__xludf.DUMMYFUNCTION("""COMPUTED_VALUE"""),49.46)</f>
        <v>49.46</v>
      </c>
      <c r="D2466" s="2">
        <f>IFERROR(__xludf.DUMMYFUNCTION("""COMPUTED_VALUE"""),46.16)</f>
        <v>46.16</v>
      </c>
      <c r="E2466" s="2">
        <f>IFERROR(__xludf.DUMMYFUNCTION("""COMPUTED_VALUE"""),47.33)</f>
        <v>47.33</v>
      </c>
      <c r="F2466" s="2">
        <f>IFERROR(__xludf.DUMMYFUNCTION("""COMPUTED_VALUE"""),3.0576511E7)</f>
        <v>30576511</v>
      </c>
    </row>
    <row r="2467">
      <c r="A2467" s="3">
        <f>IFERROR(__xludf.DUMMYFUNCTION("""COMPUTED_VALUE"""),43936.66666666667)</f>
        <v>43936.66667</v>
      </c>
      <c r="B2467" s="2">
        <f>IFERROR(__xludf.DUMMYFUNCTION("""COMPUTED_VALUE"""),49.47)</f>
        <v>49.47</v>
      </c>
      <c r="C2467" s="2">
        <f>IFERROR(__xludf.DUMMYFUNCTION("""COMPUTED_VALUE"""),50.21)</f>
        <v>50.21</v>
      </c>
      <c r="D2467" s="2">
        <f>IFERROR(__xludf.DUMMYFUNCTION("""COMPUTED_VALUE"""),47.33)</f>
        <v>47.33</v>
      </c>
      <c r="E2467" s="2">
        <f>IFERROR(__xludf.DUMMYFUNCTION("""COMPUTED_VALUE"""),48.66)</f>
        <v>48.66</v>
      </c>
      <c r="F2467" s="2">
        <f>IFERROR(__xludf.DUMMYFUNCTION("""COMPUTED_VALUE"""),2.3577001E7)</f>
        <v>23577001</v>
      </c>
    </row>
    <row r="2468">
      <c r="A2468" s="3">
        <f>IFERROR(__xludf.DUMMYFUNCTION("""COMPUTED_VALUE"""),43937.66666666667)</f>
        <v>43937.66667</v>
      </c>
      <c r="B2468" s="2">
        <f>IFERROR(__xludf.DUMMYFUNCTION("""COMPUTED_VALUE"""),47.8)</f>
        <v>47.8</v>
      </c>
      <c r="C2468" s="2">
        <f>IFERROR(__xludf.DUMMYFUNCTION("""COMPUTED_VALUE"""),50.63)</f>
        <v>50.63</v>
      </c>
      <c r="D2468" s="2">
        <f>IFERROR(__xludf.DUMMYFUNCTION("""COMPUTED_VALUE"""),47.11)</f>
        <v>47.11</v>
      </c>
      <c r="E2468" s="2">
        <f>IFERROR(__xludf.DUMMYFUNCTION("""COMPUTED_VALUE"""),49.68)</f>
        <v>49.68</v>
      </c>
      <c r="F2468" s="2">
        <f>IFERROR(__xludf.DUMMYFUNCTION("""COMPUTED_VALUE"""),2.0657862E7)</f>
        <v>20657862</v>
      </c>
    </row>
    <row r="2469">
      <c r="A2469" s="3">
        <f>IFERROR(__xludf.DUMMYFUNCTION("""COMPUTED_VALUE"""),43938.66666666667)</f>
        <v>43938.66667</v>
      </c>
      <c r="B2469" s="2">
        <f>IFERROR(__xludf.DUMMYFUNCTION("""COMPUTED_VALUE"""),51.49)</f>
        <v>51.49</v>
      </c>
      <c r="C2469" s="2">
        <f>IFERROR(__xludf.DUMMYFUNCTION("""COMPUTED_VALUE"""),51.66)</f>
        <v>51.66</v>
      </c>
      <c r="D2469" s="2">
        <f>IFERROR(__xludf.DUMMYFUNCTION("""COMPUTED_VALUE"""),49.84)</f>
        <v>49.84</v>
      </c>
      <c r="E2469" s="2">
        <f>IFERROR(__xludf.DUMMYFUNCTION("""COMPUTED_VALUE"""),50.26)</f>
        <v>50.26</v>
      </c>
      <c r="F2469" s="2">
        <f>IFERROR(__xludf.DUMMYFUNCTION("""COMPUTED_VALUE"""),1.3128237E7)</f>
        <v>13128237</v>
      </c>
    </row>
    <row r="2470">
      <c r="A2470" s="3">
        <f>IFERROR(__xludf.DUMMYFUNCTION("""COMPUTED_VALUE"""),43941.66666666667)</f>
        <v>43941.66667</v>
      </c>
      <c r="B2470" s="2">
        <f>IFERROR(__xludf.DUMMYFUNCTION("""COMPUTED_VALUE"""),48.85)</f>
        <v>48.85</v>
      </c>
      <c r="C2470" s="2">
        <f>IFERROR(__xludf.DUMMYFUNCTION("""COMPUTED_VALUE"""),51.04)</f>
        <v>51.04</v>
      </c>
      <c r="D2470" s="2">
        <f>IFERROR(__xludf.DUMMYFUNCTION("""COMPUTED_VALUE"""),47.48)</f>
        <v>47.48</v>
      </c>
      <c r="E2470" s="2">
        <f>IFERROR(__xludf.DUMMYFUNCTION("""COMPUTED_VALUE"""),49.76)</f>
        <v>49.76</v>
      </c>
      <c r="F2470" s="2">
        <f>IFERROR(__xludf.DUMMYFUNCTION("""COMPUTED_VALUE"""),1.4746577E7)</f>
        <v>14746577</v>
      </c>
    </row>
    <row r="2471">
      <c r="A2471" s="3">
        <f>IFERROR(__xludf.DUMMYFUNCTION("""COMPUTED_VALUE"""),43942.66666666667)</f>
        <v>43942.66667</v>
      </c>
      <c r="B2471" s="2">
        <f>IFERROR(__xludf.DUMMYFUNCTION("""COMPUTED_VALUE"""),48.67)</f>
        <v>48.67</v>
      </c>
      <c r="C2471" s="2">
        <f>IFERROR(__xludf.DUMMYFUNCTION("""COMPUTED_VALUE"""),50.22)</f>
        <v>50.22</v>
      </c>
      <c r="D2471" s="2">
        <f>IFERROR(__xludf.DUMMYFUNCTION("""COMPUTED_VALUE"""),44.92)</f>
        <v>44.92</v>
      </c>
      <c r="E2471" s="2">
        <f>IFERROR(__xludf.DUMMYFUNCTION("""COMPUTED_VALUE"""),45.78)</f>
        <v>45.78</v>
      </c>
      <c r="F2471" s="2">
        <f>IFERROR(__xludf.DUMMYFUNCTION("""COMPUTED_VALUE"""),2.0209093E7)</f>
        <v>20209093</v>
      </c>
    </row>
    <row r="2472">
      <c r="A2472" s="3">
        <f>IFERROR(__xludf.DUMMYFUNCTION("""COMPUTED_VALUE"""),43943.66666666667)</f>
        <v>43943.66667</v>
      </c>
      <c r="B2472" s="2">
        <f>IFERROR(__xludf.DUMMYFUNCTION("""COMPUTED_VALUE"""),46.93)</f>
        <v>46.93</v>
      </c>
      <c r="C2472" s="2">
        <f>IFERROR(__xludf.DUMMYFUNCTION("""COMPUTED_VALUE"""),48.93)</f>
        <v>48.93</v>
      </c>
      <c r="D2472" s="2">
        <f>IFERROR(__xludf.DUMMYFUNCTION("""COMPUTED_VALUE"""),45.91)</f>
        <v>45.91</v>
      </c>
      <c r="E2472" s="2">
        <f>IFERROR(__xludf.DUMMYFUNCTION("""COMPUTED_VALUE"""),48.81)</f>
        <v>48.81</v>
      </c>
      <c r="F2472" s="2">
        <f>IFERROR(__xludf.DUMMYFUNCTION("""COMPUTED_VALUE"""),1.4224831E7)</f>
        <v>14224831</v>
      </c>
    </row>
    <row r="2473">
      <c r="A2473" s="3">
        <f>IFERROR(__xludf.DUMMYFUNCTION("""COMPUTED_VALUE"""),43944.66666666667)</f>
        <v>43944.66667</v>
      </c>
      <c r="B2473" s="2">
        <f>IFERROR(__xludf.DUMMYFUNCTION("""COMPUTED_VALUE"""),48.51)</f>
        <v>48.51</v>
      </c>
      <c r="C2473" s="2">
        <f>IFERROR(__xludf.DUMMYFUNCTION("""COMPUTED_VALUE"""),48.93)</f>
        <v>48.93</v>
      </c>
      <c r="D2473" s="2">
        <f>IFERROR(__xludf.DUMMYFUNCTION("""COMPUTED_VALUE"""),46.88)</f>
        <v>46.88</v>
      </c>
      <c r="E2473" s="2">
        <f>IFERROR(__xludf.DUMMYFUNCTION("""COMPUTED_VALUE"""),47.04)</f>
        <v>47.04</v>
      </c>
      <c r="F2473" s="2">
        <f>IFERROR(__xludf.DUMMYFUNCTION("""COMPUTED_VALUE"""),1.3236697E7)</f>
        <v>13236697</v>
      </c>
    </row>
    <row r="2474">
      <c r="A2474" s="3">
        <f>IFERROR(__xludf.DUMMYFUNCTION("""COMPUTED_VALUE"""),43945.66666666667)</f>
        <v>43945.66667</v>
      </c>
      <c r="B2474" s="2">
        <f>IFERROR(__xludf.DUMMYFUNCTION("""COMPUTED_VALUE"""),47.39)</f>
        <v>47.39</v>
      </c>
      <c r="C2474" s="2">
        <f>IFERROR(__xludf.DUMMYFUNCTION("""COMPUTED_VALUE"""),48.72)</f>
        <v>48.72</v>
      </c>
      <c r="D2474" s="2">
        <f>IFERROR(__xludf.DUMMYFUNCTION("""COMPUTED_VALUE"""),46.55)</f>
        <v>46.55</v>
      </c>
      <c r="E2474" s="2">
        <f>IFERROR(__xludf.DUMMYFUNCTION("""COMPUTED_VALUE"""),48.34)</f>
        <v>48.34</v>
      </c>
      <c r="F2474" s="2">
        <f>IFERROR(__xludf.DUMMYFUNCTION("""COMPUTED_VALUE"""),1.3237612E7)</f>
        <v>13237612</v>
      </c>
    </row>
    <row r="2475">
      <c r="A2475" s="3">
        <f>IFERROR(__xludf.DUMMYFUNCTION("""COMPUTED_VALUE"""),43948.66666666667)</f>
        <v>43948.66667</v>
      </c>
      <c r="B2475" s="2">
        <f>IFERROR(__xludf.DUMMYFUNCTION("""COMPUTED_VALUE"""),49.17)</f>
        <v>49.17</v>
      </c>
      <c r="C2475" s="2">
        <f>IFERROR(__xludf.DUMMYFUNCTION("""COMPUTED_VALUE"""),53.3)</f>
        <v>53.3</v>
      </c>
      <c r="D2475" s="2">
        <f>IFERROR(__xludf.DUMMYFUNCTION("""COMPUTED_VALUE"""),49.0)</f>
        <v>49</v>
      </c>
      <c r="E2475" s="2">
        <f>IFERROR(__xludf.DUMMYFUNCTION("""COMPUTED_VALUE"""),53.25)</f>
        <v>53.25</v>
      </c>
      <c r="F2475" s="2">
        <f>IFERROR(__xludf.DUMMYFUNCTION("""COMPUTED_VALUE"""),2.0681442E7)</f>
        <v>20681442</v>
      </c>
    </row>
    <row r="2476">
      <c r="A2476" s="3">
        <f>IFERROR(__xludf.DUMMYFUNCTION("""COMPUTED_VALUE"""),43949.66666666667)</f>
        <v>43949.66667</v>
      </c>
      <c r="B2476" s="2">
        <f>IFERROR(__xludf.DUMMYFUNCTION("""COMPUTED_VALUE"""),53.04)</f>
        <v>53.04</v>
      </c>
      <c r="C2476" s="2">
        <f>IFERROR(__xludf.DUMMYFUNCTION("""COMPUTED_VALUE"""),53.67)</f>
        <v>53.67</v>
      </c>
      <c r="D2476" s="2">
        <f>IFERROR(__xludf.DUMMYFUNCTION("""COMPUTED_VALUE"""),50.45)</f>
        <v>50.45</v>
      </c>
      <c r="E2476" s="2">
        <f>IFERROR(__xludf.DUMMYFUNCTION("""COMPUTED_VALUE"""),51.27)</f>
        <v>51.27</v>
      </c>
      <c r="F2476" s="2">
        <f>IFERROR(__xludf.DUMMYFUNCTION("""COMPUTED_VALUE"""),1.5221964E7)</f>
        <v>15221964</v>
      </c>
    </row>
    <row r="2477">
      <c r="A2477" s="3">
        <f>IFERROR(__xludf.DUMMYFUNCTION("""COMPUTED_VALUE"""),43950.66666666667)</f>
        <v>43950.66667</v>
      </c>
      <c r="B2477" s="2">
        <f>IFERROR(__xludf.DUMMYFUNCTION("""COMPUTED_VALUE"""),52.68)</f>
        <v>52.68</v>
      </c>
      <c r="C2477" s="2">
        <f>IFERROR(__xludf.DUMMYFUNCTION("""COMPUTED_VALUE"""),53.55)</f>
        <v>53.55</v>
      </c>
      <c r="D2477" s="2">
        <f>IFERROR(__xludf.DUMMYFUNCTION("""COMPUTED_VALUE"""),52.21)</f>
        <v>52.21</v>
      </c>
      <c r="E2477" s="2">
        <f>IFERROR(__xludf.DUMMYFUNCTION("""COMPUTED_VALUE"""),53.37)</f>
        <v>53.37</v>
      </c>
      <c r="F2477" s="2">
        <f>IFERROR(__xludf.DUMMYFUNCTION("""COMPUTED_VALUE"""),1.6215982E7)</f>
        <v>16215982</v>
      </c>
    </row>
    <row r="2478">
      <c r="A2478" s="3">
        <f>IFERROR(__xludf.DUMMYFUNCTION("""COMPUTED_VALUE"""),43951.66666666667)</f>
        <v>43951.66667</v>
      </c>
      <c r="B2478" s="2">
        <f>IFERROR(__xludf.DUMMYFUNCTION("""COMPUTED_VALUE"""),57.01)</f>
        <v>57.01</v>
      </c>
      <c r="C2478" s="2">
        <f>IFERROR(__xludf.DUMMYFUNCTION("""COMPUTED_VALUE"""),57.99)</f>
        <v>57.99</v>
      </c>
      <c r="D2478" s="2">
        <f>IFERROR(__xludf.DUMMYFUNCTION("""COMPUTED_VALUE"""),50.9)</f>
        <v>50.9</v>
      </c>
      <c r="E2478" s="2">
        <f>IFERROR(__xludf.DUMMYFUNCTION("""COMPUTED_VALUE"""),52.13)</f>
        <v>52.13</v>
      </c>
      <c r="F2478" s="2">
        <f>IFERROR(__xludf.DUMMYFUNCTION("""COMPUTED_VALUE"""),2.8471854E7)</f>
        <v>28471854</v>
      </c>
    </row>
    <row r="2479">
      <c r="A2479" s="3">
        <f>IFERROR(__xludf.DUMMYFUNCTION("""COMPUTED_VALUE"""),43952.66666666667)</f>
        <v>43952.66667</v>
      </c>
      <c r="B2479" s="2">
        <f>IFERROR(__xludf.DUMMYFUNCTION("""COMPUTED_VALUE"""),50.33)</f>
        <v>50.33</v>
      </c>
      <c r="C2479" s="2">
        <f>IFERROR(__xludf.DUMMYFUNCTION("""COMPUTED_VALUE"""),51.52)</f>
        <v>51.52</v>
      </c>
      <c r="D2479" s="2">
        <f>IFERROR(__xludf.DUMMYFUNCTION("""COMPUTED_VALUE"""),45.54)</f>
        <v>45.54</v>
      </c>
      <c r="E2479" s="2">
        <f>IFERROR(__xludf.DUMMYFUNCTION("""COMPUTED_VALUE"""),46.75)</f>
        <v>46.75</v>
      </c>
      <c r="F2479" s="2">
        <f>IFERROR(__xludf.DUMMYFUNCTION("""COMPUTED_VALUE"""),3.2531807E7)</f>
        <v>32531807</v>
      </c>
    </row>
    <row r="2480">
      <c r="A2480" s="3">
        <f>IFERROR(__xludf.DUMMYFUNCTION("""COMPUTED_VALUE"""),43955.66666666667)</f>
        <v>43955.66667</v>
      </c>
      <c r="B2480" s="2">
        <f>IFERROR(__xludf.DUMMYFUNCTION("""COMPUTED_VALUE"""),46.73)</f>
        <v>46.73</v>
      </c>
      <c r="C2480" s="2">
        <f>IFERROR(__xludf.DUMMYFUNCTION("""COMPUTED_VALUE"""),50.8)</f>
        <v>50.8</v>
      </c>
      <c r="D2480" s="2">
        <f>IFERROR(__xludf.DUMMYFUNCTION("""COMPUTED_VALUE"""),46.53)</f>
        <v>46.53</v>
      </c>
      <c r="E2480" s="2">
        <f>IFERROR(__xludf.DUMMYFUNCTION("""COMPUTED_VALUE"""),50.75)</f>
        <v>50.75</v>
      </c>
      <c r="F2480" s="2">
        <f>IFERROR(__xludf.DUMMYFUNCTION("""COMPUTED_VALUE"""),1.923709E7)</f>
        <v>19237090</v>
      </c>
    </row>
    <row r="2481">
      <c r="A2481" s="3">
        <f>IFERROR(__xludf.DUMMYFUNCTION("""COMPUTED_VALUE"""),43956.66666666667)</f>
        <v>43956.66667</v>
      </c>
      <c r="B2481" s="2">
        <f>IFERROR(__xludf.DUMMYFUNCTION("""COMPUTED_VALUE"""),52.65)</f>
        <v>52.65</v>
      </c>
      <c r="C2481" s="2">
        <f>IFERROR(__xludf.DUMMYFUNCTION("""COMPUTED_VALUE"""),53.26)</f>
        <v>53.26</v>
      </c>
      <c r="D2481" s="2">
        <f>IFERROR(__xludf.DUMMYFUNCTION("""COMPUTED_VALUE"""),50.81)</f>
        <v>50.81</v>
      </c>
      <c r="E2481" s="2">
        <f>IFERROR(__xludf.DUMMYFUNCTION("""COMPUTED_VALUE"""),51.21)</f>
        <v>51.21</v>
      </c>
      <c r="F2481" s="2">
        <f>IFERROR(__xludf.DUMMYFUNCTION("""COMPUTED_VALUE"""),1.6991656E7)</f>
        <v>16991656</v>
      </c>
    </row>
    <row r="2482">
      <c r="A2482" s="3">
        <f>IFERROR(__xludf.DUMMYFUNCTION("""COMPUTED_VALUE"""),43957.66666666667)</f>
        <v>43957.66667</v>
      </c>
      <c r="B2482" s="2">
        <f>IFERROR(__xludf.DUMMYFUNCTION("""COMPUTED_VALUE"""),51.77)</f>
        <v>51.77</v>
      </c>
      <c r="C2482" s="2">
        <f>IFERROR(__xludf.DUMMYFUNCTION("""COMPUTED_VALUE"""),52.65)</f>
        <v>52.65</v>
      </c>
      <c r="D2482" s="2">
        <f>IFERROR(__xludf.DUMMYFUNCTION("""COMPUTED_VALUE"""),50.74)</f>
        <v>50.74</v>
      </c>
      <c r="E2482" s="2">
        <f>IFERROR(__xludf.DUMMYFUNCTION("""COMPUTED_VALUE"""),52.17)</f>
        <v>52.17</v>
      </c>
      <c r="F2482" s="2">
        <f>IFERROR(__xludf.DUMMYFUNCTION("""COMPUTED_VALUE"""),1.1123231E7)</f>
        <v>11123231</v>
      </c>
    </row>
    <row r="2483">
      <c r="A2483" s="3">
        <f>IFERROR(__xludf.DUMMYFUNCTION("""COMPUTED_VALUE"""),43958.66666666667)</f>
        <v>43958.66667</v>
      </c>
      <c r="B2483" s="2">
        <f>IFERROR(__xludf.DUMMYFUNCTION("""COMPUTED_VALUE"""),51.81)</f>
        <v>51.81</v>
      </c>
      <c r="C2483" s="2">
        <f>IFERROR(__xludf.DUMMYFUNCTION("""COMPUTED_VALUE"""),53.09)</f>
        <v>53.09</v>
      </c>
      <c r="D2483" s="2">
        <f>IFERROR(__xludf.DUMMYFUNCTION("""COMPUTED_VALUE"""),51.49)</f>
        <v>51.49</v>
      </c>
      <c r="E2483" s="2">
        <f>IFERROR(__xludf.DUMMYFUNCTION("""COMPUTED_VALUE"""),52.0)</f>
        <v>52</v>
      </c>
      <c r="F2483" s="2">
        <f>IFERROR(__xludf.DUMMYFUNCTION("""COMPUTED_VALUE"""),1.1527686E7)</f>
        <v>11527686</v>
      </c>
    </row>
    <row r="2484">
      <c r="A2484" s="3">
        <f>IFERROR(__xludf.DUMMYFUNCTION("""COMPUTED_VALUE"""),43959.66666666667)</f>
        <v>43959.66667</v>
      </c>
      <c r="B2484" s="2">
        <f>IFERROR(__xludf.DUMMYFUNCTION("""COMPUTED_VALUE"""),52.92)</f>
        <v>52.92</v>
      </c>
      <c r="C2484" s="2">
        <f>IFERROR(__xludf.DUMMYFUNCTION("""COMPUTED_VALUE"""),54.93)</f>
        <v>54.93</v>
      </c>
      <c r="D2484" s="2">
        <f>IFERROR(__xludf.DUMMYFUNCTION("""COMPUTED_VALUE"""),52.47)</f>
        <v>52.47</v>
      </c>
      <c r="E2484" s="2">
        <f>IFERROR(__xludf.DUMMYFUNCTION("""COMPUTED_VALUE"""),54.63)</f>
        <v>54.63</v>
      </c>
      <c r="F2484" s="2">
        <f>IFERROR(__xludf.DUMMYFUNCTION("""COMPUTED_VALUE"""),1.6130087E7)</f>
        <v>16130087</v>
      </c>
    </row>
    <row r="2485">
      <c r="A2485" s="3">
        <f>IFERROR(__xludf.DUMMYFUNCTION("""COMPUTED_VALUE"""),43962.66666666667)</f>
        <v>43962.66667</v>
      </c>
      <c r="B2485" s="2">
        <f>IFERROR(__xludf.DUMMYFUNCTION("""COMPUTED_VALUE"""),52.7)</f>
        <v>52.7</v>
      </c>
      <c r="C2485" s="2">
        <f>IFERROR(__xludf.DUMMYFUNCTION("""COMPUTED_VALUE"""),54.93)</f>
        <v>54.93</v>
      </c>
      <c r="D2485" s="2">
        <f>IFERROR(__xludf.DUMMYFUNCTION("""COMPUTED_VALUE"""),52.33)</f>
        <v>52.33</v>
      </c>
      <c r="E2485" s="2">
        <f>IFERROR(__xludf.DUMMYFUNCTION("""COMPUTED_VALUE"""),54.09)</f>
        <v>54.09</v>
      </c>
      <c r="F2485" s="2">
        <f>IFERROR(__xludf.DUMMYFUNCTION("""COMPUTED_VALUE"""),1.6519601E7)</f>
        <v>16519601</v>
      </c>
    </row>
    <row r="2486">
      <c r="A2486" s="3">
        <f>IFERROR(__xludf.DUMMYFUNCTION("""COMPUTED_VALUE"""),43963.66666666667)</f>
        <v>43963.66667</v>
      </c>
      <c r="B2486" s="2">
        <f>IFERROR(__xludf.DUMMYFUNCTION("""COMPUTED_VALUE"""),55.13)</f>
        <v>55.13</v>
      </c>
      <c r="C2486" s="2">
        <f>IFERROR(__xludf.DUMMYFUNCTION("""COMPUTED_VALUE"""),56.22)</f>
        <v>56.22</v>
      </c>
      <c r="D2486" s="2">
        <f>IFERROR(__xludf.DUMMYFUNCTION("""COMPUTED_VALUE"""),53.87)</f>
        <v>53.87</v>
      </c>
      <c r="E2486" s="2">
        <f>IFERROR(__xludf.DUMMYFUNCTION("""COMPUTED_VALUE"""),53.96)</f>
        <v>53.96</v>
      </c>
      <c r="F2486" s="2">
        <f>IFERROR(__xludf.DUMMYFUNCTION("""COMPUTED_VALUE"""),1.5906905E7)</f>
        <v>15906905</v>
      </c>
    </row>
    <row r="2487">
      <c r="A2487" s="3">
        <f>IFERROR(__xludf.DUMMYFUNCTION("""COMPUTED_VALUE"""),43964.66666666667)</f>
        <v>43964.66667</v>
      </c>
      <c r="B2487" s="2">
        <f>IFERROR(__xludf.DUMMYFUNCTION("""COMPUTED_VALUE"""),54.72)</f>
        <v>54.72</v>
      </c>
      <c r="C2487" s="2">
        <f>IFERROR(__xludf.DUMMYFUNCTION("""COMPUTED_VALUE"""),55.07)</f>
        <v>55.07</v>
      </c>
      <c r="D2487" s="2">
        <f>IFERROR(__xludf.DUMMYFUNCTION("""COMPUTED_VALUE"""),50.89)</f>
        <v>50.89</v>
      </c>
      <c r="E2487" s="2">
        <f>IFERROR(__xludf.DUMMYFUNCTION("""COMPUTED_VALUE"""),52.73)</f>
        <v>52.73</v>
      </c>
      <c r="F2487" s="2">
        <f>IFERROR(__xludf.DUMMYFUNCTION("""COMPUTED_VALUE"""),1.9065491E7)</f>
        <v>19065491</v>
      </c>
    </row>
    <row r="2488">
      <c r="A2488" s="3">
        <f>IFERROR(__xludf.DUMMYFUNCTION("""COMPUTED_VALUE"""),43965.66666666667)</f>
        <v>43965.66667</v>
      </c>
      <c r="B2488" s="2">
        <f>IFERROR(__xludf.DUMMYFUNCTION("""COMPUTED_VALUE"""),52.0)</f>
        <v>52</v>
      </c>
      <c r="C2488" s="2">
        <f>IFERROR(__xludf.DUMMYFUNCTION("""COMPUTED_VALUE"""),53.56)</f>
        <v>53.56</v>
      </c>
      <c r="D2488" s="2">
        <f>IFERROR(__xludf.DUMMYFUNCTION("""COMPUTED_VALUE"""),50.93)</f>
        <v>50.93</v>
      </c>
      <c r="E2488" s="2">
        <f>IFERROR(__xludf.DUMMYFUNCTION("""COMPUTED_VALUE"""),53.56)</f>
        <v>53.56</v>
      </c>
      <c r="F2488" s="2">
        <f>IFERROR(__xludf.DUMMYFUNCTION("""COMPUTED_VALUE"""),1.3682188E7)</f>
        <v>13682188</v>
      </c>
    </row>
    <row r="2489">
      <c r="A2489" s="3">
        <f>IFERROR(__xludf.DUMMYFUNCTION("""COMPUTED_VALUE"""),43966.66666666667)</f>
        <v>43966.66667</v>
      </c>
      <c r="B2489" s="2">
        <f>IFERROR(__xludf.DUMMYFUNCTION("""COMPUTED_VALUE"""),52.69)</f>
        <v>52.69</v>
      </c>
      <c r="C2489" s="2">
        <f>IFERROR(__xludf.DUMMYFUNCTION("""COMPUTED_VALUE"""),53.67)</f>
        <v>53.67</v>
      </c>
      <c r="D2489" s="2">
        <f>IFERROR(__xludf.DUMMYFUNCTION("""COMPUTED_VALUE"""),52.44)</f>
        <v>52.44</v>
      </c>
      <c r="E2489" s="2">
        <f>IFERROR(__xludf.DUMMYFUNCTION("""COMPUTED_VALUE"""),53.28)</f>
        <v>53.28</v>
      </c>
      <c r="F2489" s="2">
        <f>IFERROR(__xludf.DUMMYFUNCTION("""COMPUTED_VALUE"""),1.0518428E7)</f>
        <v>10518428</v>
      </c>
    </row>
    <row r="2490">
      <c r="A2490" s="3">
        <f>IFERROR(__xludf.DUMMYFUNCTION("""COMPUTED_VALUE"""),43969.66666666667)</f>
        <v>43969.66667</v>
      </c>
      <c r="B2490" s="2">
        <f>IFERROR(__xludf.DUMMYFUNCTION("""COMPUTED_VALUE"""),55.19)</f>
        <v>55.19</v>
      </c>
      <c r="C2490" s="2">
        <f>IFERROR(__xludf.DUMMYFUNCTION("""COMPUTED_VALUE"""),55.65)</f>
        <v>55.65</v>
      </c>
      <c r="D2490" s="2">
        <f>IFERROR(__xludf.DUMMYFUNCTION("""COMPUTED_VALUE"""),53.59)</f>
        <v>53.59</v>
      </c>
      <c r="E2490" s="2">
        <f>IFERROR(__xludf.DUMMYFUNCTION("""COMPUTED_VALUE"""),54.24)</f>
        <v>54.24</v>
      </c>
      <c r="F2490" s="2">
        <f>IFERROR(__xludf.DUMMYFUNCTION("""COMPUTED_VALUE"""),1.1698102E7)</f>
        <v>11698102</v>
      </c>
    </row>
    <row r="2491">
      <c r="A2491" s="3">
        <f>IFERROR(__xludf.DUMMYFUNCTION("""COMPUTED_VALUE"""),43970.66666666667)</f>
        <v>43970.66667</v>
      </c>
      <c r="B2491" s="2">
        <f>IFERROR(__xludf.DUMMYFUNCTION("""COMPUTED_VALUE"""),54.34)</f>
        <v>54.34</v>
      </c>
      <c r="C2491" s="2">
        <f>IFERROR(__xludf.DUMMYFUNCTION("""COMPUTED_VALUE"""),54.8)</f>
        <v>54.8</v>
      </c>
      <c r="D2491" s="2">
        <f>IFERROR(__xludf.DUMMYFUNCTION("""COMPUTED_VALUE"""),53.74)</f>
        <v>53.74</v>
      </c>
      <c r="E2491" s="2">
        <f>IFERROR(__xludf.DUMMYFUNCTION("""COMPUTED_VALUE"""),53.87)</f>
        <v>53.87</v>
      </c>
      <c r="F2491" s="2">
        <f>IFERROR(__xludf.DUMMYFUNCTION("""COMPUTED_VALUE"""),9636522.0)</f>
        <v>9636522</v>
      </c>
    </row>
    <row r="2492">
      <c r="A2492" s="3">
        <f>IFERROR(__xludf.DUMMYFUNCTION("""COMPUTED_VALUE"""),43971.66666666667)</f>
        <v>43971.66667</v>
      </c>
      <c r="B2492" s="2">
        <f>IFERROR(__xludf.DUMMYFUNCTION("""COMPUTED_VALUE"""),54.7)</f>
        <v>54.7</v>
      </c>
      <c r="C2492" s="2">
        <f>IFERROR(__xludf.DUMMYFUNCTION("""COMPUTED_VALUE"""),55.07)</f>
        <v>55.07</v>
      </c>
      <c r="D2492" s="2">
        <f>IFERROR(__xludf.DUMMYFUNCTION("""COMPUTED_VALUE"""),54.12)</f>
        <v>54.12</v>
      </c>
      <c r="E2492" s="2">
        <f>IFERROR(__xludf.DUMMYFUNCTION("""COMPUTED_VALUE"""),54.37)</f>
        <v>54.37</v>
      </c>
      <c r="F2492" s="2">
        <f>IFERROR(__xludf.DUMMYFUNCTION("""COMPUTED_VALUE"""),7309271.0)</f>
        <v>7309271</v>
      </c>
    </row>
    <row r="2493">
      <c r="A2493" s="3">
        <f>IFERROR(__xludf.DUMMYFUNCTION("""COMPUTED_VALUE"""),43972.66666666667)</f>
        <v>43972.66667</v>
      </c>
      <c r="B2493" s="2">
        <f>IFERROR(__xludf.DUMMYFUNCTION("""COMPUTED_VALUE"""),54.4)</f>
        <v>54.4</v>
      </c>
      <c r="C2493" s="2">
        <f>IFERROR(__xludf.DUMMYFUNCTION("""COMPUTED_VALUE"""),55.5)</f>
        <v>55.5</v>
      </c>
      <c r="D2493" s="2">
        <f>IFERROR(__xludf.DUMMYFUNCTION("""COMPUTED_VALUE"""),53.07)</f>
        <v>53.07</v>
      </c>
      <c r="E2493" s="2">
        <f>IFERROR(__xludf.DUMMYFUNCTION("""COMPUTED_VALUE"""),55.17)</f>
        <v>55.17</v>
      </c>
      <c r="F2493" s="2">
        <f>IFERROR(__xludf.DUMMYFUNCTION("""COMPUTED_VALUE"""),1.2254584E7)</f>
        <v>12254584</v>
      </c>
    </row>
    <row r="2494">
      <c r="A2494" s="3">
        <f>IFERROR(__xludf.DUMMYFUNCTION("""COMPUTED_VALUE"""),43973.66666666667)</f>
        <v>43973.66667</v>
      </c>
      <c r="B2494" s="2">
        <f>IFERROR(__xludf.DUMMYFUNCTION("""COMPUTED_VALUE"""),54.81)</f>
        <v>54.81</v>
      </c>
      <c r="C2494" s="2">
        <f>IFERROR(__xludf.DUMMYFUNCTION("""COMPUTED_VALUE"""),55.45)</f>
        <v>55.45</v>
      </c>
      <c r="D2494" s="2">
        <f>IFERROR(__xludf.DUMMYFUNCTION("""COMPUTED_VALUE"""),54.13)</f>
        <v>54.13</v>
      </c>
      <c r="E2494" s="2">
        <f>IFERROR(__xludf.DUMMYFUNCTION("""COMPUTED_VALUE"""),54.46)</f>
        <v>54.46</v>
      </c>
      <c r="F2494" s="2">
        <f>IFERROR(__xludf.DUMMYFUNCTION("""COMPUTED_VALUE"""),9987475.0)</f>
        <v>9987475</v>
      </c>
    </row>
    <row r="2495">
      <c r="A2495" s="3">
        <f>IFERROR(__xludf.DUMMYFUNCTION("""COMPUTED_VALUE"""),43977.66666666667)</f>
        <v>43977.66667</v>
      </c>
      <c r="B2495" s="2">
        <f>IFERROR(__xludf.DUMMYFUNCTION("""COMPUTED_VALUE"""),55.63)</f>
        <v>55.63</v>
      </c>
      <c r="C2495" s="2">
        <f>IFERROR(__xludf.DUMMYFUNCTION("""COMPUTED_VALUE"""),55.64)</f>
        <v>55.64</v>
      </c>
      <c r="D2495" s="2">
        <f>IFERROR(__xludf.DUMMYFUNCTION("""COMPUTED_VALUE"""),54.38)</f>
        <v>54.38</v>
      </c>
      <c r="E2495" s="2">
        <f>IFERROR(__xludf.DUMMYFUNCTION("""COMPUTED_VALUE"""),54.59)</f>
        <v>54.59</v>
      </c>
      <c r="F2495" s="2">
        <f>IFERROR(__xludf.DUMMYFUNCTION("""COMPUTED_VALUE"""),8089736.0)</f>
        <v>8089736</v>
      </c>
    </row>
    <row r="2496">
      <c r="A2496" s="3">
        <f>IFERROR(__xludf.DUMMYFUNCTION("""COMPUTED_VALUE"""),43978.66666666667)</f>
        <v>43978.66667</v>
      </c>
      <c r="B2496" s="2">
        <f>IFERROR(__xludf.DUMMYFUNCTION("""COMPUTED_VALUE"""),54.72)</f>
        <v>54.72</v>
      </c>
      <c r="C2496" s="2">
        <f>IFERROR(__xludf.DUMMYFUNCTION("""COMPUTED_VALUE"""),55.18)</f>
        <v>55.18</v>
      </c>
      <c r="D2496" s="2">
        <f>IFERROR(__xludf.DUMMYFUNCTION("""COMPUTED_VALUE"""),52.33)</f>
        <v>52.33</v>
      </c>
      <c r="E2496" s="2">
        <f>IFERROR(__xludf.DUMMYFUNCTION("""COMPUTED_VALUE"""),54.68)</f>
        <v>54.68</v>
      </c>
      <c r="F2496" s="2">
        <f>IFERROR(__xludf.DUMMYFUNCTION("""COMPUTED_VALUE"""),1.154953E7)</f>
        <v>11549530</v>
      </c>
    </row>
    <row r="2497">
      <c r="A2497" s="3">
        <f>IFERROR(__xludf.DUMMYFUNCTION("""COMPUTED_VALUE"""),43979.66666666667)</f>
        <v>43979.66667</v>
      </c>
      <c r="B2497" s="2">
        <f>IFERROR(__xludf.DUMMYFUNCTION("""COMPUTED_VALUE"""),54.23)</f>
        <v>54.23</v>
      </c>
      <c r="C2497" s="2">
        <f>IFERROR(__xludf.DUMMYFUNCTION("""COMPUTED_VALUE"""),54.98)</f>
        <v>54.98</v>
      </c>
      <c r="D2497" s="2">
        <f>IFERROR(__xludf.DUMMYFUNCTION("""COMPUTED_VALUE"""),53.45)</f>
        <v>53.45</v>
      </c>
      <c r="E2497" s="2">
        <f>IFERROR(__xludf.DUMMYFUNCTION("""COMPUTED_VALUE"""),53.72)</f>
        <v>53.72</v>
      </c>
      <c r="F2497" s="2">
        <f>IFERROR(__xludf.DUMMYFUNCTION("""COMPUTED_VALUE"""),7275774.0)</f>
        <v>7275774</v>
      </c>
    </row>
    <row r="2498">
      <c r="A2498" s="3">
        <f>IFERROR(__xludf.DUMMYFUNCTION("""COMPUTED_VALUE"""),43980.66666666667)</f>
        <v>43980.66667</v>
      </c>
      <c r="B2498" s="2">
        <f>IFERROR(__xludf.DUMMYFUNCTION("""COMPUTED_VALUE"""),53.92)</f>
        <v>53.92</v>
      </c>
      <c r="C2498" s="2">
        <f>IFERROR(__xludf.DUMMYFUNCTION("""COMPUTED_VALUE"""),55.67)</f>
        <v>55.67</v>
      </c>
      <c r="D2498" s="2">
        <f>IFERROR(__xludf.DUMMYFUNCTION("""COMPUTED_VALUE"""),53.61)</f>
        <v>53.61</v>
      </c>
      <c r="E2498" s="2">
        <f>IFERROR(__xludf.DUMMYFUNCTION("""COMPUTED_VALUE"""),55.67)</f>
        <v>55.67</v>
      </c>
      <c r="F2498" s="2">
        <f>IFERROR(__xludf.DUMMYFUNCTION("""COMPUTED_VALUE"""),1.1812489E7)</f>
        <v>11812489</v>
      </c>
    </row>
    <row r="2499">
      <c r="A2499" s="3">
        <f>IFERROR(__xludf.DUMMYFUNCTION("""COMPUTED_VALUE"""),43983.66666666667)</f>
        <v>43983.66667</v>
      </c>
      <c r="B2499" s="2">
        <f>IFERROR(__xludf.DUMMYFUNCTION("""COMPUTED_VALUE"""),57.2)</f>
        <v>57.2</v>
      </c>
      <c r="C2499" s="2">
        <f>IFERROR(__xludf.DUMMYFUNCTION("""COMPUTED_VALUE"""),59.93)</f>
        <v>59.93</v>
      </c>
      <c r="D2499" s="2">
        <f>IFERROR(__xludf.DUMMYFUNCTION("""COMPUTED_VALUE"""),56.94)</f>
        <v>56.94</v>
      </c>
      <c r="E2499" s="2">
        <f>IFERROR(__xludf.DUMMYFUNCTION("""COMPUTED_VALUE"""),59.87)</f>
        <v>59.87</v>
      </c>
      <c r="F2499" s="2">
        <f>IFERROR(__xludf.DUMMYFUNCTION("""COMPUTED_VALUE"""),1.5085297E7)</f>
        <v>15085297</v>
      </c>
    </row>
    <row r="2500">
      <c r="A2500" s="3">
        <f>IFERROR(__xludf.DUMMYFUNCTION("""COMPUTED_VALUE"""),43984.66666666667)</f>
        <v>43984.66667</v>
      </c>
      <c r="B2500" s="2">
        <f>IFERROR(__xludf.DUMMYFUNCTION("""COMPUTED_VALUE"""),59.65)</f>
        <v>59.65</v>
      </c>
      <c r="C2500" s="2">
        <f>IFERROR(__xludf.DUMMYFUNCTION("""COMPUTED_VALUE"""),60.58)</f>
        <v>60.58</v>
      </c>
      <c r="D2500" s="2">
        <f>IFERROR(__xludf.DUMMYFUNCTION("""COMPUTED_VALUE"""),58.07)</f>
        <v>58.07</v>
      </c>
      <c r="E2500" s="2">
        <f>IFERROR(__xludf.DUMMYFUNCTION("""COMPUTED_VALUE"""),58.77)</f>
        <v>58.77</v>
      </c>
      <c r="F2500" s="2">
        <f>IFERROR(__xludf.DUMMYFUNCTION("""COMPUTED_VALUE"""),1.3565596E7)</f>
        <v>13565596</v>
      </c>
    </row>
    <row r="2501">
      <c r="A2501" s="3">
        <f>IFERROR(__xludf.DUMMYFUNCTION("""COMPUTED_VALUE"""),43985.66666666667)</f>
        <v>43985.66667</v>
      </c>
      <c r="B2501" s="2">
        <f>IFERROR(__xludf.DUMMYFUNCTION("""COMPUTED_VALUE"""),59.21)</f>
        <v>59.21</v>
      </c>
      <c r="C2501" s="2">
        <f>IFERROR(__xludf.DUMMYFUNCTION("""COMPUTED_VALUE"""),59.86)</f>
        <v>59.86</v>
      </c>
      <c r="D2501" s="2">
        <f>IFERROR(__xludf.DUMMYFUNCTION("""COMPUTED_VALUE"""),58.67)</f>
        <v>58.67</v>
      </c>
      <c r="E2501" s="2">
        <f>IFERROR(__xludf.DUMMYFUNCTION("""COMPUTED_VALUE"""),58.86)</f>
        <v>58.86</v>
      </c>
      <c r="F2501" s="2">
        <f>IFERROR(__xludf.DUMMYFUNCTION("""COMPUTED_VALUE"""),7949469.0)</f>
        <v>7949469</v>
      </c>
    </row>
    <row r="2502">
      <c r="A2502" s="3">
        <f>IFERROR(__xludf.DUMMYFUNCTION("""COMPUTED_VALUE"""),43986.66666666667)</f>
        <v>43986.66667</v>
      </c>
      <c r="B2502" s="2">
        <f>IFERROR(__xludf.DUMMYFUNCTION("""COMPUTED_VALUE"""),59.33)</f>
        <v>59.33</v>
      </c>
      <c r="C2502" s="2">
        <f>IFERROR(__xludf.DUMMYFUNCTION("""COMPUTED_VALUE"""),59.72)</f>
        <v>59.72</v>
      </c>
      <c r="D2502" s="2">
        <f>IFERROR(__xludf.DUMMYFUNCTION("""COMPUTED_VALUE"""),57.23)</f>
        <v>57.23</v>
      </c>
      <c r="E2502" s="2">
        <f>IFERROR(__xludf.DUMMYFUNCTION("""COMPUTED_VALUE"""),57.63)</f>
        <v>57.63</v>
      </c>
      <c r="F2502" s="2">
        <f>IFERROR(__xludf.DUMMYFUNCTION("""COMPUTED_VALUE"""),8887713.0)</f>
        <v>8887713</v>
      </c>
    </row>
    <row r="2503">
      <c r="A2503" s="3">
        <f>IFERROR(__xludf.DUMMYFUNCTION("""COMPUTED_VALUE"""),43987.66666666667)</f>
        <v>43987.66667</v>
      </c>
      <c r="B2503" s="2">
        <f>IFERROR(__xludf.DUMMYFUNCTION("""COMPUTED_VALUE"""),58.52)</f>
        <v>58.52</v>
      </c>
      <c r="C2503" s="2">
        <f>IFERROR(__xludf.DUMMYFUNCTION("""COMPUTED_VALUE"""),59.1)</f>
        <v>59.1</v>
      </c>
      <c r="D2503" s="2">
        <f>IFERROR(__xludf.DUMMYFUNCTION("""COMPUTED_VALUE"""),57.75)</f>
        <v>57.75</v>
      </c>
      <c r="E2503" s="2">
        <f>IFERROR(__xludf.DUMMYFUNCTION("""COMPUTED_VALUE"""),59.04)</f>
        <v>59.04</v>
      </c>
      <c r="F2503" s="2">
        <f>IFERROR(__xludf.DUMMYFUNCTION("""COMPUTED_VALUE"""),7811917.0)</f>
        <v>7811917</v>
      </c>
    </row>
    <row r="2504">
      <c r="A2504" s="3">
        <f>IFERROR(__xludf.DUMMYFUNCTION("""COMPUTED_VALUE"""),43990.66666666667)</f>
        <v>43990.66667</v>
      </c>
      <c r="B2504" s="2">
        <f>IFERROR(__xludf.DUMMYFUNCTION("""COMPUTED_VALUE"""),61.27)</f>
        <v>61.27</v>
      </c>
      <c r="C2504" s="2">
        <f>IFERROR(__xludf.DUMMYFUNCTION("""COMPUTED_VALUE"""),63.33)</f>
        <v>63.33</v>
      </c>
      <c r="D2504" s="2">
        <f>IFERROR(__xludf.DUMMYFUNCTION("""COMPUTED_VALUE"""),60.61)</f>
        <v>60.61</v>
      </c>
      <c r="E2504" s="2">
        <f>IFERROR(__xludf.DUMMYFUNCTION("""COMPUTED_VALUE"""),63.33)</f>
        <v>63.33</v>
      </c>
      <c r="F2504" s="2">
        <f>IFERROR(__xludf.DUMMYFUNCTION("""COMPUTED_VALUE"""),1.4174727E7)</f>
        <v>14174727</v>
      </c>
    </row>
    <row r="2505">
      <c r="A2505" s="3">
        <f>IFERROR(__xludf.DUMMYFUNCTION("""COMPUTED_VALUE"""),43991.66666666667)</f>
        <v>43991.66667</v>
      </c>
      <c r="B2505" s="2">
        <f>IFERROR(__xludf.DUMMYFUNCTION("""COMPUTED_VALUE"""),62.67)</f>
        <v>62.67</v>
      </c>
      <c r="C2505" s="2">
        <f>IFERROR(__xludf.DUMMYFUNCTION("""COMPUTED_VALUE"""),63.63)</f>
        <v>63.63</v>
      </c>
      <c r="D2505" s="2">
        <f>IFERROR(__xludf.DUMMYFUNCTION("""COMPUTED_VALUE"""),61.6)</f>
        <v>61.6</v>
      </c>
      <c r="E2505" s="2">
        <f>IFERROR(__xludf.DUMMYFUNCTION("""COMPUTED_VALUE"""),62.71)</f>
        <v>62.71</v>
      </c>
      <c r="F2505" s="2">
        <f>IFERROR(__xludf.DUMMYFUNCTION("""COMPUTED_VALUE"""),1.1388154E7)</f>
        <v>11388154</v>
      </c>
    </row>
    <row r="2506">
      <c r="A2506" s="3">
        <f>IFERROR(__xludf.DUMMYFUNCTION("""COMPUTED_VALUE"""),43992.66666666667)</f>
        <v>43992.66667</v>
      </c>
      <c r="B2506" s="2">
        <f>IFERROR(__xludf.DUMMYFUNCTION("""COMPUTED_VALUE"""),66.13)</f>
        <v>66.13</v>
      </c>
      <c r="C2506" s="2">
        <f>IFERROR(__xludf.DUMMYFUNCTION("""COMPUTED_VALUE"""),68.5)</f>
        <v>68.5</v>
      </c>
      <c r="D2506" s="2">
        <f>IFERROR(__xludf.DUMMYFUNCTION("""COMPUTED_VALUE"""),65.5)</f>
        <v>65.5</v>
      </c>
      <c r="E2506" s="2">
        <f>IFERROR(__xludf.DUMMYFUNCTION("""COMPUTED_VALUE"""),68.34)</f>
        <v>68.34</v>
      </c>
      <c r="F2506" s="2">
        <f>IFERROR(__xludf.DUMMYFUNCTION("""COMPUTED_VALUE"""),1.8563413E7)</f>
        <v>18563413</v>
      </c>
    </row>
    <row r="2507">
      <c r="A2507" s="3">
        <f>IFERROR(__xludf.DUMMYFUNCTION("""COMPUTED_VALUE"""),43993.66666666667)</f>
        <v>43993.66667</v>
      </c>
      <c r="B2507" s="2">
        <f>IFERROR(__xludf.DUMMYFUNCTION("""COMPUTED_VALUE"""),66.01)</f>
        <v>66.01</v>
      </c>
      <c r="C2507" s="2">
        <f>IFERROR(__xludf.DUMMYFUNCTION("""COMPUTED_VALUE"""),67.93)</f>
        <v>67.93</v>
      </c>
      <c r="D2507" s="2">
        <f>IFERROR(__xludf.DUMMYFUNCTION("""COMPUTED_VALUE"""),64.8)</f>
        <v>64.8</v>
      </c>
      <c r="E2507" s="2">
        <f>IFERROR(__xludf.DUMMYFUNCTION("""COMPUTED_VALUE"""),64.86)</f>
        <v>64.86</v>
      </c>
      <c r="F2507" s="2">
        <f>IFERROR(__xludf.DUMMYFUNCTION("""COMPUTED_VALUE"""),1.5916482E7)</f>
        <v>15916482</v>
      </c>
    </row>
    <row r="2508">
      <c r="A2508" s="3">
        <f>IFERROR(__xludf.DUMMYFUNCTION("""COMPUTED_VALUE"""),43994.66666666667)</f>
        <v>43994.66667</v>
      </c>
      <c r="B2508" s="2">
        <f>IFERROR(__xludf.DUMMYFUNCTION("""COMPUTED_VALUE"""),65.33)</f>
        <v>65.33</v>
      </c>
      <c r="C2508" s="2">
        <f>IFERROR(__xludf.DUMMYFUNCTION("""COMPUTED_VALUE"""),65.87)</f>
        <v>65.87</v>
      </c>
      <c r="D2508" s="2">
        <f>IFERROR(__xludf.DUMMYFUNCTION("""COMPUTED_VALUE"""),60.84)</f>
        <v>60.84</v>
      </c>
      <c r="E2508" s="2">
        <f>IFERROR(__xludf.DUMMYFUNCTION("""COMPUTED_VALUE"""),62.35)</f>
        <v>62.35</v>
      </c>
      <c r="F2508" s="2">
        <f>IFERROR(__xludf.DUMMYFUNCTION("""COMPUTED_VALUE"""),1.6763374E7)</f>
        <v>16763374</v>
      </c>
    </row>
    <row r="2509">
      <c r="A2509" s="3">
        <f>IFERROR(__xludf.DUMMYFUNCTION("""COMPUTED_VALUE"""),43997.66666666667)</f>
        <v>43997.66667</v>
      </c>
      <c r="B2509" s="2">
        <f>IFERROR(__xludf.DUMMYFUNCTION("""COMPUTED_VALUE"""),61.19)</f>
        <v>61.19</v>
      </c>
      <c r="C2509" s="2">
        <f>IFERROR(__xludf.DUMMYFUNCTION("""COMPUTED_VALUE"""),66.59)</f>
        <v>66.59</v>
      </c>
      <c r="D2509" s="2">
        <f>IFERROR(__xludf.DUMMYFUNCTION("""COMPUTED_VALUE"""),60.57)</f>
        <v>60.57</v>
      </c>
      <c r="E2509" s="2">
        <f>IFERROR(__xludf.DUMMYFUNCTION("""COMPUTED_VALUE"""),66.06)</f>
        <v>66.06</v>
      </c>
      <c r="F2509" s="2">
        <f>IFERROR(__xludf.DUMMYFUNCTION("""COMPUTED_VALUE"""),1.5697178E7)</f>
        <v>15697178</v>
      </c>
    </row>
    <row r="2510">
      <c r="A2510" s="3">
        <f>IFERROR(__xludf.DUMMYFUNCTION("""COMPUTED_VALUE"""),43998.66666666667)</f>
        <v>43998.66667</v>
      </c>
      <c r="B2510" s="2">
        <f>IFERROR(__xludf.DUMMYFUNCTION("""COMPUTED_VALUE"""),67.46)</f>
        <v>67.46</v>
      </c>
      <c r="C2510" s="2">
        <f>IFERROR(__xludf.DUMMYFUNCTION("""COMPUTED_VALUE"""),67.53)</f>
        <v>67.53</v>
      </c>
      <c r="D2510" s="2">
        <f>IFERROR(__xludf.DUMMYFUNCTION("""COMPUTED_VALUE"""),64.16)</f>
        <v>64.16</v>
      </c>
      <c r="E2510" s="2">
        <f>IFERROR(__xludf.DUMMYFUNCTION("""COMPUTED_VALUE"""),65.48)</f>
        <v>65.48</v>
      </c>
      <c r="F2510" s="2">
        <f>IFERROR(__xludf.DUMMYFUNCTION("""COMPUTED_VALUE"""),1.4051078E7)</f>
        <v>14051078</v>
      </c>
    </row>
    <row r="2511">
      <c r="A2511" s="3">
        <f>IFERROR(__xludf.DUMMYFUNCTION("""COMPUTED_VALUE"""),43999.66666666667)</f>
        <v>43999.66667</v>
      </c>
      <c r="B2511" s="2">
        <f>IFERROR(__xludf.DUMMYFUNCTION("""COMPUTED_VALUE"""),65.85)</f>
        <v>65.85</v>
      </c>
      <c r="C2511" s="2">
        <f>IFERROR(__xludf.DUMMYFUNCTION("""COMPUTED_VALUE"""),67.0)</f>
        <v>67</v>
      </c>
      <c r="D2511" s="2">
        <f>IFERROR(__xludf.DUMMYFUNCTION("""COMPUTED_VALUE"""),65.5)</f>
        <v>65.5</v>
      </c>
      <c r="E2511" s="2">
        <f>IFERROR(__xludf.DUMMYFUNCTION("""COMPUTED_VALUE"""),66.12)</f>
        <v>66.12</v>
      </c>
      <c r="F2511" s="2">
        <f>IFERROR(__xludf.DUMMYFUNCTION("""COMPUTED_VALUE"""),9890800.0)</f>
        <v>9890800</v>
      </c>
    </row>
    <row r="2512">
      <c r="A2512" s="3">
        <f>IFERROR(__xludf.DUMMYFUNCTION("""COMPUTED_VALUE"""),44000.66666666667)</f>
        <v>44000.66667</v>
      </c>
      <c r="B2512" s="2">
        <f>IFERROR(__xludf.DUMMYFUNCTION("""COMPUTED_VALUE"""),66.87)</f>
        <v>66.87</v>
      </c>
      <c r="C2512" s="2">
        <f>IFERROR(__xludf.DUMMYFUNCTION("""COMPUTED_VALUE"""),67.95)</f>
        <v>67.95</v>
      </c>
      <c r="D2512" s="2">
        <f>IFERROR(__xludf.DUMMYFUNCTION("""COMPUTED_VALUE"""),66.3)</f>
        <v>66.3</v>
      </c>
      <c r="E2512" s="2">
        <f>IFERROR(__xludf.DUMMYFUNCTION("""COMPUTED_VALUE"""),66.93)</f>
        <v>66.93</v>
      </c>
      <c r="F2512" s="2">
        <f>IFERROR(__xludf.DUMMYFUNCTION("""COMPUTED_VALUE"""),9751936.0)</f>
        <v>9751936</v>
      </c>
    </row>
    <row r="2513">
      <c r="A2513" s="3">
        <f>IFERROR(__xludf.DUMMYFUNCTION("""COMPUTED_VALUE"""),44001.66666666667)</f>
        <v>44001.66667</v>
      </c>
      <c r="B2513" s="2">
        <f>IFERROR(__xludf.DUMMYFUNCTION("""COMPUTED_VALUE"""),67.52)</f>
        <v>67.52</v>
      </c>
      <c r="C2513" s="2">
        <f>IFERROR(__xludf.DUMMYFUNCTION("""COMPUTED_VALUE"""),67.73)</f>
        <v>67.73</v>
      </c>
      <c r="D2513" s="2">
        <f>IFERROR(__xludf.DUMMYFUNCTION("""COMPUTED_VALUE"""),66.09)</f>
        <v>66.09</v>
      </c>
      <c r="E2513" s="2">
        <f>IFERROR(__xludf.DUMMYFUNCTION("""COMPUTED_VALUE"""),66.73)</f>
        <v>66.73</v>
      </c>
      <c r="F2513" s="2">
        <f>IFERROR(__xludf.DUMMYFUNCTION("""COMPUTED_VALUE"""),8679749.0)</f>
        <v>8679749</v>
      </c>
    </row>
    <row r="2514">
      <c r="A2514" s="3">
        <f>IFERROR(__xludf.DUMMYFUNCTION("""COMPUTED_VALUE"""),44004.66666666667)</f>
        <v>44004.66667</v>
      </c>
      <c r="B2514" s="2">
        <f>IFERROR(__xludf.DUMMYFUNCTION("""COMPUTED_VALUE"""),66.66)</f>
        <v>66.66</v>
      </c>
      <c r="C2514" s="2">
        <f>IFERROR(__xludf.DUMMYFUNCTION("""COMPUTED_VALUE"""),67.26)</f>
        <v>67.26</v>
      </c>
      <c r="D2514" s="2">
        <f>IFERROR(__xludf.DUMMYFUNCTION("""COMPUTED_VALUE"""),66.0)</f>
        <v>66</v>
      </c>
      <c r="E2514" s="2">
        <f>IFERROR(__xludf.DUMMYFUNCTION("""COMPUTED_VALUE"""),66.29)</f>
        <v>66.29</v>
      </c>
      <c r="F2514" s="2">
        <f>IFERROR(__xludf.DUMMYFUNCTION("""COMPUTED_VALUE"""),6362350.0)</f>
        <v>6362350</v>
      </c>
    </row>
    <row r="2515">
      <c r="A2515" s="3">
        <f>IFERROR(__xludf.DUMMYFUNCTION("""COMPUTED_VALUE"""),44005.66666666667)</f>
        <v>44005.66667</v>
      </c>
      <c r="B2515" s="2">
        <f>IFERROR(__xludf.DUMMYFUNCTION("""COMPUTED_VALUE"""),66.59)</f>
        <v>66.59</v>
      </c>
      <c r="C2515" s="2">
        <f>IFERROR(__xludf.DUMMYFUNCTION("""COMPUTED_VALUE"""),67.47)</f>
        <v>67.47</v>
      </c>
      <c r="D2515" s="2">
        <f>IFERROR(__xludf.DUMMYFUNCTION("""COMPUTED_VALUE"""),66.27)</f>
        <v>66.27</v>
      </c>
      <c r="E2515" s="2">
        <f>IFERROR(__xludf.DUMMYFUNCTION("""COMPUTED_VALUE"""),66.79)</f>
        <v>66.79</v>
      </c>
      <c r="F2515" s="2">
        <f>IFERROR(__xludf.DUMMYFUNCTION("""COMPUTED_VALUE"""),6365271.0)</f>
        <v>6365271</v>
      </c>
    </row>
    <row r="2516">
      <c r="A2516" s="3">
        <f>IFERROR(__xludf.DUMMYFUNCTION("""COMPUTED_VALUE"""),44006.66666666667)</f>
        <v>44006.66667</v>
      </c>
      <c r="B2516" s="2">
        <f>IFERROR(__xludf.DUMMYFUNCTION("""COMPUTED_VALUE"""),66.27)</f>
        <v>66.27</v>
      </c>
      <c r="C2516" s="2">
        <f>IFERROR(__xludf.DUMMYFUNCTION("""COMPUTED_VALUE"""),66.73)</f>
        <v>66.73</v>
      </c>
      <c r="D2516" s="2">
        <f>IFERROR(__xludf.DUMMYFUNCTION("""COMPUTED_VALUE"""),63.54)</f>
        <v>63.54</v>
      </c>
      <c r="E2516" s="2">
        <f>IFERROR(__xludf.DUMMYFUNCTION("""COMPUTED_VALUE"""),64.06)</f>
        <v>64.06</v>
      </c>
      <c r="F2516" s="2">
        <f>IFERROR(__xludf.DUMMYFUNCTION("""COMPUTED_VALUE"""),1.0959593E7)</f>
        <v>10959593</v>
      </c>
    </row>
    <row r="2517">
      <c r="A2517" s="3">
        <f>IFERROR(__xludf.DUMMYFUNCTION("""COMPUTED_VALUE"""),44007.66666666667)</f>
        <v>44007.66667</v>
      </c>
      <c r="B2517" s="2">
        <f>IFERROR(__xludf.DUMMYFUNCTION("""COMPUTED_VALUE"""),63.62)</f>
        <v>63.62</v>
      </c>
      <c r="C2517" s="2">
        <f>IFERROR(__xludf.DUMMYFUNCTION("""COMPUTED_VALUE"""),65.73)</f>
        <v>65.73</v>
      </c>
      <c r="D2517" s="2">
        <f>IFERROR(__xludf.DUMMYFUNCTION("""COMPUTED_VALUE"""),62.48)</f>
        <v>62.48</v>
      </c>
      <c r="E2517" s="2">
        <f>IFERROR(__xludf.DUMMYFUNCTION("""COMPUTED_VALUE"""),65.73)</f>
        <v>65.73</v>
      </c>
      <c r="F2517" s="2">
        <f>IFERROR(__xludf.DUMMYFUNCTION("""COMPUTED_VALUE"""),9254549.0)</f>
        <v>9254549</v>
      </c>
    </row>
    <row r="2518">
      <c r="A2518" s="3">
        <f>IFERROR(__xludf.DUMMYFUNCTION("""COMPUTED_VALUE"""),44008.66666666667)</f>
        <v>44008.66667</v>
      </c>
      <c r="B2518" s="2">
        <f>IFERROR(__xludf.DUMMYFUNCTION("""COMPUTED_VALUE"""),66.32)</f>
        <v>66.32</v>
      </c>
      <c r="C2518" s="2">
        <f>IFERROR(__xludf.DUMMYFUNCTION("""COMPUTED_VALUE"""),66.33)</f>
        <v>66.33</v>
      </c>
      <c r="D2518" s="2">
        <f>IFERROR(__xludf.DUMMYFUNCTION("""COMPUTED_VALUE"""),63.66)</f>
        <v>63.66</v>
      </c>
      <c r="E2518" s="2">
        <f>IFERROR(__xludf.DUMMYFUNCTION("""COMPUTED_VALUE"""),63.98)</f>
        <v>63.98</v>
      </c>
      <c r="F2518" s="2">
        <f>IFERROR(__xludf.DUMMYFUNCTION("""COMPUTED_VALUE"""),8854908.0)</f>
        <v>8854908</v>
      </c>
    </row>
    <row r="2519">
      <c r="A2519" s="3">
        <f>IFERROR(__xludf.DUMMYFUNCTION("""COMPUTED_VALUE"""),44011.66666666667)</f>
        <v>44011.66667</v>
      </c>
      <c r="B2519" s="2">
        <f>IFERROR(__xludf.DUMMYFUNCTION("""COMPUTED_VALUE"""),64.6)</f>
        <v>64.6</v>
      </c>
      <c r="C2519" s="2">
        <f>IFERROR(__xludf.DUMMYFUNCTION("""COMPUTED_VALUE"""),67.33)</f>
        <v>67.33</v>
      </c>
      <c r="D2519" s="2">
        <f>IFERROR(__xludf.DUMMYFUNCTION("""COMPUTED_VALUE"""),63.23)</f>
        <v>63.23</v>
      </c>
      <c r="E2519" s="2">
        <f>IFERROR(__xludf.DUMMYFUNCTION("""COMPUTED_VALUE"""),67.29)</f>
        <v>67.29</v>
      </c>
      <c r="F2519" s="2">
        <f>IFERROR(__xludf.DUMMYFUNCTION("""COMPUTED_VALUE"""),9026404.0)</f>
        <v>9026404</v>
      </c>
    </row>
    <row r="2520">
      <c r="A2520" s="3">
        <f>IFERROR(__xludf.DUMMYFUNCTION("""COMPUTED_VALUE"""),44012.66666666667)</f>
        <v>44012.66667</v>
      </c>
      <c r="B2520" s="2">
        <f>IFERROR(__xludf.DUMMYFUNCTION("""COMPUTED_VALUE"""),67.1)</f>
        <v>67.1</v>
      </c>
      <c r="C2520" s="2">
        <f>IFERROR(__xludf.DUMMYFUNCTION("""COMPUTED_VALUE"""),72.51)</f>
        <v>72.51</v>
      </c>
      <c r="D2520" s="2">
        <f>IFERROR(__xludf.DUMMYFUNCTION("""COMPUTED_VALUE"""),66.92)</f>
        <v>66.92</v>
      </c>
      <c r="E2520" s="2">
        <f>IFERROR(__xludf.DUMMYFUNCTION("""COMPUTED_VALUE"""),71.99)</f>
        <v>71.99</v>
      </c>
      <c r="F2520" s="2">
        <f>IFERROR(__xludf.DUMMYFUNCTION("""COMPUTED_VALUE"""),1.6918501E7)</f>
        <v>16918501</v>
      </c>
    </row>
    <row r="2521">
      <c r="A2521" s="3">
        <f>IFERROR(__xludf.DUMMYFUNCTION("""COMPUTED_VALUE"""),44013.66666666667)</f>
        <v>44013.66667</v>
      </c>
      <c r="B2521" s="2">
        <f>IFERROR(__xludf.DUMMYFUNCTION("""COMPUTED_VALUE"""),72.2)</f>
        <v>72.2</v>
      </c>
      <c r="C2521" s="2">
        <f>IFERROR(__xludf.DUMMYFUNCTION("""COMPUTED_VALUE"""),75.69)</f>
        <v>75.69</v>
      </c>
      <c r="D2521" s="2">
        <f>IFERROR(__xludf.DUMMYFUNCTION("""COMPUTED_VALUE"""),72.03)</f>
        <v>72.03</v>
      </c>
      <c r="E2521" s="2">
        <f>IFERROR(__xludf.DUMMYFUNCTION("""COMPUTED_VALUE"""),74.64)</f>
        <v>74.64</v>
      </c>
      <c r="F2521" s="2">
        <f>IFERROR(__xludf.DUMMYFUNCTION("""COMPUTED_VALUE"""),1.3326896E7)</f>
        <v>13326896</v>
      </c>
    </row>
    <row r="2522">
      <c r="A2522" s="3">
        <f>IFERROR(__xludf.DUMMYFUNCTION("""COMPUTED_VALUE"""),44014.66666666667)</f>
        <v>44014.66667</v>
      </c>
      <c r="B2522" s="2">
        <f>IFERROR(__xludf.DUMMYFUNCTION("""COMPUTED_VALUE"""),81.43)</f>
        <v>81.43</v>
      </c>
      <c r="C2522" s="2">
        <f>IFERROR(__xludf.DUMMYFUNCTION("""COMPUTED_VALUE"""),81.87)</f>
        <v>81.87</v>
      </c>
      <c r="D2522" s="2">
        <f>IFERROR(__xludf.DUMMYFUNCTION("""COMPUTED_VALUE"""),79.04)</f>
        <v>79.04</v>
      </c>
      <c r="E2522" s="2">
        <f>IFERROR(__xludf.DUMMYFUNCTION("""COMPUTED_VALUE"""),80.58)</f>
        <v>80.58</v>
      </c>
      <c r="F2522" s="2">
        <f>IFERROR(__xludf.DUMMYFUNCTION("""COMPUTED_VALUE"""),1.7250115E7)</f>
        <v>17250115</v>
      </c>
    </row>
    <row r="2523">
      <c r="A2523" s="3">
        <f>IFERROR(__xludf.DUMMYFUNCTION("""COMPUTED_VALUE"""),44018.66666666667)</f>
        <v>44018.66667</v>
      </c>
      <c r="B2523" s="2">
        <f>IFERROR(__xludf.DUMMYFUNCTION("""COMPUTED_VALUE"""),85.11)</f>
        <v>85.11</v>
      </c>
      <c r="C2523" s="2">
        <f>IFERROR(__xludf.DUMMYFUNCTION("""COMPUTED_VALUE"""),91.85)</f>
        <v>91.85</v>
      </c>
      <c r="D2523" s="2">
        <f>IFERROR(__xludf.DUMMYFUNCTION("""COMPUTED_VALUE"""),84.4)</f>
        <v>84.4</v>
      </c>
      <c r="E2523" s="2">
        <f>IFERROR(__xludf.DUMMYFUNCTION("""COMPUTED_VALUE"""),91.44)</f>
        <v>91.44</v>
      </c>
      <c r="F2523" s="2">
        <f>IFERROR(__xludf.DUMMYFUNCTION("""COMPUTED_VALUE"""),2.0569864E7)</f>
        <v>20569864</v>
      </c>
    </row>
    <row r="2524">
      <c r="A2524" s="3">
        <f>IFERROR(__xludf.DUMMYFUNCTION("""COMPUTED_VALUE"""),44019.66666666667)</f>
        <v>44019.66667</v>
      </c>
      <c r="B2524" s="2">
        <f>IFERROR(__xludf.DUMMYFUNCTION("""COMPUTED_VALUE"""),93.67)</f>
        <v>93.67</v>
      </c>
      <c r="C2524" s="2">
        <f>IFERROR(__xludf.DUMMYFUNCTION("""COMPUTED_VALUE"""),95.3)</f>
        <v>95.3</v>
      </c>
      <c r="D2524" s="2">
        <f>IFERROR(__xludf.DUMMYFUNCTION("""COMPUTED_VALUE"""),89.11)</f>
        <v>89.11</v>
      </c>
      <c r="E2524" s="2">
        <f>IFERROR(__xludf.DUMMYFUNCTION("""COMPUTED_VALUE"""),92.66)</f>
        <v>92.66</v>
      </c>
      <c r="F2524" s="2">
        <f>IFERROR(__xludf.DUMMYFUNCTION("""COMPUTED_VALUE"""),2.1489661E7)</f>
        <v>21489661</v>
      </c>
    </row>
    <row r="2525">
      <c r="A2525" s="3">
        <f>IFERROR(__xludf.DUMMYFUNCTION("""COMPUTED_VALUE"""),44020.66666666667)</f>
        <v>44020.66667</v>
      </c>
      <c r="B2525" s="2">
        <f>IFERROR(__xludf.DUMMYFUNCTION("""COMPUTED_VALUE"""),93.67)</f>
        <v>93.67</v>
      </c>
      <c r="C2525" s="2">
        <f>IFERROR(__xludf.DUMMYFUNCTION("""COMPUTED_VALUE"""),94.48)</f>
        <v>94.48</v>
      </c>
      <c r="D2525" s="2">
        <f>IFERROR(__xludf.DUMMYFUNCTION("""COMPUTED_VALUE"""),87.42)</f>
        <v>87.42</v>
      </c>
      <c r="E2525" s="2">
        <f>IFERROR(__xludf.DUMMYFUNCTION("""COMPUTED_VALUE"""),91.06)</f>
        <v>91.06</v>
      </c>
      <c r="F2525" s="2">
        <f>IFERROR(__xludf.DUMMYFUNCTION("""COMPUTED_VALUE"""),1.6311312E7)</f>
        <v>16311312</v>
      </c>
    </row>
    <row r="2526">
      <c r="A2526" s="3">
        <f>IFERROR(__xludf.DUMMYFUNCTION("""COMPUTED_VALUE"""),44021.66666666667)</f>
        <v>44021.66667</v>
      </c>
      <c r="B2526" s="2">
        <f>IFERROR(__xludf.DUMMYFUNCTION("""COMPUTED_VALUE"""),93.13)</f>
        <v>93.13</v>
      </c>
      <c r="C2526" s="2">
        <f>IFERROR(__xludf.DUMMYFUNCTION("""COMPUTED_VALUE"""),93.9)</f>
        <v>93.9</v>
      </c>
      <c r="D2526" s="2">
        <f>IFERROR(__xludf.DUMMYFUNCTION("""COMPUTED_VALUE"""),90.09)</f>
        <v>90.09</v>
      </c>
      <c r="E2526" s="2">
        <f>IFERROR(__xludf.DUMMYFUNCTION("""COMPUTED_VALUE"""),92.95)</f>
        <v>92.95</v>
      </c>
      <c r="F2526" s="2">
        <f>IFERROR(__xludf.DUMMYFUNCTION("""COMPUTED_VALUE"""),1.1717598E7)</f>
        <v>11717598</v>
      </c>
    </row>
    <row r="2527">
      <c r="A2527" s="3">
        <f>IFERROR(__xludf.DUMMYFUNCTION("""COMPUTED_VALUE"""),44022.66666666667)</f>
        <v>44022.66667</v>
      </c>
      <c r="B2527" s="2">
        <f>IFERROR(__xludf.DUMMYFUNCTION("""COMPUTED_VALUE"""),93.07)</f>
        <v>93.07</v>
      </c>
      <c r="C2527" s="2">
        <f>IFERROR(__xludf.DUMMYFUNCTION("""COMPUTED_VALUE"""),103.26)</f>
        <v>103.26</v>
      </c>
      <c r="D2527" s="2">
        <f>IFERROR(__xludf.DUMMYFUNCTION("""COMPUTED_VALUE"""),91.73)</f>
        <v>91.73</v>
      </c>
      <c r="E2527" s="2">
        <f>IFERROR(__xludf.DUMMYFUNCTION("""COMPUTED_VALUE"""),102.98)</f>
        <v>102.98</v>
      </c>
      <c r="F2527" s="2">
        <f>IFERROR(__xludf.DUMMYFUNCTION("""COMPUTED_VALUE"""),2.3337553E7)</f>
        <v>23337553</v>
      </c>
    </row>
    <row r="2528">
      <c r="A2528" s="3">
        <f>IFERROR(__xludf.DUMMYFUNCTION("""COMPUTED_VALUE"""),44025.66666666667)</f>
        <v>44025.66667</v>
      </c>
      <c r="B2528" s="2">
        <f>IFERROR(__xludf.DUMMYFUNCTION("""COMPUTED_VALUE"""),110.6)</f>
        <v>110.6</v>
      </c>
      <c r="C2528" s="2">
        <f>IFERROR(__xludf.DUMMYFUNCTION("""COMPUTED_VALUE"""),119.67)</f>
        <v>119.67</v>
      </c>
      <c r="D2528" s="2">
        <f>IFERROR(__xludf.DUMMYFUNCTION("""COMPUTED_VALUE"""),98.07)</f>
        <v>98.07</v>
      </c>
      <c r="E2528" s="2">
        <f>IFERROR(__xludf.DUMMYFUNCTION("""COMPUTED_VALUE"""),99.8)</f>
        <v>99.8</v>
      </c>
      <c r="F2528" s="2">
        <f>IFERROR(__xludf.DUMMYFUNCTION("""COMPUTED_VALUE"""),3.8985362E7)</f>
        <v>38985362</v>
      </c>
    </row>
    <row r="2529">
      <c r="A2529" s="3">
        <f>IFERROR(__xludf.DUMMYFUNCTION("""COMPUTED_VALUE"""),44026.66666666667)</f>
        <v>44026.66667</v>
      </c>
      <c r="B2529" s="2">
        <f>IFERROR(__xludf.DUMMYFUNCTION("""COMPUTED_VALUE"""),103.73)</f>
        <v>103.73</v>
      </c>
      <c r="C2529" s="2">
        <f>IFERROR(__xludf.DUMMYFUNCTION("""COMPUTED_VALUE"""),106.0)</f>
        <v>106</v>
      </c>
      <c r="D2529" s="2">
        <f>IFERROR(__xludf.DUMMYFUNCTION("""COMPUTED_VALUE"""),95.4)</f>
        <v>95.4</v>
      </c>
      <c r="E2529" s="2">
        <f>IFERROR(__xludf.DUMMYFUNCTION("""COMPUTED_VALUE"""),101.12)</f>
        <v>101.12</v>
      </c>
      <c r="F2529" s="2">
        <f>IFERROR(__xludf.DUMMYFUNCTION("""COMPUTED_VALUE"""),2.341814E7)</f>
        <v>23418140</v>
      </c>
    </row>
    <row r="2530">
      <c r="A2530" s="3">
        <f>IFERROR(__xludf.DUMMYFUNCTION("""COMPUTED_VALUE"""),44027.66666666667)</f>
        <v>44027.66667</v>
      </c>
      <c r="B2530" s="2">
        <f>IFERROR(__xludf.DUMMYFUNCTION("""COMPUTED_VALUE"""),102.87)</f>
        <v>102.87</v>
      </c>
      <c r="C2530" s="2">
        <f>IFERROR(__xludf.DUMMYFUNCTION("""COMPUTED_VALUE"""),103.33)</f>
        <v>103.33</v>
      </c>
      <c r="D2530" s="2">
        <f>IFERROR(__xludf.DUMMYFUNCTION("""COMPUTED_VALUE"""),97.13)</f>
        <v>97.13</v>
      </c>
      <c r="E2530" s="2">
        <f>IFERROR(__xludf.DUMMYFUNCTION("""COMPUTED_VALUE"""),103.07)</f>
        <v>103.07</v>
      </c>
      <c r="F2530" s="2">
        <f>IFERROR(__xludf.DUMMYFUNCTION("""COMPUTED_VALUE"""),1.6367829E7)</f>
        <v>16367829</v>
      </c>
    </row>
    <row r="2531">
      <c r="A2531" s="3">
        <f>IFERROR(__xludf.DUMMYFUNCTION("""COMPUTED_VALUE"""),44028.66666666667)</f>
        <v>44028.66667</v>
      </c>
      <c r="B2531" s="2">
        <f>IFERROR(__xludf.DUMMYFUNCTION("""COMPUTED_VALUE"""),98.48)</f>
        <v>98.48</v>
      </c>
      <c r="C2531" s="2">
        <f>IFERROR(__xludf.DUMMYFUNCTION("""COMPUTED_VALUE"""),102.11)</f>
        <v>102.11</v>
      </c>
      <c r="D2531" s="2">
        <f>IFERROR(__xludf.DUMMYFUNCTION("""COMPUTED_VALUE"""),97.73)</f>
        <v>97.73</v>
      </c>
      <c r="E2531" s="2">
        <f>IFERROR(__xludf.DUMMYFUNCTION("""COMPUTED_VALUE"""),100.04)</f>
        <v>100.04</v>
      </c>
      <c r="F2531" s="2">
        <f>IFERROR(__xludf.DUMMYFUNCTION("""COMPUTED_VALUE"""),1.4300785E7)</f>
        <v>14300785</v>
      </c>
    </row>
    <row r="2532">
      <c r="A2532" s="3">
        <f>IFERROR(__xludf.DUMMYFUNCTION("""COMPUTED_VALUE"""),44029.66666666667)</f>
        <v>44029.66667</v>
      </c>
      <c r="B2532" s="2">
        <f>IFERROR(__xludf.DUMMYFUNCTION("""COMPUTED_VALUE"""),100.9)</f>
        <v>100.9</v>
      </c>
      <c r="C2532" s="2">
        <f>IFERROR(__xludf.DUMMYFUNCTION("""COMPUTED_VALUE"""),102.5)</f>
        <v>102.5</v>
      </c>
      <c r="D2532" s="2">
        <f>IFERROR(__xludf.DUMMYFUNCTION("""COMPUTED_VALUE"""),99.33)</f>
        <v>99.33</v>
      </c>
      <c r="E2532" s="2">
        <f>IFERROR(__xludf.DUMMYFUNCTION("""COMPUTED_VALUE"""),100.06)</f>
        <v>100.06</v>
      </c>
      <c r="F2532" s="2">
        <f>IFERROR(__xludf.DUMMYFUNCTION("""COMPUTED_VALUE"""),9329972.0)</f>
        <v>9329972</v>
      </c>
    </row>
    <row r="2533">
      <c r="A2533" s="3">
        <f>IFERROR(__xludf.DUMMYFUNCTION("""COMPUTED_VALUE"""),44032.66666666667)</f>
        <v>44032.66667</v>
      </c>
      <c r="B2533" s="2">
        <f>IFERROR(__xludf.DUMMYFUNCTION("""COMPUTED_VALUE"""),101.27)</f>
        <v>101.27</v>
      </c>
      <c r="C2533" s="2">
        <f>IFERROR(__xludf.DUMMYFUNCTION("""COMPUTED_VALUE"""),110.0)</f>
        <v>110</v>
      </c>
      <c r="D2533" s="2">
        <f>IFERROR(__xludf.DUMMYFUNCTION("""COMPUTED_VALUE"""),99.2)</f>
        <v>99.2</v>
      </c>
      <c r="E2533" s="2">
        <f>IFERROR(__xludf.DUMMYFUNCTION("""COMPUTED_VALUE"""),109.53)</f>
        <v>109.53</v>
      </c>
      <c r="F2533" s="2">
        <f>IFERROR(__xludf.DUMMYFUNCTION("""COMPUTED_VALUE"""),1.7121367E7)</f>
        <v>17121367</v>
      </c>
    </row>
    <row r="2534">
      <c r="A2534" s="3">
        <f>IFERROR(__xludf.DUMMYFUNCTION("""COMPUTED_VALUE"""),44033.66666666667)</f>
        <v>44033.66667</v>
      </c>
      <c r="B2534" s="2">
        <f>IFERROR(__xludf.DUMMYFUNCTION("""COMPUTED_VALUE"""),109.33)</f>
        <v>109.33</v>
      </c>
      <c r="C2534" s="2">
        <f>IFERROR(__xludf.DUMMYFUNCTION("""COMPUTED_VALUE"""),111.67)</f>
        <v>111.67</v>
      </c>
      <c r="D2534" s="2">
        <f>IFERROR(__xludf.DUMMYFUNCTION("""COMPUTED_VALUE"""),103.87)</f>
        <v>103.87</v>
      </c>
      <c r="E2534" s="2">
        <f>IFERROR(__xludf.DUMMYFUNCTION("""COMPUTED_VALUE"""),104.56)</f>
        <v>104.56</v>
      </c>
      <c r="F2534" s="2">
        <f>IFERROR(__xludf.DUMMYFUNCTION("""COMPUTED_VALUE"""),1.615728E7)</f>
        <v>16157280</v>
      </c>
    </row>
    <row r="2535">
      <c r="A2535" s="3">
        <f>IFERROR(__xludf.DUMMYFUNCTION("""COMPUTED_VALUE"""),44034.66666666667)</f>
        <v>44034.66667</v>
      </c>
      <c r="B2535" s="2">
        <f>IFERROR(__xludf.DUMMYFUNCTION("""COMPUTED_VALUE"""),106.6)</f>
        <v>106.6</v>
      </c>
      <c r="C2535" s="2">
        <f>IFERROR(__xludf.DUMMYFUNCTION("""COMPUTED_VALUE"""),108.43)</f>
        <v>108.43</v>
      </c>
      <c r="D2535" s="2">
        <f>IFERROR(__xludf.DUMMYFUNCTION("""COMPUTED_VALUE"""),104.13)</f>
        <v>104.13</v>
      </c>
      <c r="E2535" s="2">
        <f>IFERROR(__xludf.DUMMYFUNCTION("""COMPUTED_VALUE"""),106.16)</f>
        <v>106.16</v>
      </c>
      <c r="F2535" s="2">
        <f>IFERROR(__xludf.DUMMYFUNCTION("""COMPUTED_VALUE"""),1.416108E7)</f>
        <v>14161080</v>
      </c>
    </row>
    <row r="2536">
      <c r="A2536" s="3">
        <f>IFERROR(__xludf.DUMMYFUNCTION("""COMPUTED_VALUE"""),44035.66666666667)</f>
        <v>44035.66667</v>
      </c>
      <c r="B2536" s="2">
        <f>IFERROR(__xludf.DUMMYFUNCTION("""COMPUTED_VALUE"""),111.93)</f>
        <v>111.93</v>
      </c>
      <c r="C2536" s="2">
        <f>IFERROR(__xludf.DUMMYFUNCTION("""COMPUTED_VALUE"""),112.6)</f>
        <v>112.6</v>
      </c>
      <c r="D2536" s="2">
        <f>IFERROR(__xludf.DUMMYFUNCTION("""COMPUTED_VALUE"""),98.72)</f>
        <v>98.72</v>
      </c>
      <c r="E2536" s="2">
        <f>IFERROR(__xludf.DUMMYFUNCTION("""COMPUTED_VALUE"""),100.87)</f>
        <v>100.87</v>
      </c>
      <c r="F2536" s="2">
        <f>IFERROR(__xludf.DUMMYFUNCTION("""COMPUTED_VALUE"""),2.4328504E7)</f>
        <v>24328504</v>
      </c>
    </row>
    <row r="2537">
      <c r="A2537" s="3">
        <f>IFERROR(__xludf.DUMMYFUNCTION("""COMPUTED_VALUE"""),44036.66666666667)</f>
        <v>44036.66667</v>
      </c>
      <c r="B2537" s="2">
        <f>IFERROR(__xludf.DUMMYFUNCTION("""COMPUTED_VALUE"""),94.4)</f>
        <v>94.4</v>
      </c>
      <c r="C2537" s="2">
        <f>IFERROR(__xludf.DUMMYFUNCTION("""COMPUTED_VALUE"""),97.67)</f>
        <v>97.67</v>
      </c>
      <c r="D2537" s="2">
        <f>IFERROR(__xludf.DUMMYFUNCTION("""COMPUTED_VALUE"""),91.1)</f>
        <v>91.1</v>
      </c>
      <c r="E2537" s="2">
        <f>IFERROR(__xludf.DUMMYFUNCTION("""COMPUTED_VALUE"""),94.47)</f>
        <v>94.47</v>
      </c>
      <c r="F2537" s="2">
        <f>IFERROR(__xludf.DUMMYFUNCTION("""COMPUTED_VALUE"""),1.9396616E7)</f>
        <v>19396616</v>
      </c>
    </row>
    <row r="2538">
      <c r="A2538" s="3">
        <f>IFERROR(__xludf.DUMMYFUNCTION("""COMPUTED_VALUE"""),44039.66666666667)</f>
        <v>44039.66667</v>
      </c>
      <c r="B2538" s="2">
        <f>IFERROR(__xludf.DUMMYFUNCTION("""COMPUTED_VALUE"""),95.67)</f>
        <v>95.67</v>
      </c>
      <c r="C2538" s="2">
        <f>IFERROR(__xludf.DUMMYFUNCTION("""COMPUTED_VALUE"""),103.2)</f>
        <v>103.2</v>
      </c>
      <c r="D2538" s="2">
        <f>IFERROR(__xludf.DUMMYFUNCTION("""COMPUTED_VALUE"""),94.2)</f>
        <v>94.2</v>
      </c>
      <c r="E2538" s="2">
        <f>IFERROR(__xludf.DUMMYFUNCTION("""COMPUTED_VALUE"""),102.64)</f>
        <v>102.64</v>
      </c>
      <c r="F2538" s="2">
        <f>IFERROR(__xludf.DUMMYFUNCTION("""COMPUTED_VALUE"""),1.6048669E7)</f>
        <v>16048669</v>
      </c>
    </row>
    <row r="2539">
      <c r="A2539" s="3">
        <f>IFERROR(__xludf.DUMMYFUNCTION("""COMPUTED_VALUE"""),44040.66666666667)</f>
        <v>44040.66667</v>
      </c>
      <c r="B2539" s="2">
        <f>IFERROR(__xludf.DUMMYFUNCTION("""COMPUTED_VALUE"""),100.27)</f>
        <v>100.27</v>
      </c>
      <c r="C2539" s="2">
        <f>IFERROR(__xludf.DUMMYFUNCTION("""COMPUTED_VALUE"""),104.31)</f>
        <v>104.31</v>
      </c>
      <c r="D2539" s="2">
        <f>IFERROR(__xludf.DUMMYFUNCTION("""COMPUTED_VALUE"""),98.29)</f>
        <v>98.29</v>
      </c>
      <c r="E2539" s="2">
        <f>IFERROR(__xludf.DUMMYFUNCTION("""COMPUTED_VALUE"""),98.43)</f>
        <v>98.43</v>
      </c>
      <c r="F2539" s="2">
        <f>IFERROR(__xludf.DUMMYFUNCTION("""COMPUTED_VALUE"""),1.58087E7)</f>
        <v>15808700</v>
      </c>
    </row>
    <row r="2540">
      <c r="A2540" s="3">
        <f>IFERROR(__xludf.DUMMYFUNCTION("""COMPUTED_VALUE"""),44041.66666666667)</f>
        <v>44041.66667</v>
      </c>
      <c r="B2540" s="2">
        <f>IFERROR(__xludf.DUMMYFUNCTION("""COMPUTED_VALUE"""),100.07)</f>
        <v>100.07</v>
      </c>
      <c r="C2540" s="2">
        <f>IFERROR(__xludf.DUMMYFUNCTION("""COMPUTED_VALUE"""),102.32)</f>
        <v>102.32</v>
      </c>
      <c r="D2540" s="2">
        <f>IFERROR(__xludf.DUMMYFUNCTION("""COMPUTED_VALUE"""),99.13)</f>
        <v>99.13</v>
      </c>
      <c r="E2540" s="2">
        <f>IFERROR(__xludf.DUMMYFUNCTION("""COMPUTED_VALUE"""),99.94)</f>
        <v>99.94</v>
      </c>
      <c r="F2540" s="2">
        <f>IFERROR(__xludf.DUMMYFUNCTION("""COMPUTED_VALUE"""),9426893.0)</f>
        <v>9426893</v>
      </c>
    </row>
    <row r="2541">
      <c r="A2541" s="3">
        <f>IFERROR(__xludf.DUMMYFUNCTION("""COMPUTED_VALUE"""),44042.66666666667)</f>
        <v>44042.66667</v>
      </c>
      <c r="B2541" s="2">
        <f>IFERROR(__xludf.DUMMYFUNCTION("""COMPUTED_VALUE"""),99.2)</f>
        <v>99.2</v>
      </c>
      <c r="C2541" s="2">
        <f>IFERROR(__xludf.DUMMYFUNCTION("""COMPUTED_VALUE"""),100.88)</f>
        <v>100.88</v>
      </c>
      <c r="D2541" s="2">
        <f>IFERROR(__xludf.DUMMYFUNCTION("""COMPUTED_VALUE"""),98.07)</f>
        <v>98.07</v>
      </c>
      <c r="E2541" s="2">
        <f>IFERROR(__xludf.DUMMYFUNCTION("""COMPUTED_VALUE"""),99.17)</f>
        <v>99.17</v>
      </c>
      <c r="F2541" s="2">
        <f>IFERROR(__xludf.DUMMYFUNCTION("""COMPUTED_VALUE"""),7621039.0)</f>
        <v>7621039</v>
      </c>
    </row>
    <row r="2542">
      <c r="A2542" s="3">
        <f>IFERROR(__xludf.DUMMYFUNCTION("""COMPUTED_VALUE"""),44043.66666666667)</f>
        <v>44043.66667</v>
      </c>
      <c r="B2542" s="2">
        <f>IFERROR(__xludf.DUMMYFUNCTION("""COMPUTED_VALUE"""),101.0)</f>
        <v>101</v>
      </c>
      <c r="C2542" s="2">
        <f>IFERROR(__xludf.DUMMYFUNCTION("""COMPUTED_VALUE"""),101.14)</f>
        <v>101.14</v>
      </c>
      <c r="D2542" s="2">
        <f>IFERROR(__xludf.DUMMYFUNCTION("""COMPUTED_VALUE"""),94.73)</f>
        <v>94.73</v>
      </c>
      <c r="E2542" s="2">
        <f>IFERROR(__xludf.DUMMYFUNCTION("""COMPUTED_VALUE"""),95.38)</f>
        <v>95.38</v>
      </c>
      <c r="F2542" s="2">
        <f>IFERROR(__xludf.DUMMYFUNCTION("""COMPUTED_VALUE"""),1.224696E7)</f>
        <v>12246960</v>
      </c>
    </row>
    <row r="2543">
      <c r="A2543" s="3">
        <f>IFERROR(__xludf.DUMMYFUNCTION("""COMPUTED_VALUE"""),44046.66666666667)</f>
        <v>44046.66667</v>
      </c>
      <c r="B2543" s="2">
        <f>IFERROR(__xludf.DUMMYFUNCTION("""COMPUTED_VALUE"""),96.61)</f>
        <v>96.61</v>
      </c>
      <c r="C2543" s="2">
        <f>IFERROR(__xludf.DUMMYFUNCTION("""COMPUTED_VALUE"""),100.65)</f>
        <v>100.65</v>
      </c>
      <c r="D2543" s="2">
        <f>IFERROR(__xludf.DUMMYFUNCTION("""COMPUTED_VALUE"""),96.29)</f>
        <v>96.29</v>
      </c>
      <c r="E2543" s="2">
        <f>IFERROR(__xludf.DUMMYFUNCTION("""COMPUTED_VALUE"""),99.0)</f>
        <v>99</v>
      </c>
      <c r="F2543" s="2">
        <f>IFERROR(__xludf.DUMMYFUNCTION("""COMPUTED_VALUE"""),8809346.0)</f>
        <v>8809346</v>
      </c>
    </row>
    <row r="2544">
      <c r="A2544" s="3">
        <f>IFERROR(__xludf.DUMMYFUNCTION("""COMPUTED_VALUE"""),44047.66666666667)</f>
        <v>44047.66667</v>
      </c>
      <c r="B2544" s="2">
        <f>IFERROR(__xludf.DUMMYFUNCTION("""COMPUTED_VALUE"""),99.67)</f>
        <v>99.67</v>
      </c>
      <c r="C2544" s="2">
        <f>IFERROR(__xludf.DUMMYFUNCTION("""COMPUTED_VALUE"""),101.83)</f>
        <v>101.83</v>
      </c>
      <c r="D2544" s="2">
        <f>IFERROR(__xludf.DUMMYFUNCTION("""COMPUTED_VALUE"""),97.47)</f>
        <v>97.47</v>
      </c>
      <c r="E2544" s="2">
        <f>IFERROR(__xludf.DUMMYFUNCTION("""COMPUTED_VALUE"""),99.13)</f>
        <v>99.13</v>
      </c>
      <c r="F2544" s="2">
        <f>IFERROR(__xludf.DUMMYFUNCTION("""COMPUTED_VALUE"""),8414990.0)</f>
        <v>8414990</v>
      </c>
    </row>
    <row r="2545">
      <c r="A2545" s="3">
        <f>IFERROR(__xludf.DUMMYFUNCTION("""COMPUTED_VALUE"""),44048.66666666667)</f>
        <v>44048.66667</v>
      </c>
      <c r="B2545" s="2">
        <f>IFERROR(__xludf.DUMMYFUNCTION("""COMPUTED_VALUE"""),99.53)</f>
        <v>99.53</v>
      </c>
      <c r="C2545" s="2">
        <f>IFERROR(__xludf.DUMMYFUNCTION("""COMPUTED_VALUE"""),99.99)</f>
        <v>99.99</v>
      </c>
      <c r="D2545" s="2">
        <f>IFERROR(__xludf.DUMMYFUNCTION("""COMPUTED_VALUE"""),97.89)</f>
        <v>97.89</v>
      </c>
      <c r="E2545" s="2">
        <f>IFERROR(__xludf.DUMMYFUNCTION("""COMPUTED_VALUE"""),99.0)</f>
        <v>99</v>
      </c>
      <c r="F2545" s="2">
        <f>IFERROR(__xludf.DUMMYFUNCTION("""COMPUTED_VALUE"""),4978015.0)</f>
        <v>4978015</v>
      </c>
    </row>
    <row r="2546">
      <c r="A2546" s="3">
        <f>IFERROR(__xludf.DUMMYFUNCTION("""COMPUTED_VALUE"""),44049.66666666667)</f>
        <v>44049.66667</v>
      </c>
      <c r="B2546" s="2">
        <f>IFERROR(__xludf.DUMMYFUNCTION("""COMPUTED_VALUE"""),99.39)</f>
        <v>99.39</v>
      </c>
      <c r="C2546" s="2">
        <f>IFERROR(__xludf.DUMMYFUNCTION("""COMPUTED_VALUE"""),101.15)</f>
        <v>101.15</v>
      </c>
      <c r="D2546" s="2">
        <f>IFERROR(__xludf.DUMMYFUNCTION("""COMPUTED_VALUE"""),98.48)</f>
        <v>98.48</v>
      </c>
      <c r="E2546" s="2">
        <f>IFERROR(__xludf.DUMMYFUNCTION("""COMPUTED_VALUE"""),99.31)</f>
        <v>99.31</v>
      </c>
      <c r="F2546" s="2">
        <f>IFERROR(__xludf.DUMMYFUNCTION("""COMPUTED_VALUE"""),5992313.0)</f>
        <v>5992313</v>
      </c>
    </row>
    <row r="2547">
      <c r="A2547" s="3">
        <f>IFERROR(__xludf.DUMMYFUNCTION("""COMPUTED_VALUE"""),44050.66666666667)</f>
        <v>44050.66667</v>
      </c>
      <c r="B2547" s="2">
        <f>IFERROR(__xludf.DUMMYFUNCTION("""COMPUTED_VALUE"""),99.97)</f>
        <v>99.97</v>
      </c>
      <c r="C2547" s="2">
        <f>IFERROR(__xludf.DUMMYFUNCTION("""COMPUTED_VALUE"""),99.98)</f>
        <v>99.98</v>
      </c>
      <c r="D2547" s="2">
        <f>IFERROR(__xludf.DUMMYFUNCTION("""COMPUTED_VALUE"""),94.33)</f>
        <v>94.33</v>
      </c>
      <c r="E2547" s="2">
        <f>IFERROR(__xludf.DUMMYFUNCTION("""COMPUTED_VALUE"""),96.85)</f>
        <v>96.85</v>
      </c>
      <c r="F2547" s="2">
        <f>IFERROR(__xludf.DUMMYFUNCTION("""COMPUTED_VALUE"""),8896420.0)</f>
        <v>8896420</v>
      </c>
    </row>
    <row r="2548">
      <c r="A2548" s="3">
        <f>IFERROR(__xludf.DUMMYFUNCTION("""COMPUTED_VALUE"""),44053.66666666667)</f>
        <v>44053.66667</v>
      </c>
      <c r="B2548" s="2">
        <f>IFERROR(__xludf.DUMMYFUNCTION("""COMPUTED_VALUE"""),96.53)</f>
        <v>96.53</v>
      </c>
      <c r="C2548" s="2">
        <f>IFERROR(__xludf.DUMMYFUNCTION("""COMPUTED_VALUE"""),97.17)</f>
        <v>97.17</v>
      </c>
      <c r="D2548" s="2">
        <f>IFERROR(__xludf.DUMMYFUNCTION("""COMPUTED_VALUE"""),92.39)</f>
        <v>92.39</v>
      </c>
      <c r="E2548" s="2">
        <f>IFERROR(__xludf.DUMMYFUNCTION("""COMPUTED_VALUE"""),94.57)</f>
        <v>94.57</v>
      </c>
      <c r="F2548" s="2">
        <f>IFERROR(__xludf.DUMMYFUNCTION("""COMPUTED_VALUE"""),7522264.0)</f>
        <v>7522264</v>
      </c>
    </row>
    <row r="2549">
      <c r="A2549" s="3">
        <f>IFERROR(__xludf.DUMMYFUNCTION("""COMPUTED_VALUE"""),44054.66666666667)</f>
        <v>44054.66667</v>
      </c>
      <c r="B2549" s="2">
        <f>IFERROR(__xludf.DUMMYFUNCTION("""COMPUTED_VALUE"""),93.07)</f>
        <v>93.07</v>
      </c>
      <c r="C2549" s="2">
        <f>IFERROR(__xludf.DUMMYFUNCTION("""COMPUTED_VALUE"""),94.67)</f>
        <v>94.67</v>
      </c>
      <c r="D2549" s="2">
        <f>IFERROR(__xludf.DUMMYFUNCTION("""COMPUTED_VALUE"""),91.0)</f>
        <v>91</v>
      </c>
      <c r="E2549" s="2">
        <f>IFERROR(__xludf.DUMMYFUNCTION("""COMPUTED_VALUE"""),91.63)</f>
        <v>91.63</v>
      </c>
      <c r="F2549" s="2">
        <f>IFERROR(__xludf.DUMMYFUNCTION("""COMPUTED_VALUE"""),8625834.0)</f>
        <v>8625834</v>
      </c>
    </row>
    <row r="2550">
      <c r="A2550" s="3">
        <f>IFERROR(__xludf.DUMMYFUNCTION("""COMPUTED_VALUE"""),44055.66666666667)</f>
        <v>44055.66667</v>
      </c>
      <c r="B2550" s="2">
        <f>IFERROR(__xludf.DUMMYFUNCTION("""COMPUTED_VALUE"""),98.0)</f>
        <v>98</v>
      </c>
      <c r="C2550" s="2">
        <f>IFERROR(__xludf.DUMMYFUNCTION("""COMPUTED_VALUE"""),105.67)</f>
        <v>105.67</v>
      </c>
      <c r="D2550" s="2">
        <f>IFERROR(__xludf.DUMMYFUNCTION("""COMPUTED_VALUE"""),95.67)</f>
        <v>95.67</v>
      </c>
      <c r="E2550" s="2">
        <f>IFERROR(__xludf.DUMMYFUNCTION("""COMPUTED_VALUE"""),103.65)</f>
        <v>103.65</v>
      </c>
      <c r="F2550" s="2">
        <f>IFERROR(__xludf.DUMMYFUNCTION("""COMPUTED_VALUE"""),2.1898834E7)</f>
        <v>21898834</v>
      </c>
    </row>
    <row r="2551">
      <c r="A2551" s="3">
        <f>IFERROR(__xludf.DUMMYFUNCTION("""COMPUTED_VALUE"""),44056.66666666667)</f>
        <v>44056.66667</v>
      </c>
      <c r="B2551" s="2">
        <f>IFERROR(__xludf.DUMMYFUNCTION("""COMPUTED_VALUE"""),107.4)</f>
        <v>107.4</v>
      </c>
      <c r="C2551" s="2">
        <f>IFERROR(__xludf.DUMMYFUNCTION("""COMPUTED_VALUE"""),110.08)</f>
        <v>110.08</v>
      </c>
      <c r="D2551" s="2">
        <f>IFERROR(__xludf.DUMMYFUNCTION("""COMPUTED_VALUE"""),104.48)</f>
        <v>104.48</v>
      </c>
      <c r="E2551" s="2">
        <f>IFERROR(__xludf.DUMMYFUNCTION("""COMPUTED_VALUE"""),108.07)</f>
        <v>108.07</v>
      </c>
      <c r="F2551" s="2">
        <f>IFERROR(__xludf.DUMMYFUNCTION("""COMPUTED_VALUE"""),2.0425308E7)</f>
        <v>20425308</v>
      </c>
    </row>
    <row r="2552">
      <c r="A2552" s="3">
        <f>IFERROR(__xludf.DUMMYFUNCTION("""COMPUTED_VALUE"""),44057.66666666667)</f>
        <v>44057.66667</v>
      </c>
      <c r="B2552" s="2">
        <f>IFERROR(__xludf.DUMMYFUNCTION("""COMPUTED_VALUE"""),111.0)</f>
        <v>111</v>
      </c>
      <c r="C2552" s="2">
        <f>IFERROR(__xludf.DUMMYFUNCTION("""COMPUTED_VALUE"""),111.25)</f>
        <v>111.25</v>
      </c>
      <c r="D2552" s="2">
        <f>IFERROR(__xludf.DUMMYFUNCTION("""COMPUTED_VALUE"""),108.44)</f>
        <v>108.44</v>
      </c>
      <c r="E2552" s="2">
        <f>IFERROR(__xludf.DUMMYFUNCTION("""COMPUTED_VALUE"""),110.05)</f>
        <v>110.05</v>
      </c>
      <c r="F2552" s="2">
        <f>IFERROR(__xludf.DUMMYFUNCTION("""COMPUTED_VALUE"""),1.2577614E7)</f>
        <v>12577614</v>
      </c>
    </row>
    <row r="2553">
      <c r="A2553" s="3">
        <f>IFERROR(__xludf.DUMMYFUNCTION("""COMPUTED_VALUE"""),44060.66666666667)</f>
        <v>44060.66667</v>
      </c>
      <c r="B2553" s="2">
        <f>IFERROR(__xludf.DUMMYFUNCTION("""COMPUTED_VALUE"""),111.8)</f>
        <v>111.8</v>
      </c>
      <c r="C2553" s="2">
        <f>IFERROR(__xludf.DUMMYFUNCTION("""COMPUTED_VALUE"""),123.06)</f>
        <v>123.06</v>
      </c>
      <c r="D2553" s="2">
        <f>IFERROR(__xludf.DUMMYFUNCTION("""COMPUTED_VALUE"""),111.52)</f>
        <v>111.52</v>
      </c>
      <c r="E2553" s="2">
        <f>IFERROR(__xludf.DUMMYFUNCTION("""COMPUTED_VALUE"""),122.38)</f>
        <v>122.38</v>
      </c>
      <c r="F2553" s="2">
        <f>IFERROR(__xludf.DUMMYFUNCTION("""COMPUTED_VALUE"""),2.0242323E7)</f>
        <v>20242323</v>
      </c>
    </row>
    <row r="2554">
      <c r="A2554" s="3">
        <f>IFERROR(__xludf.DUMMYFUNCTION("""COMPUTED_VALUE"""),44061.66666666667)</f>
        <v>44061.66667</v>
      </c>
      <c r="B2554" s="2">
        <f>IFERROR(__xludf.DUMMYFUNCTION("""COMPUTED_VALUE"""),126.6)</f>
        <v>126.6</v>
      </c>
      <c r="C2554" s="2">
        <f>IFERROR(__xludf.DUMMYFUNCTION("""COMPUTED_VALUE"""),128.26)</f>
        <v>128.26</v>
      </c>
      <c r="D2554" s="2">
        <f>IFERROR(__xludf.DUMMYFUNCTION("""COMPUTED_VALUE"""),123.01)</f>
        <v>123.01</v>
      </c>
      <c r="E2554" s="2">
        <f>IFERROR(__xludf.DUMMYFUNCTION("""COMPUTED_VALUE"""),125.81)</f>
        <v>125.81</v>
      </c>
      <c r="F2554" s="2">
        <f>IFERROR(__xludf.DUMMYFUNCTION("""COMPUTED_VALUE"""),1.6474491E7)</f>
        <v>16474491</v>
      </c>
    </row>
    <row r="2555">
      <c r="A2555" s="3">
        <f>IFERROR(__xludf.DUMMYFUNCTION("""COMPUTED_VALUE"""),44062.66666666667)</f>
        <v>44062.66667</v>
      </c>
      <c r="B2555" s="2">
        <f>IFERROR(__xludf.DUMMYFUNCTION("""COMPUTED_VALUE"""),124.33)</f>
        <v>124.33</v>
      </c>
      <c r="C2555" s="2">
        <f>IFERROR(__xludf.DUMMYFUNCTION("""COMPUTED_VALUE"""),127.4)</f>
        <v>127.4</v>
      </c>
      <c r="D2555" s="2">
        <f>IFERROR(__xludf.DUMMYFUNCTION("""COMPUTED_VALUE"""),122.75)</f>
        <v>122.75</v>
      </c>
      <c r="E2555" s="2">
        <f>IFERROR(__xludf.DUMMYFUNCTION("""COMPUTED_VALUE"""),125.24)</f>
        <v>125.24</v>
      </c>
      <c r="F2555" s="2">
        <f>IFERROR(__xludf.DUMMYFUNCTION("""COMPUTED_VALUE"""),1.2205331E7)</f>
        <v>12205331</v>
      </c>
    </row>
    <row r="2556">
      <c r="A2556" s="3">
        <f>IFERROR(__xludf.DUMMYFUNCTION("""COMPUTED_VALUE"""),44063.66666666667)</f>
        <v>44063.66667</v>
      </c>
      <c r="B2556" s="2">
        <f>IFERROR(__xludf.DUMMYFUNCTION("""COMPUTED_VALUE"""),124.05)</f>
        <v>124.05</v>
      </c>
      <c r="C2556" s="2">
        <f>IFERROR(__xludf.DUMMYFUNCTION("""COMPUTED_VALUE"""),134.8)</f>
        <v>134.8</v>
      </c>
      <c r="D2556" s="2">
        <f>IFERROR(__xludf.DUMMYFUNCTION("""COMPUTED_VALUE"""),123.8)</f>
        <v>123.8</v>
      </c>
      <c r="E2556" s="2">
        <f>IFERROR(__xludf.DUMMYFUNCTION("""COMPUTED_VALUE"""),133.46)</f>
        <v>133.46</v>
      </c>
      <c r="F2556" s="2">
        <f>IFERROR(__xludf.DUMMYFUNCTION("""COMPUTED_VALUE"""),2.0611796E7)</f>
        <v>20611796</v>
      </c>
    </row>
    <row r="2557">
      <c r="A2557" s="3">
        <f>IFERROR(__xludf.DUMMYFUNCTION("""COMPUTED_VALUE"""),44064.66666666667)</f>
        <v>44064.66667</v>
      </c>
      <c r="B2557" s="2">
        <f>IFERROR(__xludf.DUMMYFUNCTION("""COMPUTED_VALUE"""),136.32)</f>
        <v>136.32</v>
      </c>
      <c r="C2557" s="2">
        <f>IFERROR(__xludf.DUMMYFUNCTION("""COMPUTED_VALUE"""),139.7)</f>
        <v>139.7</v>
      </c>
      <c r="D2557" s="2">
        <f>IFERROR(__xludf.DUMMYFUNCTION("""COMPUTED_VALUE"""),135.0)</f>
        <v>135</v>
      </c>
      <c r="E2557" s="2">
        <f>IFERROR(__xludf.DUMMYFUNCTION("""COMPUTED_VALUE"""),136.67)</f>
        <v>136.67</v>
      </c>
      <c r="F2557" s="2">
        <f>IFERROR(__xludf.DUMMYFUNCTION("""COMPUTED_VALUE"""),2.1489559E7)</f>
        <v>21489559</v>
      </c>
    </row>
    <row r="2558">
      <c r="A2558" s="3">
        <f>IFERROR(__xludf.DUMMYFUNCTION("""COMPUTED_VALUE"""),44067.66666666667)</f>
        <v>44067.66667</v>
      </c>
      <c r="B2558" s="2">
        <f>IFERROR(__xludf.DUMMYFUNCTION("""COMPUTED_VALUE"""),141.75)</f>
        <v>141.75</v>
      </c>
      <c r="C2558" s="2">
        <f>IFERROR(__xludf.DUMMYFUNCTION("""COMPUTED_VALUE"""),141.93)</f>
        <v>141.93</v>
      </c>
      <c r="D2558" s="2">
        <f>IFERROR(__xludf.DUMMYFUNCTION("""COMPUTED_VALUE"""),128.5)</f>
        <v>128.5</v>
      </c>
      <c r="E2558" s="2">
        <f>IFERROR(__xludf.DUMMYFUNCTION("""COMPUTED_VALUE"""),134.28)</f>
        <v>134.28</v>
      </c>
      <c r="F2558" s="2">
        <f>IFERROR(__xludf.DUMMYFUNCTION("""COMPUTED_VALUE"""),2.0063621E7)</f>
        <v>20063621</v>
      </c>
    </row>
    <row r="2559">
      <c r="A2559" s="3">
        <f>IFERROR(__xludf.DUMMYFUNCTION("""COMPUTED_VALUE"""),44068.66666666667)</f>
        <v>44068.66667</v>
      </c>
      <c r="B2559" s="2">
        <f>IFERROR(__xludf.DUMMYFUNCTION("""COMPUTED_VALUE"""),131.66)</f>
        <v>131.66</v>
      </c>
      <c r="C2559" s="2">
        <f>IFERROR(__xludf.DUMMYFUNCTION("""COMPUTED_VALUE"""),135.2)</f>
        <v>135.2</v>
      </c>
      <c r="D2559" s="2">
        <f>IFERROR(__xludf.DUMMYFUNCTION("""COMPUTED_VALUE"""),131.2)</f>
        <v>131.2</v>
      </c>
      <c r="E2559" s="2">
        <f>IFERROR(__xludf.DUMMYFUNCTION("""COMPUTED_VALUE"""),134.89)</f>
        <v>134.89</v>
      </c>
      <c r="F2559" s="2">
        <f>IFERROR(__xludf.DUMMYFUNCTION("""COMPUTED_VALUE"""),1.0658893E7)</f>
        <v>10658893</v>
      </c>
    </row>
    <row r="2560">
      <c r="A2560" s="3">
        <f>IFERROR(__xludf.DUMMYFUNCTION("""COMPUTED_VALUE"""),44069.66666666667)</f>
        <v>44069.66667</v>
      </c>
      <c r="B2560" s="2">
        <f>IFERROR(__xludf.DUMMYFUNCTION("""COMPUTED_VALUE"""),137.33)</f>
        <v>137.33</v>
      </c>
      <c r="C2560" s="2">
        <f>IFERROR(__xludf.DUMMYFUNCTION("""COMPUTED_VALUE"""),144.4)</f>
        <v>144.4</v>
      </c>
      <c r="D2560" s="2">
        <f>IFERROR(__xludf.DUMMYFUNCTION("""COMPUTED_VALUE"""),136.91)</f>
        <v>136.91</v>
      </c>
      <c r="E2560" s="2">
        <f>IFERROR(__xludf.DUMMYFUNCTION("""COMPUTED_VALUE"""),143.54)</f>
        <v>143.54</v>
      </c>
      <c r="F2560" s="2">
        <f>IFERROR(__xludf.DUMMYFUNCTION("""COMPUTED_VALUE"""),1.4239382E7)</f>
        <v>14239382</v>
      </c>
    </row>
    <row r="2561">
      <c r="A2561" s="3">
        <f>IFERROR(__xludf.DUMMYFUNCTION("""COMPUTED_VALUE"""),44070.66666666667)</f>
        <v>44070.66667</v>
      </c>
      <c r="B2561" s="2">
        <f>IFERROR(__xludf.DUMMYFUNCTION("""COMPUTED_VALUE"""),145.36)</f>
        <v>145.36</v>
      </c>
      <c r="C2561" s="2">
        <f>IFERROR(__xludf.DUMMYFUNCTION("""COMPUTED_VALUE"""),153.04)</f>
        <v>153.04</v>
      </c>
      <c r="D2561" s="2">
        <f>IFERROR(__xludf.DUMMYFUNCTION("""COMPUTED_VALUE"""),142.83)</f>
        <v>142.83</v>
      </c>
      <c r="E2561" s="2">
        <f>IFERROR(__xludf.DUMMYFUNCTION("""COMPUTED_VALUE"""),149.25)</f>
        <v>149.25</v>
      </c>
      <c r="F2561" s="2">
        <f>IFERROR(__xludf.DUMMYFUNCTION("""COMPUTED_VALUE"""),2.3693043E7)</f>
        <v>23693043</v>
      </c>
    </row>
    <row r="2562">
      <c r="A2562" s="3">
        <f>IFERROR(__xludf.DUMMYFUNCTION("""COMPUTED_VALUE"""),44071.66666666667)</f>
        <v>44071.66667</v>
      </c>
      <c r="B2562" s="2">
        <f>IFERROR(__xludf.DUMMYFUNCTION("""COMPUTED_VALUE"""),153.01)</f>
        <v>153.01</v>
      </c>
      <c r="C2562" s="2">
        <f>IFERROR(__xludf.DUMMYFUNCTION("""COMPUTED_VALUE"""),154.57)</f>
        <v>154.57</v>
      </c>
      <c r="D2562" s="2">
        <f>IFERROR(__xludf.DUMMYFUNCTION("""COMPUTED_VALUE"""),145.77)</f>
        <v>145.77</v>
      </c>
      <c r="E2562" s="2">
        <f>IFERROR(__xludf.DUMMYFUNCTION("""COMPUTED_VALUE"""),147.56)</f>
        <v>147.56</v>
      </c>
      <c r="F2562" s="2">
        <f>IFERROR(__xludf.DUMMYFUNCTION("""COMPUTED_VALUE"""),2.0081176E7)</f>
        <v>20081176</v>
      </c>
    </row>
    <row r="2563">
      <c r="A2563" s="3">
        <f>IFERROR(__xludf.DUMMYFUNCTION("""COMPUTED_VALUE"""),44074.66666666667)</f>
        <v>44074.66667</v>
      </c>
      <c r="B2563" s="2">
        <f>IFERROR(__xludf.DUMMYFUNCTION("""COMPUTED_VALUE"""),148.2)</f>
        <v>148.2</v>
      </c>
      <c r="C2563" s="2">
        <f>IFERROR(__xludf.DUMMYFUNCTION("""COMPUTED_VALUE"""),166.71)</f>
        <v>166.71</v>
      </c>
      <c r="D2563" s="2">
        <f>IFERROR(__xludf.DUMMYFUNCTION("""COMPUTED_VALUE"""),146.7)</f>
        <v>146.7</v>
      </c>
      <c r="E2563" s="2">
        <f>IFERROR(__xludf.DUMMYFUNCTION("""COMPUTED_VALUE"""),166.11)</f>
        <v>166.11</v>
      </c>
      <c r="F2563" s="2">
        <f>IFERROR(__xludf.DUMMYFUNCTION("""COMPUTED_VALUE"""),1.18374406E8)</f>
        <v>118374406</v>
      </c>
    </row>
    <row r="2564">
      <c r="A2564" s="3">
        <f>IFERROR(__xludf.DUMMYFUNCTION("""COMPUTED_VALUE"""),44075.66666666667)</f>
        <v>44075.66667</v>
      </c>
      <c r="B2564" s="2">
        <f>IFERROR(__xludf.DUMMYFUNCTION("""COMPUTED_VALUE"""),167.38)</f>
        <v>167.38</v>
      </c>
      <c r="C2564" s="2">
        <f>IFERROR(__xludf.DUMMYFUNCTION("""COMPUTED_VALUE"""),167.5)</f>
        <v>167.5</v>
      </c>
      <c r="D2564" s="2">
        <f>IFERROR(__xludf.DUMMYFUNCTION("""COMPUTED_VALUE"""),156.84)</f>
        <v>156.84</v>
      </c>
      <c r="E2564" s="2">
        <f>IFERROR(__xludf.DUMMYFUNCTION("""COMPUTED_VALUE"""),158.35)</f>
        <v>158.35</v>
      </c>
      <c r="F2564" s="2">
        <f>IFERROR(__xludf.DUMMYFUNCTION("""COMPUTED_VALUE"""),9.0119419E7)</f>
        <v>90119419</v>
      </c>
    </row>
    <row r="2565">
      <c r="A2565" s="3">
        <f>IFERROR(__xludf.DUMMYFUNCTION("""COMPUTED_VALUE"""),44076.66666666667)</f>
        <v>44076.66667</v>
      </c>
      <c r="B2565" s="2">
        <f>IFERROR(__xludf.DUMMYFUNCTION("""COMPUTED_VALUE"""),159.66)</f>
        <v>159.66</v>
      </c>
      <c r="C2565" s="2">
        <f>IFERROR(__xludf.DUMMYFUNCTION("""COMPUTED_VALUE"""),159.68)</f>
        <v>159.68</v>
      </c>
      <c r="D2565" s="2">
        <f>IFERROR(__xludf.DUMMYFUNCTION("""COMPUTED_VALUE"""),135.04)</f>
        <v>135.04</v>
      </c>
      <c r="E2565" s="2">
        <f>IFERROR(__xludf.DUMMYFUNCTION("""COMPUTED_VALUE"""),149.12)</f>
        <v>149.12</v>
      </c>
      <c r="F2565" s="2">
        <f>IFERROR(__xludf.DUMMYFUNCTION("""COMPUTED_VALUE"""),9.6176128E7)</f>
        <v>96176128</v>
      </c>
    </row>
    <row r="2566">
      <c r="A2566" s="3">
        <f>IFERROR(__xludf.DUMMYFUNCTION("""COMPUTED_VALUE"""),44077.66666666667)</f>
        <v>44077.66667</v>
      </c>
      <c r="B2566" s="2">
        <f>IFERROR(__xludf.DUMMYFUNCTION("""COMPUTED_VALUE"""),135.74)</f>
        <v>135.74</v>
      </c>
      <c r="C2566" s="2">
        <f>IFERROR(__xludf.DUMMYFUNCTION("""COMPUTED_VALUE"""),143.93)</f>
        <v>143.93</v>
      </c>
      <c r="D2566" s="2">
        <f>IFERROR(__xludf.DUMMYFUNCTION("""COMPUTED_VALUE"""),134.0)</f>
        <v>134</v>
      </c>
      <c r="E2566" s="2">
        <f>IFERROR(__xludf.DUMMYFUNCTION("""COMPUTED_VALUE"""),135.67)</f>
        <v>135.67</v>
      </c>
      <c r="F2566" s="2">
        <f>IFERROR(__xludf.DUMMYFUNCTION("""COMPUTED_VALUE"""),8.7596086E7)</f>
        <v>87596086</v>
      </c>
    </row>
    <row r="2567">
      <c r="A2567" s="3">
        <f>IFERROR(__xludf.DUMMYFUNCTION("""COMPUTED_VALUE"""),44078.66666666667)</f>
        <v>44078.66667</v>
      </c>
      <c r="B2567" s="2">
        <f>IFERROR(__xludf.DUMMYFUNCTION("""COMPUTED_VALUE"""),134.27)</f>
        <v>134.27</v>
      </c>
      <c r="C2567" s="2">
        <f>IFERROR(__xludf.DUMMYFUNCTION("""COMPUTED_VALUE"""),142.67)</f>
        <v>142.67</v>
      </c>
      <c r="D2567" s="2">
        <f>IFERROR(__xludf.DUMMYFUNCTION("""COMPUTED_VALUE"""),124.01)</f>
        <v>124.01</v>
      </c>
      <c r="E2567" s="2">
        <f>IFERROR(__xludf.DUMMYFUNCTION("""COMPUTED_VALUE"""),139.44)</f>
        <v>139.44</v>
      </c>
      <c r="F2567" s="2">
        <f>IFERROR(__xludf.DUMMYFUNCTION("""COMPUTED_VALUE"""),1.10321885E8)</f>
        <v>110321885</v>
      </c>
    </row>
    <row r="2568">
      <c r="A2568" s="3">
        <f>IFERROR(__xludf.DUMMYFUNCTION("""COMPUTED_VALUE"""),44082.66666666667)</f>
        <v>44082.66667</v>
      </c>
      <c r="B2568" s="2">
        <f>IFERROR(__xludf.DUMMYFUNCTION("""COMPUTED_VALUE"""),118.67)</f>
        <v>118.67</v>
      </c>
      <c r="C2568" s="2">
        <f>IFERROR(__xludf.DUMMYFUNCTION("""COMPUTED_VALUE"""),122.91)</f>
        <v>122.91</v>
      </c>
      <c r="D2568" s="2">
        <f>IFERROR(__xludf.DUMMYFUNCTION("""COMPUTED_VALUE"""),109.96)</f>
        <v>109.96</v>
      </c>
      <c r="E2568" s="2">
        <f>IFERROR(__xludf.DUMMYFUNCTION("""COMPUTED_VALUE"""),110.07)</f>
        <v>110.07</v>
      </c>
      <c r="F2568" s="2">
        <f>IFERROR(__xludf.DUMMYFUNCTION("""COMPUTED_VALUE"""),1.15465691E8)</f>
        <v>115465691</v>
      </c>
    </row>
    <row r="2569">
      <c r="A2569" s="3">
        <f>IFERROR(__xludf.DUMMYFUNCTION("""COMPUTED_VALUE"""),44083.66666666667)</f>
        <v>44083.66667</v>
      </c>
      <c r="B2569" s="2">
        <f>IFERROR(__xludf.DUMMYFUNCTION("""COMPUTED_VALUE"""),118.87)</f>
        <v>118.87</v>
      </c>
      <c r="C2569" s="2">
        <f>IFERROR(__xludf.DUMMYFUNCTION("""COMPUTED_VALUE"""),123.0)</f>
        <v>123</v>
      </c>
      <c r="D2569" s="2">
        <f>IFERROR(__xludf.DUMMYFUNCTION("""COMPUTED_VALUE"""),113.84)</f>
        <v>113.84</v>
      </c>
      <c r="E2569" s="2">
        <f>IFERROR(__xludf.DUMMYFUNCTION("""COMPUTED_VALUE"""),122.09)</f>
        <v>122.09</v>
      </c>
      <c r="F2569" s="2">
        <f>IFERROR(__xludf.DUMMYFUNCTION("""COMPUTED_VALUE"""),7.9465769E7)</f>
        <v>79465769</v>
      </c>
    </row>
    <row r="2570">
      <c r="A2570" s="3">
        <f>IFERROR(__xludf.DUMMYFUNCTION("""COMPUTED_VALUE"""),44084.66666666667)</f>
        <v>44084.66667</v>
      </c>
      <c r="B2570" s="2">
        <f>IFERROR(__xludf.DUMMYFUNCTION("""COMPUTED_VALUE"""),128.74)</f>
        <v>128.74</v>
      </c>
      <c r="C2570" s="2">
        <f>IFERROR(__xludf.DUMMYFUNCTION("""COMPUTED_VALUE"""),133.0)</f>
        <v>133</v>
      </c>
      <c r="D2570" s="2">
        <f>IFERROR(__xludf.DUMMYFUNCTION("""COMPUTED_VALUE"""),120.19)</f>
        <v>120.19</v>
      </c>
      <c r="E2570" s="2">
        <f>IFERROR(__xludf.DUMMYFUNCTION("""COMPUTED_VALUE"""),123.78)</f>
        <v>123.78</v>
      </c>
      <c r="F2570" s="2">
        <f>IFERROR(__xludf.DUMMYFUNCTION("""COMPUTED_VALUE"""),8.4930608E7)</f>
        <v>84930608</v>
      </c>
    </row>
    <row r="2571">
      <c r="A2571" s="3">
        <f>IFERROR(__xludf.DUMMYFUNCTION("""COMPUTED_VALUE"""),44085.66666666667)</f>
        <v>44085.66667</v>
      </c>
      <c r="B2571" s="2">
        <f>IFERROR(__xludf.DUMMYFUNCTION("""COMPUTED_VALUE"""),127.31)</f>
        <v>127.31</v>
      </c>
      <c r="C2571" s="2">
        <f>IFERROR(__xludf.DUMMYFUNCTION("""COMPUTED_VALUE"""),127.5)</f>
        <v>127.5</v>
      </c>
      <c r="D2571" s="2">
        <f>IFERROR(__xludf.DUMMYFUNCTION("""COMPUTED_VALUE"""),120.17)</f>
        <v>120.17</v>
      </c>
      <c r="E2571" s="2">
        <f>IFERROR(__xludf.DUMMYFUNCTION("""COMPUTED_VALUE"""),124.24)</f>
        <v>124.24</v>
      </c>
      <c r="F2571" s="2">
        <f>IFERROR(__xludf.DUMMYFUNCTION("""COMPUTED_VALUE"""),6.0717459E7)</f>
        <v>60717459</v>
      </c>
    </row>
    <row r="2572">
      <c r="A2572" s="3">
        <f>IFERROR(__xludf.DUMMYFUNCTION("""COMPUTED_VALUE"""),44088.66666666667)</f>
        <v>44088.66667</v>
      </c>
      <c r="B2572" s="2">
        <f>IFERROR(__xludf.DUMMYFUNCTION("""COMPUTED_VALUE"""),126.98)</f>
        <v>126.98</v>
      </c>
      <c r="C2572" s="2">
        <f>IFERROR(__xludf.DUMMYFUNCTION("""COMPUTED_VALUE"""),140.0)</f>
        <v>140</v>
      </c>
      <c r="D2572" s="2">
        <f>IFERROR(__xludf.DUMMYFUNCTION("""COMPUTED_VALUE"""),124.43)</f>
        <v>124.43</v>
      </c>
      <c r="E2572" s="2">
        <f>IFERROR(__xludf.DUMMYFUNCTION("""COMPUTED_VALUE"""),139.87)</f>
        <v>139.87</v>
      </c>
      <c r="F2572" s="2">
        <f>IFERROR(__xludf.DUMMYFUNCTION("""COMPUTED_VALUE"""),8.3020608E7)</f>
        <v>83020608</v>
      </c>
    </row>
    <row r="2573">
      <c r="A2573" s="3">
        <f>IFERROR(__xludf.DUMMYFUNCTION("""COMPUTED_VALUE"""),44089.66666666667)</f>
        <v>44089.66667</v>
      </c>
      <c r="B2573" s="2">
        <f>IFERROR(__xludf.DUMMYFUNCTION("""COMPUTED_VALUE"""),145.52)</f>
        <v>145.52</v>
      </c>
      <c r="C2573" s="2">
        <f>IFERROR(__xludf.DUMMYFUNCTION("""COMPUTED_VALUE"""),153.98)</f>
        <v>153.98</v>
      </c>
      <c r="D2573" s="2">
        <f>IFERROR(__xludf.DUMMYFUNCTION("""COMPUTED_VALUE"""),143.57)</f>
        <v>143.57</v>
      </c>
      <c r="E2573" s="2">
        <f>IFERROR(__xludf.DUMMYFUNCTION("""COMPUTED_VALUE"""),149.92)</f>
        <v>149.92</v>
      </c>
      <c r="F2573" s="2">
        <f>IFERROR(__xludf.DUMMYFUNCTION("""COMPUTED_VALUE"""),9.7298228E7)</f>
        <v>97298228</v>
      </c>
    </row>
    <row r="2574">
      <c r="A2574" s="3">
        <f>IFERROR(__xludf.DUMMYFUNCTION("""COMPUTED_VALUE"""),44090.66666666667)</f>
        <v>44090.66667</v>
      </c>
      <c r="B2574" s="2">
        <f>IFERROR(__xludf.DUMMYFUNCTION("""COMPUTED_VALUE"""),146.62)</f>
        <v>146.62</v>
      </c>
      <c r="C2574" s="2">
        <f>IFERROR(__xludf.DUMMYFUNCTION("""COMPUTED_VALUE"""),152.6)</f>
        <v>152.6</v>
      </c>
      <c r="D2574" s="2">
        <f>IFERROR(__xludf.DUMMYFUNCTION("""COMPUTED_VALUE"""),145.1)</f>
        <v>145.1</v>
      </c>
      <c r="E2574" s="2">
        <f>IFERROR(__xludf.DUMMYFUNCTION("""COMPUTED_VALUE"""),147.25)</f>
        <v>147.25</v>
      </c>
      <c r="F2574" s="2">
        <f>IFERROR(__xludf.DUMMYFUNCTION("""COMPUTED_VALUE"""),7.254676E7)</f>
        <v>72546760</v>
      </c>
    </row>
    <row r="2575">
      <c r="A2575" s="3">
        <f>IFERROR(__xludf.DUMMYFUNCTION("""COMPUTED_VALUE"""),44091.66666666667)</f>
        <v>44091.66667</v>
      </c>
      <c r="B2575" s="2">
        <f>IFERROR(__xludf.DUMMYFUNCTION("""COMPUTED_VALUE"""),138.53)</f>
        <v>138.53</v>
      </c>
      <c r="C2575" s="2">
        <f>IFERROR(__xludf.DUMMYFUNCTION("""COMPUTED_VALUE"""),145.93)</f>
        <v>145.93</v>
      </c>
      <c r="D2575" s="2">
        <f>IFERROR(__xludf.DUMMYFUNCTION("""COMPUTED_VALUE"""),136.0)</f>
        <v>136</v>
      </c>
      <c r="E2575" s="2">
        <f>IFERROR(__xludf.DUMMYFUNCTION("""COMPUTED_VALUE"""),141.14)</f>
        <v>141.14</v>
      </c>
      <c r="F2575" s="2">
        <f>IFERROR(__xludf.DUMMYFUNCTION("""COMPUTED_VALUE"""),7.6779163E7)</f>
        <v>76779163</v>
      </c>
    </row>
    <row r="2576">
      <c r="A2576" s="3">
        <f>IFERROR(__xludf.DUMMYFUNCTION("""COMPUTED_VALUE"""),44092.66666666667)</f>
        <v>44092.66667</v>
      </c>
      <c r="B2576" s="2">
        <f>IFERROR(__xludf.DUMMYFUNCTION("""COMPUTED_VALUE"""),149.31)</f>
        <v>149.31</v>
      </c>
      <c r="C2576" s="2">
        <f>IFERROR(__xludf.DUMMYFUNCTION("""COMPUTED_VALUE"""),150.33)</f>
        <v>150.33</v>
      </c>
      <c r="D2576" s="2">
        <f>IFERROR(__xludf.DUMMYFUNCTION("""COMPUTED_VALUE"""),142.93)</f>
        <v>142.93</v>
      </c>
      <c r="E2576" s="2">
        <f>IFERROR(__xludf.DUMMYFUNCTION("""COMPUTED_VALUE"""),147.38)</f>
        <v>147.38</v>
      </c>
      <c r="F2576" s="2">
        <f>IFERROR(__xludf.DUMMYFUNCTION("""COMPUTED_VALUE"""),8.6406819E7)</f>
        <v>86406819</v>
      </c>
    </row>
    <row r="2577">
      <c r="A2577" s="3">
        <f>IFERROR(__xludf.DUMMYFUNCTION("""COMPUTED_VALUE"""),44095.66666666667)</f>
        <v>44095.66667</v>
      </c>
      <c r="B2577" s="2">
        <f>IFERROR(__xludf.DUMMYFUNCTION("""COMPUTED_VALUE"""),151.04)</f>
        <v>151.04</v>
      </c>
      <c r="C2577" s="2">
        <f>IFERROR(__xludf.DUMMYFUNCTION("""COMPUTED_VALUE"""),151.89)</f>
        <v>151.89</v>
      </c>
      <c r="D2577" s="2">
        <f>IFERROR(__xludf.DUMMYFUNCTION("""COMPUTED_VALUE"""),135.69)</f>
        <v>135.69</v>
      </c>
      <c r="E2577" s="2">
        <f>IFERROR(__xludf.DUMMYFUNCTION("""COMPUTED_VALUE"""),149.8)</f>
        <v>149.8</v>
      </c>
      <c r="F2577" s="2">
        <f>IFERROR(__xludf.DUMMYFUNCTION("""COMPUTED_VALUE"""),1.094768E8)</f>
        <v>109476800</v>
      </c>
    </row>
    <row r="2578">
      <c r="A2578" s="3">
        <f>IFERROR(__xludf.DUMMYFUNCTION("""COMPUTED_VALUE"""),44096.66666666667)</f>
        <v>44096.66667</v>
      </c>
      <c r="B2578" s="2">
        <f>IFERROR(__xludf.DUMMYFUNCTION("""COMPUTED_VALUE"""),143.2)</f>
        <v>143.2</v>
      </c>
      <c r="C2578" s="2">
        <f>IFERROR(__xludf.DUMMYFUNCTION("""COMPUTED_VALUE"""),145.92)</f>
        <v>145.92</v>
      </c>
      <c r="D2578" s="2">
        <f>IFERROR(__xludf.DUMMYFUNCTION("""COMPUTED_VALUE"""),139.2)</f>
        <v>139.2</v>
      </c>
      <c r="E2578" s="2">
        <f>IFERROR(__xludf.DUMMYFUNCTION("""COMPUTED_VALUE"""),141.41)</f>
        <v>141.41</v>
      </c>
      <c r="F2578" s="2">
        <f>IFERROR(__xludf.DUMMYFUNCTION("""COMPUTED_VALUE"""),7.9580795E7)</f>
        <v>79580795</v>
      </c>
    </row>
    <row r="2579">
      <c r="A2579" s="3">
        <f>IFERROR(__xludf.DUMMYFUNCTION("""COMPUTED_VALUE"""),44097.66666666667)</f>
        <v>44097.66667</v>
      </c>
      <c r="B2579" s="2">
        <f>IFERROR(__xludf.DUMMYFUNCTION("""COMPUTED_VALUE"""),135.05)</f>
        <v>135.05</v>
      </c>
      <c r="C2579" s="2">
        <f>IFERROR(__xludf.DUMMYFUNCTION("""COMPUTED_VALUE"""),137.38)</f>
        <v>137.38</v>
      </c>
      <c r="D2579" s="2">
        <f>IFERROR(__xludf.DUMMYFUNCTION("""COMPUTED_VALUE"""),125.29)</f>
        <v>125.29</v>
      </c>
      <c r="E2579" s="2">
        <f>IFERROR(__xludf.DUMMYFUNCTION("""COMPUTED_VALUE"""),126.79)</f>
        <v>126.79</v>
      </c>
      <c r="F2579" s="2">
        <f>IFERROR(__xludf.DUMMYFUNCTION("""COMPUTED_VALUE"""),9.5074176E7)</f>
        <v>95074176</v>
      </c>
    </row>
    <row r="2580">
      <c r="A2580" s="3">
        <f>IFERROR(__xludf.DUMMYFUNCTION("""COMPUTED_VALUE"""),44098.66666666667)</f>
        <v>44098.66667</v>
      </c>
      <c r="B2580" s="2">
        <f>IFERROR(__xludf.DUMMYFUNCTION("""COMPUTED_VALUE"""),121.27)</f>
        <v>121.27</v>
      </c>
      <c r="C2580" s="2">
        <f>IFERROR(__xludf.DUMMYFUNCTION("""COMPUTED_VALUE"""),133.17)</f>
        <v>133.17</v>
      </c>
      <c r="D2580" s="2">
        <f>IFERROR(__xludf.DUMMYFUNCTION("""COMPUTED_VALUE"""),117.1)</f>
        <v>117.1</v>
      </c>
      <c r="E2580" s="2">
        <f>IFERROR(__xludf.DUMMYFUNCTION("""COMPUTED_VALUE"""),129.26)</f>
        <v>129.26</v>
      </c>
      <c r="F2580" s="2">
        <f>IFERROR(__xludf.DUMMYFUNCTION("""COMPUTED_VALUE"""),9.6561061E7)</f>
        <v>96561061</v>
      </c>
    </row>
    <row r="2581">
      <c r="A2581" s="3">
        <f>IFERROR(__xludf.DUMMYFUNCTION("""COMPUTED_VALUE"""),44099.66666666667)</f>
        <v>44099.66667</v>
      </c>
      <c r="B2581" s="2">
        <f>IFERROR(__xludf.DUMMYFUNCTION("""COMPUTED_VALUE"""),131.16)</f>
        <v>131.16</v>
      </c>
      <c r="C2581" s="2">
        <f>IFERROR(__xludf.DUMMYFUNCTION("""COMPUTED_VALUE"""),136.24)</f>
        <v>136.24</v>
      </c>
      <c r="D2581" s="2">
        <f>IFERROR(__xludf.DUMMYFUNCTION("""COMPUTED_VALUE"""),130.43)</f>
        <v>130.43</v>
      </c>
      <c r="E2581" s="2">
        <f>IFERROR(__xludf.DUMMYFUNCTION("""COMPUTED_VALUE"""),135.78)</f>
        <v>135.78</v>
      </c>
      <c r="F2581" s="2">
        <f>IFERROR(__xludf.DUMMYFUNCTION("""COMPUTED_VALUE"""),6.7208459E7)</f>
        <v>67208459</v>
      </c>
    </row>
    <row r="2582">
      <c r="A2582" s="3">
        <f>IFERROR(__xludf.DUMMYFUNCTION("""COMPUTED_VALUE"""),44102.66666666667)</f>
        <v>44102.66667</v>
      </c>
      <c r="B2582" s="2">
        <f>IFERROR(__xludf.DUMMYFUNCTION("""COMPUTED_VALUE"""),141.54)</f>
        <v>141.54</v>
      </c>
      <c r="C2582" s="2">
        <f>IFERROR(__xludf.DUMMYFUNCTION("""COMPUTED_VALUE"""),142.69)</f>
        <v>142.69</v>
      </c>
      <c r="D2582" s="2">
        <f>IFERROR(__xludf.DUMMYFUNCTION("""COMPUTED_VALUE"""),138.52)</f>
        <v>138.52</v>
      </c>
      <c r="E2582" s="2">
        <f>IFERROR(__xludf.DUMMYFUNCTION("""COMPUTED_VALUE"""),140.4)</f>
        <v>140.4</v>
      </c>
      <c r="F2582" s="2">
        <f>IFERROR(__xludf.DUMMYFUNCTION("""COMPUTED_VALUE"""),4.9719561E7)</f>
        <v>49719561</v>
      </c>
    </row>
    <row r="2583">
      <c r="A2583" s="3">
        <f>IFERROR(__xludf.DUMMYFUNCTION("""COMPUTED_VALUE"""),44103.66666666667)</f>
        <v>44103.66667</v>
      </c>
      <c r="B2583" s="2">
        <f>IFERROR(__xludf.DUMMYFUNCTION("""COMPUTED_VALUE"""),138.67)</f>
        <v>138.67</v>
      </c>
      <c r="C2583" s="2">
        <f>IFERROR(__xludf.DUMMYFUNCTION("""COMPUTED_VALUE"""),142.83)</f>
        <v>142.83</v>
      </c>
      <c r="D2583" s="2">
        <f>IFERROR(__xludf.DUMMYFUNCTION("""COMPUTED_VALUE"""),137.2)</f>
        <v>137.2</v>
      </c>
      <c r="E2583" s="2">
        <f>IFERROR(__xludf.DUMMYFUNCTION("""COMPUTED_VALUE"""),139.69)</f>
        <v>139.69</v>
      </c>
      <c r="F2583" s="2">
        <f>IFERROR(__xludf.DUMMYFUNCTION("""COMPUTED_VALUE"""),5.0341404E7)</f>
        <v>50341404</v>
      </c>
    </row>
    <row r="2584">
      <c r="A2584" s="3">
        <f>IFERROR(__xludf.DUMMYFUNCTION("""COMPUTED_VALUE"""),44104.66666666667)</f>
        <v>44104.66667</v>
      </c>
      <c r="B2584" s="2">
        <f>IFERROR(__xludf.DUMMYFUNCTION("""COMPUTED_VALUE"""),140.44)</f>
        <v>140.44</v>
      </c>
      <c r="C2584" s="2">
        <f>IFERROR(__xludf.DUMMYFUNCTION("""COMPUTED_VALUE"""),144.64)</f>
        <v>144.64</v>
      </c>
      <c r="D2584" s="2">
        <f>IFERROR(__xludf.DUMMYFUNCTION("""COMPUTED_VALUE"""),140.16)</f>
        <v>140.16</v>
      </c>
      <c r="E2584" s="2">
        <f>IFERROR(__xludf.DUMMYFUNCTION("""COMPUTED_VALUE"""),143.0)</f>
        <v>143</v>
      </c>
      <c r="F2584" s="2">
        <f>IFERROR(__xludf.DUMMYFUNCTION("""COMPUTED_VALUE"""),4.8145566E7)</f>
        <v>48145566</v>
      </c>
    </row>
    <row r="2585">
      <c r="A2585" s="3">
        <f>IFERROR(__xludf.DUMMYFUNCTION("""COMPUTED_VALUE"""),44105.66666666667)</f>
        <v>44105.66667</v>
      </c>
      <c r="B2585" s="2">
        <f>IFERROR(__xludf.DUMMYFUNCTION("""COMPUTED_VALUE"""),146.92)</f>
        <v>146.92</v>
      </c>
      <c r="C2585" s="2">
        <f>IFERROR(__xludf.DUMMYFUNCTION("""COMPUTED_VALUE"""),149.63)</f>
        <v>149.63</v>
      </c>
      <c r="D2585" s="2">
        <f>IFERROR(__xludf.DUMMYFUNCTION("""COMPUTED_VALUE"""),144.81)</f>
        <v>144.81</v>
      </c>
      <c r="E2585" s="2">
        <f>IFERROR(__xludf.DUMMYFUNCTION("""COMPUTED_VALUE"""),149.39)</f>
        <v>149.39</v>
      </c>
      <c r="F2585" s="2">
        <f>IFERROR(__xludf.DUMMYFUNCTION("""COMPUTED_VALUE"""),5.0741454E7)</f>
        <v>50741454</v>
      </c>
    </row>
    <row r="2586">
      <c r="A2586" s="3">
        <f>IFERROR(__xludf.DUMMYFUNCTION("""COMPUTED_VALUE"""),44106.66666666667)</f>
        <v>44106.66667</v>
      </c>
      <c r="B2586" s="2">
        <f>IFERROR(__xludf.DUMMYFUNCTION("""COMPUTED_VALUE"""),140.46)</f>
        <v>140.46</v>
      </c>
      <c r="C2586" s="2">
        <f>IFERROR(__xludf.DUMMYFUNCTION("""COMPUTED_VALUE"""),146.38)</f>
        <v>146.38</v>
      </c>
      <c r="D2586" s="2">
        <f>IFERROR(__xludf.DUMMYFUNCTION("""COMPUTED_VALUE"""),138.33)</f>
        <v>138.33</v>
      </c>
      <c r="E2586" s="2">
        <f>IFERROR(__xludf.DUMMYFUNCTION("""COMPUTED_VALUE"""),138.36)</f>
        <v>138.36</v>
      </c>
      <c r="F2586" s="2">
        <f>IFERROR(__xludf.DUMMYFUNCTION("""COMPUTED_VALUE"""),7.1430025E7)</f>
        <v>71430025</v>
      </c>
    </row>
    <row r="2587">
      <c r="A2587" s="3">
        <f>IFERROR(__xludf.DUMMYFUNCTION("""COMPUTED_VALUE"""),44109.66666666667)</f>
        <v>44109.66667</v>
      </c>
      <c r="B2587" s="2">
        <f>IFERROR(__xludf.DUMMYFUNCTION("""COMPUTED_VALUE"""),141.12)</f>
        <v>141.12</v>
      </c>
      <c r="C2587" s="2">
        <f>IFERROR(__xludf.DUMMYFUNCTION("""COMPUTED_VALUE"""),144.55)</f>
        <v>144.55</v>
      </c>
      <c r="D2587" s="2">
        <f>IFERROR(__xludf.DUMMYFUNCTION("""COMPUTED_VALUE"""),139.78)</f>
        <v>139.78</v>
      </c>
      <c r="E2587" s="2">
        <f>IFERROR(__xludf.DUMMYFUNCTION("""COMPUTED_VALUE"""),141.89)</f>
        <v>141.89</v>
      </c>
      <c r="F2587" s="2">
        <f>IFERROR(__xludf.DUMMYFUNCTION("""COMPUTED_VALUE"""),4.4722786E7)</f>
        <v>44722786</v>
      </c>
    </row>
    <row r="2588">
      <c r="A2588" s="3">
        <f>IFERROR(__xludf.DUMMYFUNCTION("""COMPUTED_VALUE"""),44110.66666666667)</f>
        <v>44110.66667</v>
      </c>
      <c r="B2588" s="2">
        <f>IFERROR(__xludf.DUMMYFUNCTION("""COMPUTED_VALUE"""),141.26)</f>
        <v>141.26</v>
      </c>
      <c r="C2588" s="2">
        <f>IFERROR(__xludf.DUMMYFUNCTION("""COMPUTED_VALUE"""),142.93)</f>
        <v>142.93</v>
      </c>
      <c r="D2588" s="2">
        <f>IFERROR(__xludf.DUMMYFUNCTION("""COMPUTED_VALUE"""),135.35)</f>
        <v>135.35</v>
      </c>
      <c r="E2588" s="2">
        <f>IFERROR(__xludf.DUMMYFUNCTION("""COMPUTED_VALUE"""),137.99)</f>
        <v>137.99</v>
      </c>
      <c r="F2588" s="2">
        <f>IFERROR(__xludf.DUMMYFUNCTION("""COMPUTED_VALUE"""),4.9146259E7)</f>
        <v>49146259</v>
      </c>
    </row>
    <row r="2589">
      <c r="A2589" s="3">
        <f>IFERROR(__xludf.DUMMYFUNCTION("""COMPUTED_VALUE"""),44111.66666666667)</f>
        <v>44111.66667</v>
      </c>
      <c r="B2589" s="2">
        <f>IFERROR(__xludf.DUMMYFUNCTION("""COMPUTED_VALUE"""),139.96)</f>
        <v>139.96</v>
      </c>
      <c r="C2589" s="2">
        <f>IFERROR(__xludf.DUMMYFUNCTION("""COMPUTED_VALUE"""),143.3)</f>
        <v>143.3</v>
      </c>
      <c r="D2589" s="2">
        <f>IFERROR(__xludf.DUMMYFUNCTION("""COMPUTED_VALUE"""),137.95)</f>
        <v>137.95</v>
      </c>
      <c r="E2589" s="2">
        <f>IFERROR(__xludf.DUMMYFUNCTION("""COMPUTED_VALUE"""),141.77)</f>
        <v>141.77</v>
      </c>
      <c r="F2589" s="2">
        <f>IFERROR(__xludf.DUMMYFUNCTION("""COMPUTED_VALUE"""),4.3127709E7)</f>
        <v>43127709</v>
      </c>
    </row>
    <row r="2590">
      <c r="A2590" s="3">
        <f>IFERROR(__xludf.DUMMYFUNCTION("""COMPUTED_VALUE"""),44112.66666666667)</f>
        <v>44112.66667</v>
      </c>
      <c r="B2590" s="2">
        <f>IFERROR(__xludf.DUMMYFUNCTION("""COMPUTED_VALUE"""),146.15)</f>
        <v>146.15</v>
      </c>
      <c r="C2590" s="2">
        <f>IFERROR(__xludf.DUMMYFUNCTION("""COMPUTED_VALUE"""),146.33)</f>
        <v>146.33</v>
      </c>
      <c r="D2590" s="2">
        <f>IFERROR(__xludf.DUMMYFUNCTION("""COMPUTED_VALUE"""),141.77)</f>
        <v>141.77</v>
      </c>
      <c r="E2590" s="2">
        <f>IFERROR(__xludf.DUMMYFUNCTION("""COMPUTED_VALUE"""),141.97)</f>
        <v>141.97</v>
      </c>
      <c r="F2590" s="2">
        <f>IFERROR(__xludf.DUMMYFUNCTION("""COMPUTED_VALUE"""),4.0421116E7)</f>
        <v>40421116</v>
      </c>
    </row>
    <row r="2591">
      <c r="A2591" s="3">
        <f>IFERROR(__xludf.DUMMYFUNCTION("""COMPUTED_VALUE"""),44113.66666666667)</f>
        <v>44113.66667</v>
      </c>
      <c r="B2591" s="2">
        <f>IFERROR(__xludf.DUMMYFUNCTION("""COMPUTED_VALUE"""),143.38)</f>
        <v>143.38</v>
      </c>
      <c r="C2591" s="2">
        <f>IFERROR(__xludf.DUMMYFUNCTION("""COMPUTED_VALUE"""),144.86)</f>
        <v>144.86</v>
      </c>
      <c r="D2591" s="2">
        <f>IFERROR(__xludf.DUMMYFUNCTION("""COMPUTED_VALUE"""),142.15)</f>
        <v>142.15</v>
      </c>
      <c r="E2591" s="2">
        <f>IFERROR(__xludf.DUMMYFUNCTION("""COMPUTED_VALUE"""),144.67)</f>
        <v>144.67</v>
      </c>
      <c r="F2591" s="2">
        <f>IFERROR(__xludf.DUMMYFUNCTION("""COMPUTED_VALUE"""),2.8925656E7)</f>
        <v>28925656</v>
      </c>
    </row>
    <row r="2592">
      <c r="A2592" s="3">
        <f>IFERROR(__xludf.DUMMYFUNCTION("""COMPUTED_VALUE"""),44116.66666666667)</f>
        <v>44116.66667</v>
      </c>
      <c r="B2592" s="2">
        <f>IFERROR(__xludf.DUMMYFUNCTION("""COMPUTED_VALUE"""),147.33)</f>
        <v>147.33</v>
      </c>
      <c r="C2592" s="2">
        <f>IFERROR(__xludf.DUMMYFUNCTION("""COMPUTED_VALUE"""),149.58)</f>
        <v>149.58</v>
      </c>
      <c r="D2592" s="2">
        <f>IFERROR(__xludf.DUMMYFUNCTION("""COMPUTED_VALUE"""),146.19)</f>
        <v>146.19</v>
      </c>
      <c r="E2592" s="2">
        <f>IFERROR(__xludf.DUMMYFUNCTION("""COMPUTED_VALUE"""),147.43)</f>
        <v>147.43</v>
      </c>
      <c r="F2592" s="2">
        <f>IFERROR(__xludf.DUMMYFUNCTION("""COMPUTED_VALUE"""),3.8791133E7)</f>
        <v>38791133</v>
      </c>
    </row>
    <row r="2593">
      <c r="A2593" s="3">
        <f>IFERROR(__xludf.DUMMYFUNCTION("""COMPUTED_VALUE"""),44117.66666666667)</f>
        <v>44117.66667</v>
      </c>
      <c r="B2593" s="2">
        <f>IFERROR(__xludf.DUMMYFUNCTION("""COMPUTED_VALUE"""),147.78)</f>
        <v>147.78</v>
      </c>
      <c r="C2593" s="2">
        <f>IFERROR(__xludf.DUMMYFUNCTION("""COMPUTED_VALUE"""),149.63)</f>
        <v>149.63</v>
      </c>
      <c r="D2593" s="2">
        <f>IFERROR(__xludf.DUMMYFUNCTION("""COMPUTED_VALUE"""),145.53)</f>
        <v>145.53</v>
      </c>
      <c r="E2593" s="2">
        <f>IFERROR(__xludf.DUMMYFUNCTION("""COMPUTED_VALUE"""),148.88)</f>
        <v>148.88</v>
      </c>
      <c r="F2593" s="2">
        <f>IFERROR(__xludf.DUMMYFUNCTION("""COMPUTED_VALUE"""),3.4463665E7)</f>
        <v>34463665</v>
      </c>
    </row>
    <row r="2594">
      <c r="A2594" s="3">
        <f>IFERROR(__xludf.DUMMYFUNCTION("""COMPUTED_VALUE"""),44118.66666666667)</f>
        <v>44118.66667</v>
      </c>
      <c r="B2594" s="2">
        <f>IFERROR(__xludf.DUMMYFUNCTION("""COMPUTED_VALUE"""),149.93)</f>
        <v>149.93</v>
      </c>
      <c r="C2594" s="2">
        <f>IFERROR(__xludf.DUMMYFUNCTION("""COMPUTED_VALUE"""),155.3)</f>
        <v>155.3</v>
      </c>
      <c r="D2594" s="2">
        <f>IFERROR(__xludf.DUMMYFUNCTION("""COMPUTED_VALUE"""),149.12)</f>
        <v>149.12</v>
      </c>
      <c r="E2594" s="2">
        <f>IFERROR(__xludf.DUMMYFUNCTION("""COMPUTED_VALUE"""),153.77)</f>
        <v>153.77</v>
      </c>
      <c r="F2594" s="2">
        <f>IFERROR(__xludf.DUMMYFUNCTION("""COMPUTED_VALUE"""),4.8045394E7)</f>
        <v>48045394</v>
      </c>
    </row>
    <row r="2595">
      <c r="A2595" s="3">
        <f>IFERROR(__xludf.DUMMYFUNCTION("""COMPUTED_VALUE"""),44119.66666666667)</f>
        <v>44119.66667</v>
      </c>
      <c r="B2595" s="2">
        <f>IFERROR(__xludf.DUMMYFUNCTION("""COMPUTED_VALUE"""),150.1)</f>
        <v>150.1</v>
      </c>
      <c r="C2595" s="2">
        <f>IFERROR(__xludf.DUMMYFUNCTION("""COMPUTED_VALUE"""),152.19)</f>
        <v>152.19</v>
      </c>
      <c r="D2595" s="2">
        <f>IFERROR(__xludf.DUMMYFUNCTION("""COMPUTED_VALUE"""),147.5)</f>
        <v>147.5</v>
      </c>
      <c r="E2595" s="2">
        <f>IFERROR(__xludf.DUMMYFUNCTION("""COMPUTED_VALUE"""),149.63)</f>
        <v>149.63</v>
      </c>
      <c r="F2595" s="2">
        <f>IFERROR(__xludf.DUMMYFUNCTION("""COMPUTED_VALUE"""),3.5672354E7)</f>
        <v>35672354</v>
      </c>
    </row>
    <row r="2596">
      <c r="A2596" s="3">
        <f>IFERROR(__xludf.DUMMYFUNCTION("""COMPUTED_VALUE"""),44120.66666666667)</f>
        <v>44120.66667</v>
      </c>
      <c r="B2596" s="2">
        <f>IFERROR(__xludf.DUMMYFUNCTION("""COMPUTED_VALUE"""),151.48)</f>
        <v>151.48</v>
      </c>
      <c r="C2596" s="2">
        <f>IFERROR(__xludf.DUMMYFUNCTION("""COMPUTED_VALUE"""),151.98)</f>
        <v>151.98</v>
      </c>
      <c r="D2596" s="2">
        <f>IFERROR(__xludf.DUMMYFUNCTION("""COMPUTED_VALUE"""),146.28)</f>
        <v>146.28</v>
      </c>
      <c r="E2596" s="2">
        <f>IFERROR(__xludf.DUMMYFUNCTION("""COMPUTED_VALUE"""),146.56)</f>
        <v>146.56</v>
      </c>
      <c r="F2596" s="2">
        <f>IFERROR(__xludf.DUMMYFUNCTION("""COMPUTED_VALUE"""),3.2775879E7)</f>
        <v>32775879</v>
      </c>
    </row>
    <row r="2597">
      <c r="A2597" s="3">
        <f>IFERROR(__xludf.DUMMYFUNCTION("""COMPUTED_VALUE"""),44123.66666666667)</f>
        <v>44123.66667</v>
      </c>
      <c r="B2597" s="2">
        <f>IFERROR(__xludf.DUMMYFUNCTION("""COMPUTED_VALUE"""),148.75)</f>
        <v>148.75</v>
      </c>
      <c r="C2597" s="2">
        <f>IFERROR(__xludf.DUMMYFUNCTION("""COMPUTED_VALUE"""),149.0)</f>
        <v>149</v>
      </c>
      <c r="D2597" s="2">
        <f>IFERROR(__xludf.DUMMYFUNCTION("""COMPUTED_VALUE"""),142.96)</f>
        <v>142.96</v>
      </c>
      <c r="E2597" s="2">
        <f>IFERROR(__xludf.DUMMYFUNCTION("""COMPUTED_VALUE"""),143.61)</f>
        <v>143.61</v>
      </c>
      <c r="F2597" s="2">
        <f>IFERROR(__xludf.DUMMYFUNCTION("""COMPUTED_VALUE"""),3.6287843E7)</f>
        <v>36287843</v>
      </c>
    </row>
    <row r="2598">
      <c r="A2598" s="3">
        <f>IFERROR(__xludf.DUMMYFUNCTION("""COMPUTED_VALUE"""),44124.66666666667)</f>
        <v>44124.66667</v>
      </c>
      <c r="B2598" s="2">
        <f>IFERROR(__xludf.DUMMYFUNCTION("""COMPUTED_VALUE"""),143.92)</f>
        <v>143.92</v>
      </c>
      <c r="C2598" s="2">
        <f>IFERROR(__xludf.DUMMYFUNCTION("""COMPUTED_VALUE"""),143.92)</f>
        <v>143.92</v>
      </c>
      <c r="D2598" s="2">
        <f>IFERROR(__xludf.DUMMYFUNCTION("""COMPUTED_VALUE"""),139.68)</f>
        <v>139.68</v>
      </c>
      <c r="E2598" s="2">
        <f>IFERROR(__xludf.DUMMYFUNCTION("""COMPUTED_VALUE"""),140.65)</f>
        <v>140.65</v>
      </c>
      <c r="F2598" s="2">
        <f>IFERROR(__xludf.DUMMYFUNCTION("""COMPUTED_VALUE"""),3.1656289E7)</f>
        <v>31656289</v>
      </c>
    </row>
    <row r="2599">
      <c r="A2599" s="3">
        <f>IFERROR(__xludf.DUMMYFUNCTION("""COMPUTED_VALUE"""),44125.66666666667)</f>
        <v>44125.66667</v>
      </c>
      <c r="B2599" s="2">
        <f>IFERROR(__xludf.DUMMYFUNCTION("""COMPUTED_VALUE"""),140.9)</f>
        <v>140.9</v>
      </c>
      <c r="C2599" s="2">
        <f>IFERROR(__xludf.DUMMYFUNCTION("""COMPUTED_VALUE"""),144.32)</f>
        <v>144.32</v>
      </c>
      <c r="D2599" s="2">
        <f>IFERROR(__xludf.DUMMYFUNCTION("""COMPUTED_VALUE"""),140.42)</f>
        <v>140.42</v>
      </c>
      <c r="E2599" s="2">
        <f>IFERROR(__xludf.DUMMYFUNCTION("""COMPUTED_VALUE"""),140.88)</f>
        <v>140.88</v>
      </c>
      <c r="F2599" s="2">
        <f>IFERROR(__xludf.DUMMYFUNCTION("""COMPUTED_VALUE"""),3.2370461E7)</f>
        <v>32370461</v>
      </c>
    </row>
    <row r="2600">
      <c r="A2600" s="3">
        <f>IFERROR(__xludf.DUMMYFUNCTION("""COMPUTED_VALUE"""),44126.66666666667)</f>
        <v>44126.66667</v>
      </c>
      <c r="B2600" s="2">
        <f>IFERROR(__xludf.DUMMYFUNCTION("""COMPUTED_VALUE"""),147.31)</f>
        <v>147.31</v>
      </c>
      <c r="C2600" s="2">
        <f>IFERROR(__xludf.DUMMYFUNCTION("""COMPUTED_VALUE"""),148.41)</f>
        <v>148.41</v>
      </c>
      <c r="D2600" s="2">
        <f>IFERROR(__xludf.DUMMYFUNCTION("""COMPUTED_VALUE"""),141.5)</f>
        <v>141.5</v>
      </c>
      <c r="E2600" s="2">
        <f>IFERROR(__xludf.DUMMYFUNCTION("""COMPUTED_VALUE"""),141.93)</f>
        <v>141.93</v>
      </c>
      <c r="F2600" s="2">
        <f>IFERROR(__xludf.DUMMYFUNCTION("""COMPUTED_VALUE"""),3.9993191E7)</f>
        <v>39993191</v>
      </c>
    </row>
    <row r="2601">
      <c r="A2601" s="3">
        <f>IFERROR(__xludf.DUMMYFUNCTION("""COMPUTED_VALUE"""),44127.66666666667)</f>
        <v>44127.66667</v>
      </c>
      <c r="B2601" s="2">
        <f>IFERROR(__xludf.DUMMYFUNCTION("""COMPUTED_VALUE"""),140.61)</f>
        <v>140.61</v>
      </c>
      <c r="C2601" s="2">
        <f>IFERROR(__xludf.DUMMYFUNCTION("""COMPUTED_VALUE"""),140.96)</f>
        <v>140.96</v>
      </c>
      <c r="D2601" s="2">
        <f>IFERROR(__xludf.DUMMYFUNCTION("""COMPUTED_VALUE"""),135.79)</f>
        <v>135.79</v>
      </c>
      <c r="E2601" s="2">
        <f>IFERROR(__xludf.DUMMYFUNCTION("""COMPUTED_VALUE"""),140.21)</f>
        <v>140.21</v>
      </c>
      <c r="F2601" s="2">
        <f>IFERROR(__xludf.DUMMYFUNCTION("""COMPUTED_VALUE"""),3.371698E7)</f>
        <v>33716980</v>
      </c>
    </row>
    <row r="2602">
      <c r="A2602" s="3">
        <f>IFERROR(__xludf.DUMMYFUNCTION("""COMPUTED_VALUE"""),44130.66666666667)</f>
        <v>44130.66667</v>
      </c>
      <c r="B2602" s="2">
        <f>IFERROR(__xludf.DUMMYFUNCTION("""COMPUTED_VALUE"""),137.21)</f>
        <v>137.21</v>
      </c>
      <c r="C2602" s="2">
        <f>IFERROR(__xludf.DUMMYFUNCTION("""COMPUTED_VALUE"""),141.92)</f>
        <v>141.92</v>
      </c>
      <c r="D2602" s="2">
        <f>IFERROR(__xludf.DUMMYFUNCTION("""COMPUTED_VALUE"""),136.67)</f>
        <v>136.67</v>
      </c>
      <c r="E2602" s="2">
        <f>IFERROR(__xludf.DUMMYFUNCTION("""COMPUTED_VALUE"""),140.09)</f>
        <v>140.09</v>
      </c>
      <c r="F2602" s="2">
        <f>IFERROR(__xludf.DUMMYFUNCTION("""COMPUTED_VALUE"""),2.8239161E7)</f>
        <v>28239161</v>
      </c>
    </row>
    <row r="2603">
      <c r="A2603" s="3">
        <f>IFERROR(__xludf.DUMMYFUNCTION("""COMPUTED_VALUE"""),44131.66666666667)</f>
        <v>44131.66667</v>
      </c>
      <c r="B2603" s="2">
        <f>IFERROR(__xludf.DUMMYFUNCTION("""COMPUTED_VALUE"""),141.25)</f>
        <v>141.25</v>
      </c>
      <c r="C2603" s="2">
        <f>IFERROR(__xludf.DUMMYFUNCTION("""COMPUTED_VALUE"""),143.5)</f>
        <v>143.5</v>
      </c>
      <c r="D2603" s="2">
        <f>IFERROR(__xludf.DUMMYFUNCTION("""COMPUTED_VALUE"""),140.03)</f>
        <v>140.03</v>
      </c>
      <c r="E2603" s="2">
        <f>IFERROR(__xludf.DUMMYFUNCTION("""COMPUTED_VALUE"""),141.56)</f>
        <v>141.56</v>
      </c>
      <c r="F2603" s="2">
        <f>IFERROR(__xludf.DUMMYFUNCTION("""COMPUTED_VALUE"""),2.2686506E7)</f>
        <v>22686506</v>
      </c>
    </row>
    <row r="2604">
      <c r="A2604" s="3">
        <f>IFERROR(__xludf.DUMMYFUNCTION("""COMPUTED_VALUE"""),44132.66666666667)</f>
        <v>44132.66667</v>
      </c>
      <c r="B2604" s="2">
        <f>IFERROR(__xludf.DUMMYFUNCTION("""COMPUTED_VALUE"""),138.83)</f>
        <v>138.83</v>
      </c>
      <c r="C2604" s="2">
        <f>IFERROR(__xludf.DUMMYFUNCTION("""COMPUTED_VALUE"""),139.53)</f>
        <v>139.53</v>
      </c>
      <c r="D2604" s="2">
        <f>IFERROR(__xludf.DUMMYFUNCTION("""COMPUTED_VALUE"""),135.33)</f>
        <v>135.33</v>
      </c>
      <c r="E2604" s="2">
        <f>IFERROR(__xludf.DUMMYFUNCTION("""COMPUTED_VALUE"""),135.34)</f>
        <v>135.34</v>
      </c>
      <c r="F2604" s="2">
        <f>IFERROR(__xludf.DUMMYFUNCTION("""COMPUTED_VALUE"""),2.5451409E7)</f>
        <v>25451409</v>
      </c>
    </row>
    <row r="2605">
      <c r="A2605" s="3">
        <f>IFERROR(__xludf.DUMMYFUNCTION("""COMPUTED_VALUE"""),44133.66666666667)</f>
        <v>44133.66667</v>
      </c>
      <c r="B2605" s="2">
        <f>IFERROR(__xludf.DUMMYFUNCTION("""COMPUTED_VALUE"""),136.65)</f>
        <v>136.65</v>
      </c>
      <c r="C2605" s="2">
        <f>IFERROR(__xludf.DUMMYFUNCTION("""COMPUTED_VALUE"""),139.35)</f>
        <v>139.35</v>
      </c>
      <c r="D2605" s="2">
        <f>IFERROR(__xludf.DUMMYFUNCTION("""COMPUTED_VALUE"""),135.49)</f>
        <v>135.49</v>
      </c>
      <c r="E2605" s="2">
        <f>IFERROR(__xludf.DUMMYFUNCTION("""COMPUTED_VALUE"""),136.94)</f>
        <v>136.94</v>
      </c>
      <c r="F2605" s="2">
        <f>IFERROR(__xludf.DUMMYFUNCTION("""COMPUTED_VALUE"""),2.2655308E7)</f>
        <v>22655308</v>
      </c>
    </row>
    <row r="2606">
      <c r="A2606" s="3">
        <f>IFERROR(__xludf.DUMMYFUNCTION("""COMPUTED_VALUE"""),44134.66666666667)</f>
        <v>44134.66667</v>
      </c>
      <c r="B2606" s="2">
        <f>IFERROR(__xludf.DUMMYFUNCTION("""COMPUTED_VALUE"""),135.63)</f>
        <v>135.63</v>
      </c>
      <c r="C2606" s="2">
        <f>IFERROR(__xludf.DUMMYFUNCTION("""COMPUTED_VALUE"""),135.86)</f>
        <v>135.86</v>
      </c>
      <c r="D2606" s="2">
        <f>IFERROR(__xludf.DUMMYFUNCTION("""COMPUTED_VALUE"""),126.37)</f>
        <v>126.37</v>
      </c>
      <c r="E2606" s="2">
        <f>IFERROR(__xludf.DUMMYFUNCTION("""COMPUTED_VALUE"""),129.35)</f>
        <v>129.35</v>
      </c>
      <c r="F2606" s="2">
        <f>IFERROR(__xludf.DUMMYFUNCTION("""COMPUTED_VALUE"""),4.2587639E7)</f>
        <v>42587639</v>
      </c>
    </row>
    <row r="2607">
      <c r="A2607" s="3">
        <f>IFERROR(__xludf.DUMMYFUNCTION("""COMPUTED_VALUE"""),44137.66666666667)</f>
        <v>44137.66667</v>
      </c>
      <c r="B2607" s="2">
        <f>IFERROR(__xludf.DUMMYFUNCTION("""COMPUTED_VALUE"""),131.33)</f>
        <v>131.33</v>
      </c>
      <c r="C2607" s="2">
        <f>IFERROR(__xludf.DUMMYFUNCTION("""COMPUTED_VALUE"""),135.66)</f>
        <v>135.66</v>
      </c>
      <c r="D2607" s="2">
        <f>IFERROR(__xludf.DUMMYFUNCTION("""COMPUTED_VALUE"""),130.77)</f>
        <v>130.77</v>
      </c>
      <c r="E2607" s="2">
        <f>IFERROR(__xludf.DUMMYFUNCTION("""COMPUTED_VALUE"""),133.5)</f>
        <v>133.5</v>
      </c>
      <c r="F2607" s="2">
        <f>IFERROR(__xludf.DUMMYFUNCTION("""COMPUTED_VALUE"""),2.9021118E7)</f>
        <v>29021118</v>
      </c>
    </row>
    <row r="2608">
      <c r="A2608" s="3">
        <f>IFERROR(__xludf.DUMMYFUNCTION("""COMPUTED_VALUE"""),44138.66666666667)</f>
        <v>44138.66667</v>
      </c>
      <c r="B2608" s="2">
        <f>IFERROR(__xludf.DUMMYFUNCTION("""COMPUTED_VALUE"""),136.58)</f>
        <v>136.58</v>
      </c>
      <c r="C2608" s="2">
        <f>IFERROR(__xludf.DUMMYFUNCTION("""COMPUTED_VALUE"""),142.59)</f>
        <v>142.59</v>
      </c>
      <c r="D2608" s="2">
        <f>IFERROR(__xludf.DUMMYFUNCTION("""COMPUTED_VALUE"""),135.56)</f>
        <v>135.56</v>
      </c>
      <c r="E2608" s="2">
        <f>IFERROR(__xludf.DUMMYFUNCTION("""COMPUTED_VALUE"""),141.3)</f>
        <v>141.3</v>
      </c>
      <c r="F2608" s="2">
        <f>IFERROR(__xludf.DUMMYFUNCTION("""COMPUTED_VALUE"""),3.4351715E7)</f>
        <v>34351715</v>
      </c>
    </row>
    <row r="2609">
      <c r="A2609" s="3">
        <f>IFERROR(__xludf.DUMMYFUNCTION("""COMPUTED_VALUE"""),44139.66666666667)</f>
        <v>44139.66667</v>
      </c>
      <c r="B2609" s="2">
        <f>IFERROR(__xludf.DUMMYFUNCTION("""COMPUTED_VALUE"""),143.54)</f>
        <v>143.54</v>
      </c>
      <c r="C2609" s="2">
        <f>IFERROR(__xludf.DUMMYFUNCTION("""COMPUTED_VALUE"""),145.13)</f>
        <v>145.13</v>
      </c>
      <c r="D2609" s="2">
        <f>IFERROR(__xludf.DUMMYFUNCTION("""COMPUTED_VALUE"""),139.03)</f>
        <v>139.03</v>
      </c>
      <c r="E2609" s="2">
        <f>IFERROR(__xludf.DUMMYFUNCTION("""COMPUTED_VALUE"""),140.33)</f>
        <v>140.33</v>
      </c>
      <c r="F2609" s="2">
        <f>IFERROR(__xludf.DUMMYFUNCTION("""COMPUTED_VALUE"""),3.2143057E7)</f>
        <v>32143057</v>
      </c>
    </row>
    <row r="2610">
      <c r="A2610" s="3">
        <f>IFERROR(__xludf.DUMMYFUNCTION("""COMPUTED_VALUE"""),44140.66666666667)</f>
        <v>44140.66667</v>
      </c>
      <c r="B2610" s="2">
        <f>IFERROR(__xludf.DUMMYFUNCTION("""COMPUTED_VALUE"""),142.77)</f>
        <v>142.77</v>
      </c>
      <c r="C2610" s="2">
        <f>IFERROR(__xludf.DUMMYFUNCTION("""COMPUTED_VALUE"""),146.67)</f>
        <v>146.67</v>
      </c>
      <c r="D2610" s="2">
        <f>IFERROR(__xludf.DUMMYFUNCTION("""COMPUTED_VALUE"""),141.33)</f>
        <v>141.33</v>
      </c>
      <c r="E2610" s="2">
        <f>IFERROR(__xludf.DUMMYFUNCTION("""COMPUTED_VALUE"""),146.03)</f>
        <v>146.03</v>
      </c>
      <c r="F2610" s="2">
        <f>IFERROR(__xludf.DUMMYFUNCTION("""COMPUTED_VALUE"""),2.8414523E7)</f>
        <v>28414523</v>
      </c>
    </row>
    <row r="2611">
      <c r="A2611" s="3">
        <f>IFERROR(__xludf.DUMMYFUNCTION("""COMPUTED_VALUE"""),44141.66666666667)</f>
        <v>44141.66667</v>
      </c>
      <c r="B2611" s="2">
        <f>IFERROR(__xludf.DUMMYFUNCTION("""COMPUTED_VALUE"""),145.37)</f>
        <v>145.37</v>
      </c>
      <c r="C2611" s="2">
        <f>IFERROR(__xludf.DUMMYFUNCTION("""COMPUTED_VALUE"""),145.52)</f>
        <v>145.52</v>
      </c>
      <c r="D2611" s="2">
        <f>IFERROR(__xludf.DUMMYFUNCTION("""COMPUTED_VALUE"""),141.43)</f>
        <v>141.43</v>
      </c>
      <c r="E2611" s="2">
        <f>IFERROR(__xludf.DUMMYFUNCTION("""COMPUTED_VALUE"""),143.32)</f>
        <v>143.32</v>
      </c>
      <c r="F2611" s="2">
        <f>IFERROR(__xludf.DUMMYFUNCTION("""COMPUTED_VALUE"""),2.1706014E7)</f>
        <v>21706014</v>
      </c>
    </row>
    <row r="2612">
      <c r="A2612" s="3">
        <f>IFERROR(__xludf.DUMMYFUNCTION("""COMPUTED_VALUE"""),44144.66666666667)</f>
        <v>44144.66667</v>
      </c>
      <c r="B2612" s="2">
        <f>IFERROR(__xludf.DUMMYFUNCTION("""COMPUTED_VALUE"""),146.5)</f>
        <v>146.5</v>
      </c>
      <c r="C2612" s="2">
        <f>IFERROR(__xludf.DUMMYFUNCTION("""COMPUTED_VALUE"""),150.83)</f>
        <v>150.83</v>
      </c>
      <c r="D2612" s="2">
        <f>IFERROR(__xludf.DUMMYFUNCTION("""COMPUTED_VALUE"""),140.33)</f>
        <v>140.33</v>
      </c>
      <c r="E2612" s="2">
        <f>IFERROR(__xludf.DUMMYFUNCTION("""COMPUTED_VALUE"""),140.42)</f>
        <v>140.42</v>
      </c>
      <c r="F2612" s="2">
        <f>IFERROR(__xludf.DUMMYFUNCTION("""COMPUTED_VALUE"""),3.4833025E7)</f>
        <v>34833025</v>
      </c>
    </row>
    <row r="2613">
      <c r="A2613" s="3">
        <f>IFERROR(__xludf.DUMMYFUNCTION("""COMPUTED_VALUE"""),44145.66666666667)</f>
        <v>44145.66667</v>
      </c>
      <c r="B2613" s="2">
        <f>IFERROR(__xludf.DUMMYFUNCTION("""COMPUTED_VALUE"""),140.03)</f>
        <v>140.03</v>
      </c>
      <c r="C2613" s="2">
        <f>IFERROR(__xludf.DUMMYFUNCTION("""COMPUTED_VALUE"""),140.03)</f>
        <v>140.03</v>
      </c>
      <c r="D2613" s="2">
        <f>IFERROR(__xludf.DUMMYFUNCTION("""COMPUTED_VALUE"""),132.01)</f>
        <v>132.01</v>
      </c>
      <c r="E2613" s="2">
        <f>IFERROR(__xludf.DUMMYFUNCTION("""COMPUTED_VALUE"""),136.79)</f>
        <v>136.79</v>
      </c>
      <c r="F2613" s="2">
        <f>IFERROR(__xludf.DUMMYFUNCTION("""COMPUTED_VALUE"""),3.0284224E7)</f>
        <v>30284224</v>
      </c>
    </row>
    <row r="2614">
      <c r="A2614" s="3">
        <f>IFERROR(__xludf.DUMMYFUNCTION("""COMPUTED_VALUE"""),44146.66666666667)</f>
        <v>44146.66667</v>
      </c>
      <c r="B2614" s="2">
        <f>IFERROR(__xludf.DUMMYFUNCTION("""COMPUTED_VALUE"""),138.82)</f>
        <v>138.82</v>
      </c>
      <c r="C2614" s="2">
        <f>IFERROR(__xludf.DUMMYFUNCTION("""COMPUTED_VALUE"""),139.57)</f>
        <v>139.57</v>
      </c>
      <c r="D2614" s="2">
        <f>IFERROR(__xludf.DUMMYFUNCTION("""COMPUTED_VALUE"""),136.86)</f>
        <v>136.86</v>
      </c>
      <c r="E2614" s="2">
        <f>IFERROR(__xludf.DUMMYFUNCTION("""COMPUTED_VALUE"""),139.04)</f>
        <v>139.04</v>
      </c>
      <c r="F2614" s="2">
        <f>IFERROR(__xludf.DUMMYFUNCTION("""COMPUTED_VALUE"""),1.7357722E7)</f>
        <v>17357722</v>
      </c>
    </row>
    <row r="2615">
      <c r="A2615" s="3">
        <f>IFERROR(__xludf.DUMMYFUNCTION("""COMPUTED_VALUE"""),44147.66666666667)</f>
        <v>44147.66667</v>
      </c>
      <c r="B2615" s="2">
        <f>IFERROR(__xludf.DUMMYFUNCTION("""COMPUTED_VALUE"""),138.35)</f>
        <v>138.35</v>
      </c>
      <c r="C2615" s="2">
        <f>IFERROR(__xludf.DUMMYFUNCTION("""COMPUTED_VALUE"""),141.0)</f>
        <v>141</v>
      </c>
      <c r="D2615" s="2">
        <f>IFERROR(__xludf.DUMMYFUNCTION("""COMPUTED_VALUE"""),136.51)</f>
        <v>136.51</v>
      </c>
      <c r="E2615" s="2">
        <f>IFERROR(__xludf.DUMMYFUNCTION("""COMPUTED_VALUE"""),137.25)</f>
        <v>137.25</v>
      </c>
      <c r="F2615" s="2">
        <f>IFERROR(__xludf.DUMMYFUNCTION("""COMPUTED_VALUE"""),1.99405E7)</f>
        <v>19940500</v>
      </c>
    </row>
    <row r="2616">
      <c r="A2616" s="3">
        <f>IFERROR(__xludf.DUMMYFUNCTION("""COMPUTED_VALUE"""),44148.66666666667)</f>
        <v>44148.66667</v>
      </c>
      <c r="B2616" s="2">
        <f>IFERROR(__xludf.DUMMYFUNCTION("""COMPUTED_VALUE"""),136.95)</f>
        <v>136.95</v>
      </c>
      <c r="C2616" s="2">
        <f>IFERROR(__xludf.DUMMYFUNCTION("""COMPUTED_VALUE"""),137.51)</f>
        <v>137.51</v>
      </c>
      <c r="D2616" s="2">
        <f>IFERROR(__xludf.DUMMYFUNCTION("""COMPUTED_VALUE"""),133.89)</f>
        <v>133.89</v>
      </c>
      <c r="E2616" s="2">
        <f>IFERROR(__xludf.DUMMYFUNCTION("""COMPUTED_VALUE"""),136.17)</f>
        <v>136.17</v>
      </c>
      <c r="F2616" s="2">
        <f>IFERROR(__xludf.DUMMYFUNCTION("""COMPUTED_VALUE"""),1.9830351E7)</f>
        <v>19830351</v>
      </c>
    </row>
    <row r="2617">
      <c r="A2617" s="3">
        <f>IFERROR(__xludf.DUMMYFUNCTION("""COMPUTED_VALUE"""),44151.66666666667)</f>
        <v>44151.66667</v>
      </c>
      <c r="B2617" s="2">
        <f>IFERROR(__xludf.DUMMYFUNCTION("""COMPUTED_VALUE"""),136.31)</f>
        <v>136.31</v>
      </c>
      <c r="C2617" s="2">
        <f>IFERROR(__xludf.DUMMYFUNCTION("""COMPUTED_VALUE"""),137.48)</f>
        <v>137.48</v>
      </c>
      <c r="D2617" s="2">
        <f>IFERROR(__xludf.DUMMYFUNCTION("""COMPUTED_VALUE"""),134.7)</f>
        <v>134.7</v>
      </c>
      <c r="E2617" s="2">
        <f>IFERROR(__xludf.DUMMYFUNCTION("""COMPUTED_VALUE"""),136.03)</f>
        <v>136.03</v>
      </c>
      <c r="F2617" s="2">
        <f>IFERROR(__xludf.DUMMYFUNCTION("""COMPUTED_VALUE"""),2.6838635E7)</f>
        <v>26838635</v>
      </c>
    </row>
    <row r="2618">
      <c r="A2618" s="3">
        <f>IFERROR(__xludf.DUMMYFUNCTION("""COMPUTED_VALUE"""),44152.66666666667)</f>
        <v>44152.66667</v>
      </c>
      <c r="B2618" s="2">
        <f>IFERROR(__xludf.DUMMYFUNCTION("""COMPUTED_VALUE"""),153.39)</f>
        <v>153.39</v>
      </c>
      <c r="C2618" s="2">
        <f>IFERROR(__xludf.DUMMYFUNCTION("""COMPUTED_VALUE"""),154.0)</f>
        <v>154</v>
      </c>
      <c r="D2618" s="2">
        <f>IFERROR(__xludf.DUMMYFUNCTION("""COMPUTED_VALUE"""),144.34)</f>
        <v>144.34</v>
      </c>
      <c r="E2618" s="2">
        <f>IFERROR(__xludf.DUMMYFUNCTION("""COMPUTED_VALUE"""),147.2)</f>
        <v>147.2</v>
      </c>
      <c r="F2618" s="2">
        <f>IFERROR(__xludf.DUMMYFUNCTION("""COMPUTED_VALUE"""),6.1188281E7)</f>
        <v>61188281</v>
      </c>
    </row>
    <row r="2619">
      <c r="A2619" s="3">
        <f>IFERROR(__xludf.DUMMYFUNCTION("""COMPUTED_VALUE"""),44153.66666666667)</f>
        <v>44153.66667</v>
      </c>
      <c r="B2619" s="2">
        <f>IFERROR(__xludf.DUMMYFUNCTION("""COMPUTED_VALUE"""),149.45)</f>
        <v>149.45</v>
      </c>
      <c r="C2619" s="2">
        <f>IFERROR(__xludf.DUMMYFUNCTION("""COMPUTED_VALUE"""),165.33)</f>
        <v>165.33</v>
      </c>
      <c r="D2619" s="2">
        <f>IFERROR(__xludf.DUMMYFUNCTION("""COMPUTED_VALUE"""),147.83)</f>
        <v>147.83</v>
      </c>
      <c r="E2619" s="2">
        <f>IFERROR(__xludf.DUMMYFUNCTION("""COMPUTED_VALUE"""),162.21)</f>
        <v>162.21</v>
      </c>
      <c r="F2619" s="2">
        <f>IFERROR(__xludf.DUMMYFUNCTION("""COMPUTED_VALUE"""),7.8044024E7)</f>
        <v>78044024</v>
      </c>
    </row>
    <row r="2620">
      <c r="A2620" s="3">
        <f>IFERROR(__xludf.DUMMYFUNCTION("""COMPUTED_VALUE"""),44154.66666666667)</f>
        <v>44154.66667</v>
      </c>
      <c r="B2620" s="2">
        <f>IFERROR(__xludf.DUMMYFUNCTION("""COMPUTED_VALUE"""),164.0)</f>
        <v>164</v>
      </c>
      <c r="C2620" s="2">
        <f>IFERROR(__xludf.DUMMYFUNCTION("""COMPUTED_VALUE"""),169.54)</f>
        <v>169.54</v>
      </c>
      <c r="D2620" s="2">
        <f>IFERROR(__xludf.DUMMYFUNCTION("""COMPUTED_VALUE"""),162.52)</f>
        <v>162.52</v>
      </c>
      <c r="E2620" s="2">
        <f>IFERROR(__xludf.DUMMYFUNCTION("""COMPUTED_VALUE"""),166.42)</f>
        <v>166.42</v>
      </c>
      <c r="F2620" s="2">
        <f>IFERROR(__xludf.DUMMYFUNCTION("""COMPUTED_VALUE"""),6.2475346E7)</f>
        <v>62475346</v>
      </c>
    </row>
    <row r="2621">
      <c r="A2621" s="3">
        <f>IFERROR(__xludf.DUMMYFUNCTION("""COMPUTED_VALUE"""),44155.66666666667)</f>
        <v>44155.66667</v>
      </c>
      <c r="B2621" s="2">
        <f>IFERROR(__xludf.DUMMYFUNCTION("""COMPUTED_VALUE"""),166.0)</f>
        <v>166</v>
      </c>
      <c r="C2621" s="2">
        <f>IFERROR(__xludf.DUMMYFUNCTION("""COMPUTED_VALUE"""),167.5)</f>
        <v>167.5</v>
      </c>
      <c r="D2621" s="2">
        <f>IFERROR(__xludf.DUMMYFUNCTION("""COMPUTED_VALUE"""),163.02)</f>
        <v>163.02</v>
      </c>
      <c r="E2621" s="2">
        <f>IFERROR(__xludf.DUMMYFUNCTION("""COMPUTED_VALUE"""),163.2)</f>
        <v>163.2</v>
      </c>
      <c r="F2621" s="2">
        <f>IFERROR(__xludf.DUMMYFUNCTION("""COMPUTED_VALUE"""),3.2911922E7)</f>
        <v>32911922</v>
      </c>
    </row>
    <row r="2622">
      <c r="A2622" s="3">
        <f>IFERROR(__xludf.DUMMYFUNCTION("""COMPUTED_VALUE"""),44158.66666666667)</f>
        <v>44158.66667</v>
      </c>
      <c r="B2622" s="2">
        <f>IFERROR(__xludf.DUMMYFUNCTION("""COMPUTED_VALUE"""),167.83)</f>
        <v>167.83</v>
      </c>
      <c r="C2622" s="2">
        <f>IFERROR(__xludf.DUMMYFUNCTION("""COMPUTED_VALUE"""),175.33)</f>
        <v>175.33</v>
      </c>
      <c r="D2622" s="2">
        <f>IFERROR(__xludf.DUMMYFUNCTION("""COMPUTED_VALUE"""),167.26)</f>
        <v>167.26</v>
      </c>
      <c r="E2622" s="2">
        <f>IFERROR(__xludf.DUMMYFUNCTION("""COMPUTED_VALUE"""),173.95)</f>
        <v>173.95</v>
      </c>
      <c r="F2622" s="2">
        <f>IFERROR(__xludf.DUMMYFUNCTION("""COMPUTED_VALUE"""),5.0260304E7)</f>
        <v>50260304</v>
      </c>
    </row>
    <row r="2623">
      <c r="A2623" s="3">
        <f>IFERROR(__xludf.DUMMYFUNCTION("""COMPUTED_VALUE"""),44159.66666666667)</f>
        <v>44159.66667</v>
      </c>
      <c r="B2623" s="2">
        <f>IFERROR(__xludf.DUMMYFUNCTION("""COMPUTED_VALUE"""),180.13)</f>
        <v>180.13</v>
      </c>
      <c r="C2623" s="2">
        <f>IFERROR(__xludf.DUMMYFUNCTION("""COMPUTED_VALUE"""),186.66)</f>
        <v>186.66</v>
      </c>
      <c r="D2623" s="2">
        <f>IFERROR(__xludf.DUMMYFUNCTION("""COMPUTED_VALUE"""),175.4)</f>
        <v>175.4</v>
      </c>
      <c r="E2623" s="2">
        <f>IFERROR(__xludf.DUMMYFUNCTION("""COMPUTED_VALUE"""),185.13)</f>
        <v>185.13</v>
      </c>
      <c r="F2623" s="2">
        <f>IFERROR(__xludf.DUMMYFUNCTION("""COMPUTED_VALUE"""),5.3648494E7)</f>
        <v>53648494</v>
      </c>
    </row>
    <row r="2624">
      <c r="A2624" s="3">
        <f>IFERROR(__xludf.DUMMYFUNCTION("""COMPUTED_VALUE"""),44160.66666666667)</f>
        <v>44160.66667</v>
      </c>
      <c r="B2624" s="2">
        <f>IFERROR(__xludf.DUMMYFUNCTION("""COMPUTED_VALUE"""),183.35)</f>
        <v>183.35</v>
      </c>
      <c r="C2624" s="2">
        <f>IFERROR(__xludf.DUMMYFUNCTION("""COMPUTED_VALUE"""),191.33)</f>
        <v>191.33</v>
      </c>
      <c r="D2624" s="2">
        <f>IFERROR(__xludf.DUMMYFUNCTION("""COMPUTED_VALUE"""),181.79)</f>
        <v>181.79</v>
      </c>
      <c r="E2624" s="2">
        <f>IFERROR(__xludf.DUMMYFUNCTION("""COMPUTED_VALUE"""),191.33)</f>
        <v>191.33</v>
      </c>
      <c r="F2624" s="2">
        <f>IFERROR(__xludf.DUMMYFUNCTION("""COMPUTED_VALUE"""),4.8930162E7)</f>
        <v>48930162</v>
      </c>
    </row>
    <row r="2625">
      <c r="A2625" s="3">
        <f>IFERROR(__xludf.DUMMYFUNCTION("""COMPUTED_VALUE"""),44162.54166666667)</f>
        <v>44162.54167</v>
      </c>
      <c r="B2625" s="2">
        <f>IFERROR(__xludf.DUMMYFUNCTION("""COMPUTED_VALUE"""),193.72)</f>
        <v>193.72</v>
      </c>
      <c r="C2625" s="2">
        <f>IFERROR(__xludf.DUMMYFUNCTION("""COMPUTED_VALUE"""),199.59)</f>
        <v>199.59</v>
      </c>
      <c r="D2625" s="2">
        <f>IFERROR(__xludf.DUMMYFUNCTION("""COMPUTED_VALUE"""),192.82)</f>
        <v>192.82</v>
      </c>
      <c r="E2625" s="2">
        <f>IFERROR(__xludf.DUMMYFUNCTION("""COMPUTED_VALUE"""),195.25)</f>
        <v>195.25</v>
      </c>
      <c r="F2625" s="2">
        <f>IFERROR(__xludf.DUMMYFUNCTION("""COMPUTED_VALUE"""),3.7561078E7)</f>
        <v>37561078</v>
      </c>
    </row>
    <row r="2626">
      <c r="A2626" s="3">
        <f>IFERROR(__xludf.DUMMYFUNCTION("""COMPUTED_VALUE"""),44165.66666666667)</f>
        <v>44165.66667</v>
      </c>
      <c r="B2626" s="2">
        <f>IFERROR(__xludf.DUMMYFUNCTION("""COMPUTED_VALUE"""),200.74)</f>
        <v>200.74</v>
      </c>
      <c r="C2626" s="2">
        <f>IFERROR(__xludf.DUMMYFUNCTION("""COMPUTED_VALUE"""),202.6)</f>
        <v>202.6</v>
      </c>
      <c r="D2626" s="2">
        <f>IFERROR(__xludf.DUMMYFUNCTION("""COMPUTED_VALUE"""),184.84)</f>
        <v>184.84</v>
      </c>
      <c r="E2626" s="2">
        <f>IFERROR(__xludf.DUMMYFUNCTION("""COMPUTED_VALUE"""),189.2)</f>
        <v>189.2</v>
      </c>
      <c r="F2626" s="2">
        <f>IFERROR(__xludf.DUMMYFUNCTION("""COMPUTED_VALUE"""),6.3003052E7)</f>
        <v>63003052</v>
      </c>
    </row>
    <row r="2627">
      <c r="A2627" s="3">
        <f>IFERROR(__xludf.DUMMYFUNCTION("""COMPUTED_VALUE"""),44166.66666666667)</f>
        <v>44166.66667</v>
      </c>
      <c r="B2627" s="2">
        <f>IFERROR(__xludf.DUMMYFUNCTION("""COMPUTED_VALUE"""),199.2)</f>
        <v>199.2</v>
      </c>
      <c r="C2627" s="2">
        <f>IFERROR(__xludf.DUMMYFUNCTION("""COMPUTED_VALUE"""),199.28)</f>
        <v>199.28</v>
      </c>
      <c r="D2627" s="2">
        <f>IFERROR(__xludf.DUMMYFUNCTION("""COMPUTED_VALUE"""),190.68)</f>
        <v>190.68</v>
      </c>
      <c r="E2627" s="2">
        <f>IFERROR(__xludf.DUMMYFUNCTION("""COMPUTED_VALUE"""),194.92)</f>
        <v>194.92</v>
      </c>
      <c r="F2627" s="2">
        <f>IFERROR(__xludf.DUMMYFUNCTION("""COMPUTED_VALUE"""),4.0382832E7)</f>
        <v>40382832</v>
      </c>
    </row>
    <row r="2628">
      <c r="A2628" s="3">
        <f>IFERROR(__xludf.DUMMYFUNCTION("""COMPUTED_VALUE"""),44167.66666666667)</f>
        <v>44167.66667</v>
      </c>
      <c r="B2628" s="2">
        <f>IFERROR(__xludf.DUMMYFUNCTION("""COMPUTED_VALUE"""),185.48)</f>
        <v>185.48</v>
      </c>
      <c r="C2628" s="2">
        <f>IFERROR(__xludf.DUMMYFUNCTION("""COMPUTED_VALUE"""),190.51)</f>
        <v>190.51</v>
      </c>
      <c r="D2628" s="2">
        <f>IFERROR(__xludf.DUMMYFUNCTION("""COMPUTED_VALUE"""),180.4)</f>
        <v>180.4</v>
      </c>
      <c r="E2628" s="2">
        <f>IFERROR(__xludf.DUMMYFUNCTION("""COMPUTED_VALUE"""),189.61)</f>
        <v>189.61</v>
      </c>
      <c r="F2628" s="2">
        <f>IFERROR(__xludf.DUMMYFUNCTION("""COMPUTED_VALUE"""),4.7775653E7)</f>
        <v>47775653</v>
      </c>
    </row>
    <row r="2629">
      <c r="A2629" s="3">
        <f>IFERROR(__xludf.DUMMYFUNCTION("""COMPUTED_VALUE"""),44168.66666666667)</f>
        <v>44168.66667</v>
      </c>
      <c r="B2629" s="2">
        <f>IFERROR(__xludf.DUMMYFUNCTION("""COMPUTED_VALUE"""),196.67)</f>
        <v>196.67</v>
      </c>
      <c r="C2629" s="2">
        <f>IFERROR(__xludf.DUMMYFUNCTION("""COMPUTED_VALUE"""),199.66)</f>
        <v>199.66</v>
      </c>
      <c r="D2629" s="2">
        <f>IFERROR(__xludf.DUMMYFUNCTION("""COMPUTED_VALUE"""),194.14)</f>
        <v>194.14</v>
      </c>
      <c r="E2629" s="2">
        <f>IFERROR(__xludf.DUMMYFUNCTION("""COMPUTED_VALUE"""),197.79)</f>
        <v>197.79</v>
      </c>
      <c r="F2629" s="2">
        <f>IFERROR(__xludf.DUMMYFUNCTION("""COMPUTED_VALUE"""),4.2552003E7)</f>
        <v>42552003</v>
      </c>
    </row>
    <row r="2630">
      <c r="A2630" s="3">
        <f>IFERROR(__xludf.DUMMYFUNCTION("""COMPUTED_VALUE"""),44169.66666666667)</f>
        <v>44169.66667</v>
      </c>
      <c r="B2630" s="2">
        <f>IFERROR(__xludf.DUMMYFUNCTION("""COMPUTED_VALUE"""),197.0)</f>
        <v>197</v>
      </c>
      <c r="C2630" s="2">
        <f>IFERROR(__xludf.DUMMYFUNCTION("""COMPUTED_VALUE"""),199.68)</f>
        <v>199.68</v>
      </c>
      <c r="D2630" s="2">
        <f>IFERROR(__xludf.DUMMYFUNCTION("""COMPUTED_VALUE"""),195.17)</f>
        <v>195.17</v>
      </c>
      <c r="E2630" s="2">
        <f>IFERROR(__xludf.DUMMYFUNCTION("""COMPUTED_VALUE"""),199.68)</f>
        <v>199.68</v>
      </c>
      <c r="F2630" s="2">
        <f>IFERROR(__xludf.DUMMYFUNCTION("""COMPUTED_VALUE"""),2.9401314E7)</f>
        <v>29401314</v>
      </c>
    </row>
    <row r="2631">
      <c r="A2631" s="3">
        <f>IFERROR(__xludf.DUMMYFUNCTION("""COMPUTED_VALUE"""),44172.66666666667)</f>
        <v>44172.66667</v>
      </c>
      <c r="B2631" s="2">
        <f>IFERROR(__xludf.DUMMYFUNCTION("""COMPUTED_VALUE"""),201.64)</f>
        <v>201.64</v>
      </c>
      <c r="C2631" s="2">
        <f>IFERROR(__xludf.DUMMYFUNCTION("""COMPUTED_VALUE"""),216.26)</f>
        <v>216.26</v>
      </c>
      <c r="D2631" s="2">
        <f>IFERROR(__xludf.DUMMYFUNCTION("""COMPUTED_VALUE"""),201.02)</f>
        <v>201.02</v>
      </c>
      <c r="E2631" s="2">
        <f>IFERROR(__xludf.DUMMYFUNCTION("""COMPUTED_VALUE"""),213.92)</f>
        <v>213.92</v>
      </c>
      <c r="F2631" s="2">
        <f>IFERROR(__xludf.DUMMYFUNCTION("""COMPUTED_VALUE"""),5.6309709E7)</f>
        <v>56309709</v>
      </c>
    </row>
    <row r="2632">
      <c r="A2632" s="3">
        <f>IFERROR(__xludf.DUMMYFUNCTION("""COMPUTED_VALUE"""),44173.66666666667)</f>
        <v>44173.66667</v>
      </c>
      <c r="B2632" s="2">
        <f>IFERROR(__xludf.DUMMYFUNCTION("""COMPUTED_VALUE"""),208.5)</f>
        <v>208.5</v>
      </c>
      <c r="C2632" s="2">
        <f>IFERROR(__xludf.DUMMYFUNCTION("""COMPUTED_VALUE"""),217.09)</f>
        <v>217.09</v>
      </c>
      <c r="D2632" s="2">
        <f>IFERROR(__xludf.DUMMYFUNCTION("""COMPUTED_VALUE"""),206.17)</f>
        <v>206.17</v>
      </c>
      <c r="E2632" s="2">
        <f>IFERROR(__xludf.DUMMYFUNCTION("""COMPUTED_VALUE"""),216.63)</f>
        <v>216.63</v>
      </c>
      <c r="F2632" s="2">
        <f>IFERROR(__xludf.DUMMYFUNCTION("""COMPUTED_VALUE"""),6.4265029E7)</f>
        <v>64265029</v>
      </c>
    </row>
    <row r="2633">
      <c r="A2633" s="3">
        <f>IFERROR(__xludf.DUMMYFUNCTION("""COMPUTED_VALUE"""),44174.66666666667)</f>
        <v>44174.66667</v>
      </c>
      <c r="B2633" s="2">
        <f>IFERROR(__xludf.DUMMYFUNCTION("""COMPUTED_VALUE"""),217.9)</f>
        <v>217.9</v>
      </c>
      <c r="C2633" s="2">
        <f>IFERROR(__xludf.DUMMYFUNCTION("""COMPUTED_VALUE"""),218.11)</f>
        <v>218.11</v>
      </c>
      <c r="D2633" s="2">
        <f>IFERROR(__xludf.DUMMYFUNCTION("""COMPUTED_VALUE"""),196.0)</f>
        <v>196</v>
      </c>
      <c r="E2633" s="2">
        <f>IFERROR(__xludf.DUMMYFUNCTION("""COMPUTED_VALUE"""),201.49)</f>
        <v>201.49</v>
      </c>
      <c r="F2633" s="2">
        <f>IFERROR(__xludf.DUMMYFUNCTION("""COMPUTED_VALUE"""),7.129119E7)</f>
        <v>71291190</v>
      </c>
    </row>
    <row r="2634">
      <c r="A2634" s="3">
        <f>IFERROR(__xludf.DUMMYFUNCTION("""COMPUTED_VALUE"""),44175.66666666667)</f>
        <v>44175.66667</v>
      </c>
      <c r="B2634" s="2">
        <f>IFERROR(__xludf.DUMMYFUNCTION("""COMPUTED_VALUE"""),191.46)</f>
        <v>191.46</v>
      </c>
      <c r="C2634" s="2">
        <f>IFERROR(__xludf.DUMMYFUNCTION("""COMPUTED_VALUE"""),209.25)</f>
        <v>209.25</v>
      </c>
      <c r="D2634" s="2">
        <f>IFERROR(__xludf.DUMMYFUNCTION("""COMPUTED_VALUE"""),188.78)</f>
        <v>188.78</v>
      </c>
      <c r="E2634" s="2">
        <f>IFERROR(__xludf.DUMMYFUNCTION("""COMPUTED_VALUE"""),209.02)</f>
        <v>209.02</v>
      </c>
      <c r="F2634" s="2">
        <f>IFERROR(__xludf.DUMMYFUNCTION("""COMPUTED_VALUE"""),6.7083153E7)</f>
        <v>67083153</v>
      </c>
    </row>
    <row r="2635">
      <c r="A2635" s="3">
        <f>IFERROR(__xludf.DUMMYFUNCTION("""COMPUTED_VALUE"""),44176.66666666667)</f>
        <v>44176.66667</v>
      </c>
      <c r="B2635" s="2">
        <f>IFERROR(__xludf.DUMMYFUNCTION("""COMPUTED_VALUE"""),205.0)</f>
        <v>205</v>
      </c>
      <c r="C2635" s="2">
        <f>IFERROR(__xludf.DUMMYFUNCTION("""COMPUTED_VALUE"""),208.0)</f>
        <v>208</v>
      </c>
      <c r="D2635" s="2">
        <f>IFERROR(__xludf.DUMMYFUNCTION("""COMPUTED_VALUE"""),198.93)</f>
        <v>198.93</v>
      </c>
      <c r="E2635" s="2">
        <f>IFERROR(__xludf.DUMMYFUNCTION("""COMPUTED_VALUE"""),203.33)</f>
        <v>203.33</v>
      </c>
      <c r="F2635" s="2">
        <f>IFERROR(__xludf.DUMMYFUNCTION("""COMPUTED_VALUE"""),4.6474974E7)</f>
        <v>46474974</v>
      </c>
    </row>
    <row r="2636">
      <c r="A2636" s="3">
        <f>IFERROR(__xludf.DUMMYFUNCTION("""COMPUTED_VALUE"""),44179.66666666667)</f>
        <v>44179.66667</v>
      </c>
      <c r="B2636" s="2">
        <f>IFERROR(__xludf.DUMMYFUNCTION("""COMPUTED_VALUE"""),206.33)</f>
        <v>206.33</v>
      </c>
      <c r="C2636" s="2">
        <f>IFERROR(__xludf.DUMMYFUNCTION("""COMPUTED_VALUE"""),214.25)</f>
        <v>214.25</v>
      </c>
      <c r="D2636" s="2">
        <f>IFERROR(__xludf.DUMMYFUNCTION("""COMPUTED_VALUE"""),203.4)</f>
        <v>203.4</v>
      </c>
      <c r="E2636" s="2">
        <f>IFERROR(__xludf.DUMMYFUNCTION("""COMPUTED_VALUE"""),213.28)</f>
        <v>213.28</v>
      </c>
      <c r="F2636" s="2">
        <f>IFERROR(__xludf.DUMMYFUNCTION("""COMPUTED_VALUE"""),5.2040649E7)</f>
        <v>52040649</v>
      </c>
    </row>
    <row r="2637">
      <c r="A2637" s="3">
        <f>IFERROR(__xludf.DUMMYFUNCTION("""COMPUTED_VALUE"""),44180.66666666667)</f>
        <v>44180.66667</v>
      </c>
      <c r="B2637" s="2">
        <f>IFERROR(__xludf.DUMMYFUNCTION("""COMPUTED_VALUE"""),214.43)</f>
        <v>214.43</v>
      </c>
      <c r="C2637" s="2">
        <f>IFERROR(__xludf.DUMMYFUNCTION("""COMPUTED_VALUE"""),215.63)</f>
        <v>215.63</v>
      </c>
      <c r="D2637" s="2">
        <f>IFERROR(__xludf.DUMMYFUNCTION("""COMPUTED_VALUE"""),207.93)</f>
        <v>207.93</v>
      </c>
      <c r="E2637" s="2">
        <f>IFERROR(__xludf.DUMMYFUNCTION("""COMPUTED_VALUE"""),211.08)</f>
        <v>211.08</v>
      </c>
      <c r="F2637" s="2">
        <f>IFERROR(__xludf.DUMMYFUNCTION("""COMPUTED_VALUE"""),4.5223559E7)</f>
        <v>45223559</v>
      </c>
    </row>
    <row r="2638">
      <c r="A2638" s="3">
        <f>IFERROR(__xludf.DUMMYFUNCTION("""COMPUTED_VALUE"""),44181.66666666667)</f>
        <v>44181.66667</v>
      </c>
      <c r="B2638" s="2">
        <f>IFERROR(__xludf.DUMMYFUNCTION("""COMPUTED_VALUE"""),209.41)</f>
        <v>209.41</v>
      </c>
      <c r="C2638" s="2">
        <f>IFERROR(__xludf.DUMMYFUNCTION("""COMPUTED_VALUE"""),210.83)</f>
        <v>210.83</v>
      </c>
      <c r="D2638" s="2">
        <f>IFERROR(__xludf.DUMMYFUNCTION("""COMPUTED_VALUE"""),201.67)</f>
        <v>201.67</v>
      </c>
      <c r="E2638" s="2">
        <f>IFERROR(__xludf.DUMMYFUNCTION("""COMPUTED_VALUE"""),207.59)</f>
        <v>207.59</v>
      </c>
      <c r="F2638" s="2">
        <f>IFERROR(__xludf.DUMMYFUNCTION("""COMPUTED_VALUE"""),4.2095813E7)</f>
        <v>42095813</v>
      </c>
    </row>
    <row r="2639">
      <c r="A2639" s="3">
        <f>IFERROR(__xludf.DUMMYFUNCTION("""COMPUTED_VALUE"""),44182.66666666667)</f>
        <v>44182.66667</v>
      </c>
      <c r="B2639" s="2">
        <f>IFERROR(__xludf.DUMMYFUNCTION("""COMPUTED_VALUE"""),209.4)</f>
        <v>209.4</v>
      </c>
      <c r="C2639" s="2">
        <f>IFERROR(__xludf.DUMMYFUNCTION("""COMPUTED_VALUE"""),219.61)</f>
        <v>219.61</v>
      </c>
      <c r="D2639" s="2">
        <f>IFERROR(__xludf.DUMMYFUNCTION("""COMPUTED_VALUE"""),206.5)</f>
        <v>206.5</v>
      </c>
      <c r="E2639" s="2">
        <f>IFERROR(__xludf.DUMMYFUNCTION("""COMPUTED_VALUE"""),218.63)</f>
        <v>218.63</v>
      </c>
      <c r="F2639" s="2">
        <f>IFERROR(__xludf.DUMMYFUNCTION("""COMPUTED_VALUE"""),5.6270144E7)</f>
        <v>56270144</v>
      </c>
    </row>
    <row r="2640">
      <c r="A2640" s="3">
        <f>IFERROR(__xludf.DUMMYFUNCTION("""COMPUTED_VALUE"""),44183.66666666667)</f>
        <v>44183.66667</v>
      </c>
      <c r="B2640" s="2">
        <f>IFERROR(__xludf.DUMMYFUNCTION("""COMPUTED_VALUE"""),222.97)</f>
        <v>222.97</v>
      </c>
      <c r="C2640" s="2">
        <f>IFERROR(__xludf.DUMMYFUNCTION("""COMPUTED_VALUE"""),231.67)</f>
        <v>231.67</v>
      </c>
      <c r="D2640" s="2">
        <f>IFERROR(__xludf.DUMMYFUNCTION("""COMPUTED_VALUE"""),209.51)</f>
        <v>209.51</v>
      </c>
      <c r="E2640" s="2">
        <f>IFERROR(__xludf.DUMMYFUNCTION("""COMPUTED_VALUE"""),231.67)</f>
        <v>231.67</v>
      </c>
      <c r="F2640" s="2">
        <f>IFERROR(__xludf.DUMMYFUNCTION("""COMPUTED_VALUE"""),2.22126194E8)</f>
        <v>222126194</v>
      </c>
    </row>
    <row r="2641">
      <c r="A2641" s="3">
        <f>IFERROR(__xludf.DUMMYFUNCTION("""COMPUTED_VALUE"""),44186.66666666667)</f>
        <v>44186.66667</v>
      </c>
      <c r="B2641" s="2">
        <f>IFERROR(__xludf.DUMMYFUNCTION("""COMPUTED_VALUE"""),222.08)</f>
        <v>222.08</v>
      </c>
      <c r="C2641" s="2">
        <f>IFERROR(__xludf.DUMMYFUNCTION("""COMPUTED_VALUE"""),222.83)</f>
        <v>222.83</v>
      </c>
      <c r="D2641" s="2">
        <f>IFERROR(__xludf.DUMMYFUNCTION("""COMPUTED_VALUE"""),215.36)</f>
        <v>215.36</v>
      </c>
      <c r="E2641" s="2">
        <f>IFERROR(__xludf.DUMMYFUNCTION("""COMPUTED_VALUE"""),216.62)</f>
        <v>216.62</v>
      </c>
      <c r="F2641" s="2">
        <f>IFERROR(__xludf.DUMMYFUNCTION("""COMPUTED_VALUE"""),5.8045264E7)</f>
        <v>58045264</v>
      </c>
    </row>
    <row r="2642">
      <c r="A2642" s="3">
        <f>IFERROR(__xludf.DUMMYFUNCTION("""COMPUTED_VALUE"""),44187.66666666667)</f>
        <v>44187.66667</v>
      </c>
      <c r="B2642" s="2">
        <f>IFERROR(__xludf.DUMMYFUNCTION("""COMPUTED_VALUE"""),216.0)</f>
        <v>216</v>
      </c>
      <c r="C2642" s="2">
        <f>IFERROR(__xludf.DUMMYFUNCTION("""COMPUTED_VALUE"""),216.63)</f>
        <v>216.63</v>
      </c>
      <c r="D2642" s="2">
        <f>IFERROR(__xludf.DUMMYFUNCTION("""COMPUTED_VALUE"""),204.74)</f>
        <v>204.74</v>
      </c>
      <c r="E2642" s="2">
        <f>IFERROR(__xludf.DUMMYFUNCTION("""COMPUTED_VALUE"""),213.45)</f>
        <v>213.45</v>
      </c>
      <c r="F2642" s="2">
        <f>IFERROR(__xludf.DUMMYFUNCTION("""COMPUTED_VALUE"""),5.1861644E7)</f>
        <v>51861644</v>
      </c>
    </row>
    <row r="2643">
      <c r="A2643" s="3">
        <f>IFERROR(__xludf.DUMMYFUNCTION("""COMPUTED_VALUE"""),44188.66666666667)</f>
        <v>44188.66667</v>
      </c>
      <c r="B2643" s="2">
        <f>IFERROR(__xludf.DUMMYFUNCTION("""COMPUTED_VALUE"""),210.73)</f>
        <v>210.73</v>
      </c>
      <c r="C2643" s="2">
        <f>IFERROR(__xludf.DUMMYFUNCTION("""COMPUTED_VALUE"""),217.17)</f>
        <v>217.17</v>
      </c>
      <c r="D2643" s="2">
        <f>IFERROR(__xludf.DUMMYFUNCTION("""COMPUTED_VALUE"""),207.52)</f>
        <v>207.52</v>
      </c>
      <c r="E2643" s="2">
        <f>IFERROR(__xludf.DUMMYFUNCTION("""COMPUTED_VALUE"""),215.33)</f>
        <v>215.33</v>
      </c>
      <c r="F2643" s="2">
        <f>IFERROR(__xludf.DUMMYFUNCTION("""COMPUTED_VALUE"""),3.3172972E7)</f>
        <v>33172972</v>
      </c>
    </row>
    <row r="2644">
      <c r="A2644" s="3">
        <f>IFERROR(__xludf.DUMMYFUNCTION("""COMPUTED_VALUE"""),44189.54166666667)</f>
        <v>44189.54167</v>
      </c>
      <c r="B2644" s="2">
        <f>IFERROR(__xludf.DUMMYFUNCTION("""COMPUTED_VALUE"""),214.33)</f>
        <v>214.33</v>
      </c>
      <c r="C2644" s="2">
        <f>IFERROR(__xludf.DUMMYFUNCTION("""COMPUTED_VALUE"""),222.03)</f>
        <v>222.03</v>
      </c>
      <c r="D2644" s="2">
        <f>IFERROR(__xludf.DUMMYFUNCTION("""COMPUTED_VALUE"""),213.67)</f>
        <v>213.67</v>
      </c>
      <c r="E2644" s="2">
        <f>IFERROR(__xludf.DUMMYFUNCTION("""COMPUTED_VALUE"""),220.59)</f>
        <v>220.59</v>
      </c>
      <c r="F2644" s="2">
        <f>IFERROR(__xludf.DUMMYFUNCTION("""COMPUTED_VALUE"""),2.2865568E7)</f>
        <v>22865568</v>
      </c>
    </row>
    <row r="2645">
      <c r="A2645" s="3">
        <f>IFERROR(__xludf.DUMMYFUNCTION("""COMPUTED_VALUE"""),44193.66666666667)</f>
        <v>44193.66667</v>
      </c>
      <c r="B2645" s="2">
        <f>IFERROR(__xludf.DUMMYFUNCTION("""COMPUTED_VALUE"""),224.84)</f>
        <v>224.84</v>
      </c>
      <c r="C2645" s="2">
        <f>IFERROR(__xludf.DUMMYFUNCTION("""COMPUTED_VALUE"""),227.13)</f>
        <v>227.13</v>
      </c>
      <c r="D2645" s="2">
        <f>IFERROR(__xludf.DUMMYFUNCTION("""COMPUTED_VALUE"""),220.27)</f>
        <v>220.27</v>
      </c>
      <c r="E2645" s="2">
        <f>IFERROR(__xludf.DUMMYFUNCTION("""COMPUTED_VALUE"""),221.23)</f>
        <v>221.23</v>
      </c>
      <c r="F2645" s="2">
        <f>IFERROR(__xludf.DUMMYFUNCTION("""COMPUTED_VALUE"""),3.2278561E7)</f>
        <v>32278561</v>
      </c>
    </row>
    <row r="2646">
      <c r="A2646" s="3">
        <f>IFERROR(__xludf.DUMMYFUNCTION("""COMPUTED_VALUE"""),44194.66666666667)</f>
        <v>44194.66667</v>
      </c>
      <c r="B2646" s="2">
        <f>IFERROR(__xludf.DUMMYFUNCTION("""COMPUTED_VALUE"""),220.33)</f>
        <v>220.33</v>
      </c>
      <c r="C2646" s="2">
        <f>IFERROR(__xludf.DUMMYFUNCTION("""COMPUTED_VALUE"""),223.3)</f>
        <v>223.3</v>
      </c>
      <c r="D2646" s="2">
        <f>IFERROR(__xludf.DUMMYFUNCTION("""COMPUTED_VALUE"""),218.33)</f>
        <v>218.33</v>
      </c>
      <c r="E2646" s="2">
        <f>IFERROR(__xludf.DUMMYFUNCTION("""COMPUTED_VALUE"""),222.0)</f>
        <v>222</v>
      </c>
      <c r="F2646" s="2">
        <f>IFERROR(__xludf.DUMMYFUNCTION("""COMPUTED_VALUE"""),2.2910811E7)</f>
        <v>22910811</v>
      </c>
    </row>
    <row r="2647">
      <c r="A2647" s="3">
        <f>IFERROR(__xludf.DUMMYFUNCTION("""COMPUTED_VALUE"""),44195.66666666667)</f>
        <v>44195.66667</v>
      </c>
      <c r="B2647" s="2">
        <f>IFERROR(__xludf.DUMMYFUNCTION("""COMPUTED_VALUE"""),224.0)</f>
        <v>224</v>
      </c>
      <c r="C2647" s="2">
        <f>IFERROR(__xludf.DUMMYFUNCTION("""COMPUTED_VALUE"""),232.2)</f>
        <v>232.2</v>
      </c>
      <c r="D2647" s="2">
        <f>IFERROR(__xludf.DUMMYFUNCTION("""COMPUTED_VALUE"""),222.79)</f>
        <v>222.79</v>
      </c>
      <c r="E2647" s="2">
        <f>IFERROR(__xludf.DUMMYFUNCTION("""COMPUTED_VALUE"""),231.59)</f>
        <v>231.59</v>
      </c>
      <c r="F2647" s="2">
        <f>IFERROR(__xludf.DUMMYFUNCTION("""COMPUTED_VALUE"""),4.2846021E7)</f>
        <v>42846021</v>
      </c>
    </row>
    <row r="2648">
      <c r="A2648" s="3">
        <f>IFERROR(__xludf.DUMMYFUNCTION("""COMPUTED_VALUE"""),44196.66666666667)</f>
        <v>44196.66667</v>
      </c>
      <c r="B2648" s="2">
        <f>IFERROR(__xludf.DUMMYFUNCTION("""COMPUTED_VALUE"""),233.33)</f>
        <v>233.33</v>
      </c>
      <c r="C2648" s="2">
        <f>IFERROR(__xludf.DUMMYFUNCTION("""COMPUTED_VALUE"""),239.57)</f>
        <v>239.57</v>
      </c>
      <c r="D2648" s="2">
        <f>IFERROR(__xludf.DUMMYFUNCTION("""COMPUTED_VALUE"""),230.37)</f>
        <v>230.37</v>
      </c>
      <c r="E2648" s="2">
        <f>IFERROR(__xludf.DUMMYFUNCTION("""COMPUTED_VALUE"""),235.22)</f>
        <v>235.22</v>
      </c>
      <c r="F2648" s="2">
        <f>IFERROR(__xludf.DUMMYFUNCTION("""COMPUTED_VALUE"""),4.9649928E7)</f>
        <v>49649928</v>
      </c>
    </row>
    <row r="2649">
      <c r="A2649" s="3">
        <f>IFERROR(__xludf.DUMMYFUNCTION("""COMPUTED_VALUE"""),44200.66666666667)</f>
        <v>44200.66667</v>
      </c>
      <c r="B2649" s="2">
        <f>IFERROR(__xludf.DUMMYFUNCTION("""COMPUTED_VALUE"""),239.82)</f>
        <v>239.82</v>
      </c>
      <c r="C2649" s="2">
        <f>IFERROR(__xludf.DUMMYFUNCTION("""COMPUTED_VALUE"""),248.16)</f>
        <v>248.16</v>
      </c>
      <c r="D2649" s="2">
        <f>IFERROR(__xludf.DUMMYFUNCTION("""COMPUTED_VALUE"""),239.06)</f>
        <v>239.06</v>
      </c>
      <c r="E2649" s="2">
        <f>IFERROR(__xludf.DUMMYFUNCTION("""COMPUTED_VALUE"""),243.26)</f>
        <v>243.26</v>
      </c>
      <c r="F2649" s="2">
        <f>IFERROR(__xludf.DUMMYFUNCTION("""COMPUTED_VALUE"""),4.8638189E7)</f>
        <v>48638189</v>
      </c>
    </row>
    <row r="2650">
      <c r="A2650" s="3">
        <f>IFERROR(__xludf.DUMMYFUNCTION("""COMPUTED_VALUE"""),44201.66666666667)</f>
        <v>44201.66667</v>
      </c>
      <c r="B2650" s="2">
        <f>IFERROR(__xludf.DUMMYFUNCTION("""COMPUTED_VALUE"""),241.22)</f>
        <v>241.22</v>
      </c>
      <c r="C2650" s="2">
        <f>IFERROR(__xludf.DUMMYFUNCTION("""COMPUTED_VALUE"""),246.95)</f>
        <v>246.95</v>
      </c>
      <c r="D2650" s="2">
        <f>IFERROR(__xludf.DUMMYFUNCTION("""COMPUTED_VALUE"""),239.73)</f>
        <v>239.73</v>
      </c>
      <c r="E2650" s="2">
        <f>IFERROR(__xludf.DUMMYFUNCTION("""COMPUTED_VALUE"""),245.04)</f>
        <v>245.04</v>
      </c>
      <c r="F2650" s="2">
        <f>IFERROR(__xludf.DUMMYFUNCTION("""COMPUTED_VALUE"""),3.2245165E7)</f>
        <v>32245165</v>
      </c>
    </row>
    <row r="2651">
      <c r="A2651" s="3">
        <f>IFERROR(__xludf.DUMMYFUNCTION("""COMPUTED_VALUE"""),44202.66666666667)</f>
        <v>44202.66667</v>
      </c>
      <c r="B2651" s="2">
        <f>IFERROR(__xludf.DUMMYFUNCTION("""COMPUTED_VALUE"""),252.83)</f>
        <v>252.83</v>
      </c>
      <c r="C2651" s="2">
        <f>IFERROR(__xludf.DUMMYFUNCTION("""COMPUTED_VALUE"""),258.0)</f>
        <v>258</v>
      </c>
      <c r="D2651" s="2">
        <f>IFERROR(__xludf.DUMMYFUNCTION("""COMPUTED_VALUE"""),249.7)</f>
        <v>249.7</v>
      </c>
      <c r="E2651" s="2">
        <f>IFERROR(__xludf.DUMMYFUNCTION("""COMPUTED_VALUE"""),251.99)</f>
        <v>251.99</v>
      </c>
      <c r="F2651" s="2">
        <f>IFERROR(__xludf.DUMMYFUNCTION("""COMPUTED_VALUE"""),4.4699965E7)</f>
        <v>44699965</v>
      </c>
    </row>
    <row r="2652">
      <c r="A2652" s="3">
        <f>IFERROR(__xludf.DUMMYFUNCTION("""COMPUTED_VALUE"""),44203.66666666667)</f>
        <v>44203.66667</v>
      </c>
      <c r="B2652" s="2">
        <f>IFERROR(__xludf.DUMMYFUNCTION("""COMPUTED_VALUE"""),259.21)</f>
        <v>259.21</v>
      </c>
      <c r="C2652" s="2">
        <f>IFERROR(__xludf.DUMMYFUNCTION("""COMPUTED_VALUE"""),272.33)</f>
        <v>272.33</v>
      </c>
      <c r="D2652" s="2">
        <f>IFERROR(__xludf.DUMMYFUNCTION("""COMPUTED_VALUE"""),258.4)</f>
        <v>258.4</v>
      </c>
      <c r="E2652" s="2">
        <f>IFERROR(__xludf.DUMMYFUNCTION("""COMPUTED_VALUE"""),272.01)</f>
        <v>272.01</v>
      </c>
      <c r="F2652" s="2">
        <f>IFERROR(__xludf.DUMMYFUNCTION("""COMPUTED_VALUE"""),5.1498948E7)</f>
        <v>51498948</v>
      </c>
    </row>
    <row r="2653">
      <c r="A2653" s="3">
        <f>IFERROR(__xludf.DUMMYFUNCTION("""COMPUTED_VALUE"""),44204.66666666667)</f>
        <v>44204.66667</v>
      </c>
      <c r="B2653" s="2">
        <f>IFERROR(__xludf.DUMMYFUNCTION("""COMPUTED_VALUE"""),285.33)</f>
        <v>285.33</v>
      </c>
      <c r="C2653" s="2">
        <f>IFERROR(__xludf.DUMMYFUNCTION("""COMPUTED_VALUE"""),294.83)</f>
        <v>294.83</v>
      </c>
      <c r="D2653" s="2">
        <f>IFERROR(__xludf.DUMMYFUNCTION("""COMPUTED_VALUE"""),279.46)</f>
        <v>279.46</v>
      </c>
      <c r="E2653" s="2">
        <f>IFERROR(__xludf.DUMMYFUNCTION("""COMPUTED_VALUE"""),293.34)</f>
        <v>293.34</v>
      </c>
      <c r="F2653" s="2">
        <f>IFERROR(__xludf.DUMMYFUNCTION("""COMPUTED_VALUE"""),7.5055528E7)</f>
        <v>75055528</v>
      </c>
    </row>
    <row r="2654">
      <c r="A2654" s="3">
        <f>IFERROR(__xludf.DUMMYFUNCTION("""COMPUTED_VALUE"""),44207.66666666667)</f>
        <v>44207.66667</v>
      </c>
      <c r="B2654" s="2">
        <f>IFERROR(__xludf.DUMMYFUNCTION("""COMPUTED_VALUE"""),283.13)</f>
        <v>283.13</v>
      </c>
      <c r="C2654" s="2">
        <f>IFERROR(__xludf.DUMMYFUNCTION("""COMPUTED_VALUE"""),284.81)</f>
        <v>284.81</v>
      </c>
      <c r="D2654" s="2">
        <f>IFERROR(__xludf.DUMMYFUNCTION("""COMPUTED_VALUE"""),267.87)</f>
        <v>267.87</v>
      </c>
      <c r="E2654" s="2">
        <f>IFERROR(__xludf.DUMMYFUNCTION("""COMPUTED_VALUE"""),270.4)</f>
        <v>270.4</v>
      </c>
      <c r="F2654" s="2">
        <f>IFERROR(__xludf.DUMMYFUNCTION("""COMPUTED_VALUE"""),5.9554146E7)</f>
        <v>59554146</v>
      </c>
    </row>
    <row r="2655">
      <c r="A2655" s="3">
        <f>IFERROR(__xludf.DUMMYFUNCTION("""COMPUTED_VALUE"""),44208.66666666667)</f>
        <v>44208.66667</v>
      </c>
      <c r="B2655" s="2">
        <f>IFERROR(__xludf.DUMMYFUNCTION("""COMPUTED_VALUE"""),277.0)</f>
        <v>277</v>
      </c>
      <c r="C2655" s="2">
        <f>IFERROR(__xludf.DUMMYFUNCTION("""COMPUTED_VALUE"""),289.33)</f>
        <v>289.33</v>
      </c>
      <c r="D2655" s="2">
        <f>IFERROR(__xludf.DUMMYFUNCTION("""COMPUTED_VALUE"""),275.78)</f>
        <v>275.78</v>
      </c>
      <c r="E2655" s="2">
        <f>IFERROR(__xludf.DUMMYFUNCTION("""COMPUTED_VALUE"""),283.15)</f>
        <v>283.15</v>
      </c>
      <c r="F2655" s="2">
        <f>IFERROR(__xludf.DUMMYFUNCTION("""COMPUTED_VALUE"""),4.627072E7)</f>
        <v>46270720</v>
      </c>
    </row>
    <row r="2656">
      <c r="A2656" s="3">
        <f>IFERROR(__xludf.DUMMYFUNCTION("""COMPUTED_VALUE"""),44209.66666666667)</f>
        <v>44209.66667</v>
      </c>
      <c r="B2656" s="2">
        <f>IFERROR(__xludf.DUMMYFUNCTION("""COMPUTED_VALUE"""),284.25)</f>
        <v>284.25</v>
      </c>
      <c r="C2656" s="2">
        <f>IFERROR(__xludf.DUMMYFUNCTION("""COMPUTED_VALUE"""),286.82)</f>
        <v>286.82</v>
      </c>
      <c r="D2656" s="2">
        <f>IFERROR(__xludf.DUMMYFUNCTION("""COMPUTED_VALUE"""),277.33)</f>
        <v>277.33</v>
      </c>
      <c r="E2656" s="2">
        <f>IFERROR(__xludf.DUMMYFUNCTION("""COMPUTED_VALUE"""),284.8)</f>
        <v>284.8</v>
      </c>
      <c r="F2656" s="2">
        <f>IFERROR(__xludf.DUMMYFUNCTION("""COMPUTED_VALUE"""),3.3312496E7)</f>
        <v>33312496</v>
      </c>
    </row>
    <row r="2657">
      <c r="A2657" s="3">
        <f>IFERROR(__xludf.DUMMYFUNCTION("""COMPUTED_VALUE"""),44210.66666666667)</f>
        <v>44210.66667</v>
      </c>
      <c r="B2657" s="2">
        <f>IFERROR(__xludf.DUMMYFUNCTION("""COMPUTED_VALUE"""),281.13)</f>
        <v>281.13</v>
      </c>
      <c r="C2657" s="2">
        <f>IFERROR(__xludf.DUMMYFUNCTION("""COMPUTED_VALUE"""),287.67)</f>
        <v>287.67</v>
      </c>
      <c r="D2657" s="2">
        <f>IFERROR(__xludf.DUMMYFUNCTION("""COMPUTED_VALUE"""),279.58)</f>
        <v>279.58</v>
      </c>
      <c r="E2657" s="2">
        <f>IFERROR(__xludf.DUMMYFUNCTION("""COMPUTED_VALUE"""),281.67)</f>
        <v>281.67</v>
      </c>
      <c r="F2657" s="2">
        <f>IFERROR(__xludf.DUMMYFUNCTION("""COMPUTED_VALUE"""),3.1266327E7)</f>
        <v>31266327</v>
      </c>
    </row>
    <row r="2658">
      <c r="A2658" s="3">
        <f>IFERROR(__xludf.DUMMYFUNCTION("""COMPUTED_VALUE"""),44211.66666666667)</f>
        <v>44211.66667</v>
      </c>
      <c r="B2658" s="2">
        <f>IFERROR(__xludf.DUMMYFUNCTION("""COMPUTED_VALUE"""),284.0)</f>
        <v>284</v>
      </c>
      <c r="C2658" s="2">
        <f>IFERROR(__xludf.DUMMYFUNCTION("""COMPUTED_VALUE"""),286.63)</f>
        <v>286.63</v>
      </c>
      <c r="D2658" s="2">
        <f>IFERROR(__xludf.DUMMYFUNCTION("""COMPUTED_VALUE"""),273.03)</f>
        <v>273.03</v>
      </c>
      <c r="E2658" s="2">
        <f>IFERROR(__xludf.DUMMYFUNCTION("""COMPUTED_VALUE"""),275.39)</f>
        <v>275.39</v>
      </c>
      <c r="F2658" s="2">
        <f>IFERROR(__xludf.DUMMYFUNCTION("""COMPUTED_VALUE"""),3.8777596E7)</f>
        <v>38777596</v>
      </c>
    </row>
    <row r="2659">
      <c r="A2659" s="3">
        <f>IFERROR(__xludf.DUMMYFUNCTION("""COMPUTED_VALUE"""),44215.66666666667)</f>
        <v>44215.66667</v>
      </c>
      <c r="B2659" s="2">
        <f>IFERROR(__xludf.DUMMYFUNCTION("""COMPUTED_VALUE"""),279.27)</f>
        <v>279.27</v>
      </c>
      <c r="C2659" s="2">
        <f>IFERROR(__xludf.DUMMYFUNCTION("""COMPUTED_VALUE"""),283.33)</f>
        <v>283.33</v>
      </c>
      <c r="D2659" s="2">
        <f>IFERROR(__xludf.DUMMYFUNCTION("""COMPUTED_VALUE"""),277.67)</f>
        <v>277.67</v>
      </c>
      <c r="E2659" s="2">
        <f>IFERROR(__xludf.DUMMYFUNCTION("""COMPUTED_VALUE"""),281.52)</f>
        <v>281.52</v>
      </c>
      <c r="F2659" s="2">
        <f>IFERROR(__xludf.DUMMYFUNCTION("""COMPUTED_VALUE"""),2.536698E7)</f>
        <v>25366980</v>
      </c>
    </row>
    <row r="2660">
      <c r="A2660" s="3">
        <f>IFERROR(__xludf.DUMMYFUNCTION("""COMPUTED_VALUE"""),44216.66666666667)</f>
        <v>44216.66667</v>
      </c>
      <c r="B2660" s="2">
        <f>IFERROR(__xludf.DUMMYFUNCTION("""COMPUTED_VALUE"""),286.25)</f>
        <v>286.25</v>
      </c>
      <c r="C2660" s="2">
        <f>IFERROR(__xludf.DUMMYFUNCTION("""COMPUTED_VALUE"""),286.5)</f>
        <v>286.5</v>
      </c>
      <c r="D2660" s="2">
        <f>IFERROR(__xludf.DUMMYFUNCTION("""COMPUTED_VALUE"""),279.09)</f>
        <v>279.09</v>
      </c>
      <c r="E2660" s="2">
        <f>IFERROR(__xludf.DUMMYFUNCTION("""COMPUTED_VALUE"""),283.48)</f>
        <v>283.48</v>
      </c>
      <c r="F2660" s="2">
        <f>IFERROR(__xludf.DUMMYFUNCTION("""COMPUTED_VALUE"""),2.5665883E7)</f>
        <v>25665883</v>
      </c>
    </row>
    <row r="2661">
      <c r="A2661" s="3">
        <f>IFERROR(__xludf.DUMMYFUNCTION("""COMPUTED_VALUE"""),44217.66666666667)</f>
        <v>44217.66667</v>
      </c>
      <c r="B2661" s="2">
        <f>IFERROR(__xludf.DUMMYFUNCTION("""COMPUTED_VALUE"""),285.0)</f>
        <v>285</v>
      </c>
      <c r="C2661" s="2">
        <f>IFERROR(__xludf.DUMMYFUNCTION("""COMPUTED_VALUE"""),285.24)</f>
        <v>285.24</v>
      </c>
      <c r="D2661" s="2">
        <f>IFERROR(__xludf.DUMMYFUNCTION("""COMPUTED_VALUE"""),280.47)</f>
        <v>280.47</v>
      </c>
      <c r="E2661" s="2">
        <f>IFERROR(__xludf.DUMMYFUNCTION("""COMPUTED_VALUE"""),281.66)</f>
        <v>281.66</v>
      </c>
      <c r="F2661" s="2">
        <f>IFERROR(__xludf.DUMMYFUNCTION("""COMPUTED_VALUE"""),2.0598133E7)</f>
        <v>20598133</v>
      </c>
    </row>
    <row r="2662">
      <c r="A2662" s="3">
        <f>IFERROR(__xludf.DUMMYFUNCTION("""COMPUTED_VALUE"""),44218.66666666667)</f>
        <v>44218.66667</v>
      </c>
      <c r="B2662" s="2">
        <f>IFERROR(__xludf.DUMMYFUNCTION("""COMPUTED_VALUE"""),278.1)</f>
        <v>278.1</v>
      </c>
      <c r="C2662" s="2">
        <f>IFERROR(__xludf.DUMMYFUNCTION("""COMPUTED_VALUE"""),282.67)</f>
        <v>282.67</v>
      </c>
      <c r="D2662" s="2">
        <f>IFERROR(__xludf.DUMMYFUNCTION("""COMPUTED_VALUE"""),276.21)</f>
        <v>276.21</v>
      </c>
      <c r="E2662" s="2">
        <f>IFERROR(__xludf.DUMMYFUNCTION("""COMPUTED_VALUE"""),282.21)</f>
        <v>282.21</v>
      </c>
      <c r="F2662" s="2">
        <f>IFERROR(__xludf.DUMMYFUNCTION("""COMPUTED_VALUE"""),2.0066497E7)</f>
        <v>20066497</v>
      </c>
    </row>
    <row r="2663">
      <c r="A2663" s="3">
        <f>IFERROR(__xludf.DUMMYFUNCTION("""COMPUTED_VALUE"""),44221.66666666667)</f>
        <v>44221.66667</v>
      </c>
      <c r="B2663" s="2">
        <f>IFERROR(__xludf.DUMMYFUNCTION("""COMPUTED_VALUE"""),285.0)</f>
        <v>285</v>
      </c>
      <c r="C2663" s="2">
        <f>IFERROR(__xludf.DUMMYFUNCTION("""COMPUTED_VALUE"""),300.13)</f>
        <v>300.13</v>
      </c>
      <c r="D2663" s="2">
        <f>IFERROR(__xludf.DUMMYFUNCTION("""COMPUTED_VALUE"""),279.61)</f>
        <v>279.61</v>
      </c>
      <c r="E2663" s="2">
        <f>IFERROR(__xludf.DUMMYFUNCTION("""COMPUTED_VALUE"""),293.6)</f>
        <v>293.6</v>
      </c>
      <c r="F2663" s="2">
        <f>IFERROR(__xludf.DUMMYFUNCTION("""COMPUTED_VALUE"""),4.1173397E7)</f>
        <v>41173397</v>
      </c>
    </row>
    <row r="2664">
      <c r="A2664" s="3">
        <f>IFERROR(__xludf.DUMMYFUNCTION("""COMPUTED_VALUE"""),44222.66666666667)</f>
        <v>44222.66667</v>
      </c>
      <c r="B2664" s="2">
        <f>IFERROR(__xludf.DUMMYFUNCTION("""COMPUTED_VALUE"""),297.13)</f>
        <v>297.13</v>
      </c>
      <c r="C2664" s="2">
        <f>IFERROR(__xludf.DUMMYFUNCTION("""COMPUTED_VALUE"""),298.63)</f>
        <v>298.63</v>
      </c>
      <c r="D2664" s="2">
        <f>IFERROR(__xludf.DUMMYFUNCTION("""COMPUTED_VALUE"""),290.53)</f>
        <v>290.53</v>
      </c>
      <c r="E2664" s="2">
        <f>IFERROR(__xludf.DUMMYFUNCTION("""COMPUTED_VALUE"""),294.36)</f>
        <v>294.36</v>
      </c>
      <c r="F2664" s="2">
        <f>IFERROR(__xludf.DUMMYFUNCTION("""COMPUTED_VALUE"""),2.3131603E7)</f>
        <v>23131603</v>
      </c>
    </row>
    <row r="2665">
      <c r="A2665" s="3">
        <f>IFERROR(__xludf.DUMMYFUNCTION("""COMPUTED_VALUE"""),44223.66666666667)</f>
        <v>44223.66667</v>
      </c>
      <c r="B2665" s="2">
        <f>IFERROR(__xludf.DUMMYFUNCTION("""COMPUTED_VALUE"""),290.12)</f>
        <v>290.12</v>
      </c>
      <c r="C2665" s="2">
        <f>IFERROR(__xludf.DUMMYFUNCTION("""COMPUTED_VALUE"""),297.17)</f>
        <v>297.17</v>
      </c>
      <c r="D2665" s="2">
        <f>IFERROR(__xludf.DUMMYFUNCTION("""COMPUTED_VALUE"""),286.22)</f>
        <v>286.22</v>
      </c>
      <c r="E2665" s="2">
        <f>IFERROR(__xludf.DUMMYFUNCTION("""COMPUTED_VALUE"""),288.05)</f>
        <v>288.05</v>
      </c>
      <c r="F2665" s="2">
        <f>IFERROR(__xludf.DUMMYFUNCTION("""COMPUTED_VALUE"""),2.7333955E7)</f>
        <v>27333955</v>
      </c>
    </row>
    <row r="2666">
      <c r="A2666" s="3">
        <f>IFERROR(__xludf.DUMMYFUNCTION("""COMPUTED_VALUE"""),44224.66666666667)</f>
        <v>44224.66667</v>
      </c>
      <c r="B2666" s="2">
        <f>IFERROR(__xludf.DUMMYFUNCTION("""COMPUTED_VALUE"""),273.33)</f>
        <v>273.33</v>
      </c>
      <c r="C2666" s="2">
        <f>IFERROR(__xludf.DUMMYFUNCTION("""COMPUTED_VALUE"""),282.67)</f>
        <v>282.67</v>
      </c>
      <c r="D2666" s="2">
        <f>IFERROR(__xludf.DUMMYFUNCTION("""COMPUTED_VALUE"""),267.0)</f>
        <v>267</v>
      </c>
      <c r="E2666" s="2">
        <f>IFERROR(__xludf.DUMMYFUNCTION("""COMPUTED_VALUE"""),278.48)</f>
        <v>278.48</v>
      </c>
      <c r="F2666" s="2">
        <f>IFERROR(__xludf.DUMMYFUNCTION("""COMPUTED_VALUE"""),2.6378048E7)</f>
        <v>26378048</v>
      </c>
    </row>
    <row r="2667">
      <c r="A2667" s="3">
        <f>IFERROR(__xludf.DUMMYFUNCTION("""COMPUTED_VALUE"""),44225.66666666667)</f>
        <v>44225.66667</v>
      </c>
      <c r="B2667" s="2">
        <f>IFERROR(__xludf.DUMMYFUNCTION("""COMPUTED_VALUE"""),276.67)</f>
        <v>276.67</v>
      </c>
      <c r="C2667" s="2">
        <f>IFERROR(__xludf.DUMMYFUNCTION("""COMPUTED_VALUE"""),280.8)</f>
        <v>280.8</v>
      </c>
      <c r="D2667" s="2">
        <f>IFERROR(__xludf.DUMMYFUNCTION("""COMPUTED_VALUE"""),260.03)</f>
        <v>260.03</v>
      </c>
      <c r="E2667" s="2">
        <f>IFERROR(__xludf.DUMMYFUNCTION("""COMPUTED_VALUE"""),264.51)</f>
        <v>264.51</v>
      </c>
      <c r="F2667" s="2">
        <f>IFERROR(__xludf.DUMMYFUNCTION("""COMPUTED_VALUE"""),3.4990754E7)</f>
        <v>34990754</v>
      </c>
    </row>
    <row r="2668">
      <c r="A2668" s="3">
        <f>IFERROR(__xludf.DUMMYFUNCTION("""COMPUTED_VALUE"""),44228.66666666667)</f>
        <v>44228.66667</v>
      </c>
      <c r="B2668" s="2">
        <f>IFERROR(__xludf.DUMMYFUNCTION("""COMPUTED_VALUE"""),271.43)</f>
        <v>271.43</v>
      </c>
      <c r="C2668" s="2">
        <f>IFERROR(__xludf.DUMMYFUNCTION("""COMPUTED_VALUE"""),280.67)</f>
        <v>280.67</v>
      </c>
      <c r="D2668" s="2">
        <f>IFERROR(__xludf.DUMMYFUNCTION("""COMPUTED_VALUE"""),265.19)</f>
        <v>265.19</v>
      </c>
      <c r="E2668" s="2">
        <f>IFERROR(__xludf.DUMMYFUNCTION("""COMPUTED_VALUE"""),279.94)</f>
        <v>279.94</v>
      </c>
      <c r="F2668" s="2">
        <f>IFERROR(__xludf.DUMMYFUNCTION("""COMPUTED_VALUE"""),2.5391385E7)</f>
        <v>25391385</v>
      </c>
    </row>
    <row r="2669">
      <c r="A2669" s="3">
        <f>IFERROR(__xludf.DUMMYFUNCTION("""COMPUTED_VALUE"""),44229.66666666667)</f>
        <v>44229.66667</v>
      </c>
      <c r="B2669" s="2">
        <f>IFERROR(__xludf.DUMMYFUNCTION("""COMPUTED_VALUE"""),281.56)</f>
        <v>281.56</v>
      </c>
      <c r="C2669" s="2">
        <f>IFERROR(__xludf.DUMMYFUNCTION("""COMPUTED_VALUE"""),293.5)</f>
        <v>293.5</v>
      </c>
      <c r="D2669" s="2">
        <f>IFERROR(__xludf.DUMMYFUNCTION("""COMPUTED_VALUE"""),280.73)</f>
        <v>280.73</v>
      </c>
      <c r="E2669" s="2">
        <f>IFERROR(__xludf.DUMMYFUNCTION("""COMPUTED_VALUE"""),290.93)</f>
        <v>290.93</v>
      </c>
      <c r="F2669" s="2">
        <f>IFERROR(__xludf.DUMMYFUNCTION("""COMPUTED_VALUE"""),2.4346213E7)</f>
        <v>24346213</v>
      </c>
    </row>
    <row r="2670">
      <c r="A2670" s="3">
        <f>IFERROR(__xludf.DUMMYFUNCTION("""COMPUTED_VALUE"""),44230.66666666667)</f>
        <v>44230.66667</v>
      </c>
      <c r="B2670" s="2">
        <f>IFERROR(__xludf.DUMMYFUNCTION("""COMPUTED_VALUE"""),292.34)</f>
        <v>292.34</v>
      </c>
      <c r="C2670" s="2">
        <f>IFERROR(__xludf.DUMMYFUNCTION("""COMPUTED_VALUE"""),292.69)</f>
        <v>292.69</v>
      </c>
      <c r="D2670" s="2">
        <f>IFERROR(__xludf.DUMMYFUNCTION("""COMPUTED_VALUE"""),284.35)</f>
        <v>284.35</v>
      </c>
      <c r="E2670" s="2">
        <f>IFERROR(__xludf.DUMMYFUNCTION("""COMPUTED_VALUE"""),284.9)</f>
        <v>284.9</v>
      </c>
      <c r="F2670" s="2">
        <f>IFERROR(__xludf.DUMMYFUNCTION("""COMPUTED_VALUE"""),1.834351E7)</f>
        <v>18343510</v>
      </c>
    </row>
    <row r="2671">
      <c r="A2671" s="3">
        <f>IFERROR(__xludf.DUMMYFUNCTION("""COMPUTED_VALUE"""),44231.66666666667)</f>
        <v>44231.66667</v>
      </c>
      <c r="B2671" s="2">
        <f>IFERROR(__xludf.DUMMYFUNCTION("""COMPUTED_VALUE"""),285.0)</f>
        <v>285</v>
      </c>
      <c r="C2671" s="2">
        <f>IFERROR(__xludf.DUMMYFUNCTION("""COMPUTED_VALUE"""),285.5)</f>
        <v>285.5</v>
      </c>
      <c r="D2671" s="2">
        <f>IFERROR(__xludf.DUMMYFUNCTION("""COMPUTED_VALUE"""),277.81)</f>
        <v>277.81</v>
      </c>
      <c r="E2671" s="2">
        <f>IFERROR(__xludf.DUMMYFUNCTION("""COMPUTED_VALUE"""),283.33)</f>
        <v>283.33</v>
      </c>
      <c r="F2671" s="2">
        <f>IFERROR(__xludf.DUMMYFUNCTION("""COMPUTED_VALUE"""),1.5812661E7)</f>
        <v>15812661</v>
      </c>
    </row>
    <row r="2672">
      <c r="A2672" s="3">
        <f>IFERROR(__xludf.DUMMYFUNCTION("""COMPUTED_VALUE"""),44232.66666666667)</f>
        <v>44232.66667</v>
      </c>
      <c r="B2672" s="2">
        <f>IFERROR(__xludf.DUMMYFUNCTION("""COMPUTED_VALUE"""),281.67)</f>
        <v>281.67</v>
      </c>
      <c r="C2672" s="2">
        <f>IFERROR(__xludf.DUMMYFUNCTION("""COMPUTED_VALUE"""),288.26)</f>
        <v>288.26</v>
      </c>
      <c r="D2672" s="2">
        <f>IFERROR(__xludf.DUMMYFUNCTION("""COMPUTED_VALUE"""),279.66)</f>
        <v>279.66</v>
      </c>
      <c r="E2672" s="2">
        <f>IFERROR(__xludf.DUMMYFUNCTION("""COMPUTED_VALUE"""),284.08)</f>
        <v>284.08</v>
      </c>
      <c r="F2672" s="2">
        <f>IFERROR(__xludf.DUMMYFUNCTION("""COMPUTED_VALUE"""),1.8566637E7)</f>
        <v>18566637</v>
      </c>
    </row>
    <row r="2673">
      <c r="A2673" s="3">
        <f>IFERROR(__xludf.DUMMYFUNCTION("""COMPUTED_VALUE"""),44235.66666666667)</f>
        <v>44235.66667</v>
      </c>
      <c r="B2673" s="2">
        <f>IFERROR(__xludf.DUMMYFUNCTION("""COMPUTED_VALUE"""),289.89)</f>
        <v>289.89</v>
      </c>
      <c r="C2673" s="2">
        <f>IFERROR(__xludf.DUMMYFUNCTION("""COMPUTED_VALUE"""),292.59)</f>
        <v>292.59</v>
      </c>
      <c r="D2673" s="2">
        <f>IFERROR(__xludf.DUMMYFUNCTION("""COMPUTED_VALUE"""),284.92)</f>
        <v>284.92</v>
      </c>
      <c r="E2673" s="2">
        <f>IFERROR(__xludf.DUMMYFUNCTION("""COMPUTED_VALUE"""),287.81)</f>
        <v>287.81</v>
      </c>
      <c r="F2673" s="2">
        <f>IFERROR(__xludf.DUMMYFUNCTION("""COMPUTED_VALUE"""),2.0161719E7)</f>
        <v>20161719</v>
      </c>
    </row>
    <row r="2674">
      <c r="A2674" s="3">
        <f>IFERROR(__xludf.DUMMYFUNCTION("""COMPUTED_VALUE"""),44236.66666666667)</f>
        <v>44236.66667</v>
      </c>
      <c r="B2674" s="2">
        <f>IFERROR(__xludf.DUMMYFUNCTION("""COMPUTED_VALUE"""),285.04)</f>
        <v>285.04</v>
      </c>
      <c r="C2674" s="2">
        <f>IFERROR(__xludf.DUMMYFUNCTION("""COMPUTED_VALUE"""),286.6)</f>
        <v>286.6</v>
      </c>
      <c r="D2674" s="2">
        <f>IFERROR(__xludf.DUMMYFUNCTION("""COMPUTED_VALUE"""),280.58)</f>
        <v>280.58</v>
      </c>
      <c r="E2674" s="2">
        <f>IFERROR(__xludf.DUMMYFUNCTION("""COMPUTED_VALUE"""),283.15)</f>
        <v>283.15</v>
      </c>
      <c r="F2674" s="2">
        <f>IFERROR(__xludf.DUMMYFUNCTION("""COMPUTED_VALUE"""),1.5157651E7)</f>
        <v>15157651</v>
      </c>
    </row>
    <row r="2675">
      <c r="A2675" s="3">
        <f>IFERROR(__xludf.DUMMYFUNCTION("""COMPUTED_VALUE"""),44237.66666666667)</f>
        <v>44237.66667</v>
      </c>
      <c r="B2675" s="2">
        <f>IFERROR(__xludf.DUMMYFUNCTION("""COMPUTED_VALUE"""),281.21)</f>
        <v>281.21</v>
      </c>
      <c r="C2675" s="2">
        <f>IFERROR(__xludf.DUMMYFUNCTION("""COMPUTED_VALUE"""),281.61)</f>
        <v>281.61</v>
      </c>
      <c r="D2675" s="2">
        <f>IFERROR(__xludf.DUMMYFUNCTION("""COMPUTED_VALUE"""),266.67)</f>
        <v>266.67</v>
      </c>
      <c r="E2675" s="2">
        <f>IFERROR(__xludf.DUMMYFUNCTION("""COMPUTED_VALUE"""),268.27)</f>
        <v>268.27</v>
      </c>
      <c r="F2675" s="2">
        <f>IFERROR(__xludf.DUMMYFUNCTION("""COMPUTED_VALUE"""),3.621609E7)</f>
        <v>36216090</v>
      </c>
    </row>
    <row r="2676">
      <c r="A2676" s="3">
        <f>IFERROR(__xludf.DUMMYFUNCTION("""COMPUTED_VALUE"""),44238.66666666667)</f>
        <v>44238.66667</v>
      </c>
      <c r="B2676" s="2">
        <f>IFERROR(__xludf.DUMMYFUNCTION("""COMPUTED_VALUE"""),270.81)</f>
        <v>270.81</v>
      </c>
      <c r="C2676" s="2">
        <f>IFERROR(__xludf.DUMMYFUNCTION("""COMPUTED_VALUE"""),276.63)</f>
        <v>276.63</v>
      </c>
      <c r="D2676" s="2">
        <f>IFERROR(__xludf.DUMMYFUNCTION("""COMPUTED_VALUE"""),267.24)</f>
        <v>267.24</v>
      </c>
      <c r="E2676" s="2">
        <f>IFERROR(__xludf.DUMMYFUNCTION("""COMPUTED_VALUE"""),270.55)</f>
        <v>270.55</v>
      </c>
      <c r="F2676" s="2">
        <f>IFERROR(__xludf.DUMMYFUNCTION("""COMPUTED_VALUE"""),2.1622753E7)</f>
        <v>21622753</v>
      </c>
    </row>
    <row r="2677">
      <c r="A2677" s="3">
        <f>IFERROR(__xludf.DUMMYFUNCTION("""COMPUTED_VALUE"""),44239.66666666667)</f>
        <v>44239.66667</v>
      </c>
      <c r="B2677" s="2">
        <f>IFERROR(__xludf.DUMMYFUNCTION("""COMPUTED_VALUE"""),267.09)</f>
        <v>267.09</v>
      </c>
      <c r="C2677" s="2">
        <f>IFERROR(__xludf.DUMMYFUNCTION("""COMPUTED_VALUE"""),272.44)</f>
        <v>272.44</v>
      </c>
      <c r="D2677" s="2">
        <f>IFERROR(__xludf.DUMMYFUNCTION("""COMPUTED_VALUE"""),261.78)</f>
        <v>261.78</v>
      </c>
      <c r="E2677" s="2">
        <f>IFERROR(__xludf.DUMMYFUNCTION("""COMPUTED_VALUE"""),272.04)</f>
        <v>272.04</v>
      </c>
      <c r="F2677" s="2">
        <f>IFERROR(__xludf.DUMMYFUNCTION("""COMPUTED_VALUE"""),2.3768313E7)</f>
        <v>23768313</v>
      </c>
    </row>
    <row r="2678">
      <c r="A2678" s="3">
        <f>IFERROR(__xludf.DUMMYFUNCTION("""COMPUTED_VALUE"""),44243.66666666667)</f>
        <v>44243.66667</v>
      </c>
      <c r="B2678" s="2">
        <f>IFERROR(__xludf.DUMMYFUNCTION("""COMPUTED_VALUE"""),272.67)</f>
        <v>272.67</v>
      </c>
      <c r="C2678" s="2">
        <f>IFERROR(__xludf.DUMMYFUNCTION("""COMPUTED_VALUE"""),273.67)</f>
        <v>273.67</v>
      </c>
      <c r="D2678" s="2">
        <f>IFERROR(__xludf.DUMMYFUNCTION("""COMPUTED_VALUE"""),264.15)</f>
        <v>264.15</v>
      </c>
      <c r="E2678" s="2">
        <f>IFERROR(__xludf.DUMMYFUNCTION("""COMPUTED_VALUE"""),265.41)</f>
        <v>265.41</v>
      </c>
      <c r="F2678" s="2">
        <f>IFERROR(__xludf.DUMMYFUNCTION("""COMPUTED_VALUE"""),1.9802324E7)</f>
        <v>19802324</v>
      </c>
    </row>
    <row r="2679">
      <c r="A2679" s="3">
        <f>IFERROR(__xludf.DUMMYFUNCTION("""COMPUTED_VALUE"""),44244.66666666667)</f>
        <v>44244.66667</v>
      </c>
      <c r="B2679" s="2">
        <f>IFERROR(__xludf.DUMMYFUNCTION("""COMPUTED_VALUE"""),259.7)</f>
        <v>259.7</v>
      </c>
      <c r="C2679" s="2">
        <f>IFERROR(__xludf.DUMMYFUNCTION("""COMPUTED_VALUE"""),266.61)</f>
        <v>266.61</v>
      </c>
      <c r="D2679" s="2">
        <f>IFERROR(__xludf.DUMMYFUNCTION("""COMPUTED_VALUE"""),254.0)</f>
        <v>254</v>
      </c>
      <c r="E2679" s="2">
        <f>IFERROR(__xludf.DUMMYFUNCTION("""COMPUTED_VALUE"""),266.05)</f>
        <v>266.05</v>
      </c>
      <c r="F2679" s="2">
        <f>IFERROR(__xludf.DUMMYFUNCTION("""COMPUTED_VALUE"""),2.6078898E7)</f>
        <v>26078898</v>
      </c>
    </row>
    <row r="2680">
      <c r="A2680" s="3">
        <f>IFERROR(__xludf.DUMMYFUNCTION("""COMPUTED_VALUE"""),44245.66666666667)</f>
        <v>44245.66667</v>
      </c>
      <c r="B2680" s="2">
        <f>IFERROR(__xludf.DUMMYFUNCTION("""COMPUTED_VALUE"""),260.3)</f>
        <v>260.3</v>
      </c>
      <c r="C2680" s="2">
        <f>IFERROR(__xludf.DUMMYFUNCTION("""COMPUTED_VALUE"""),264.9)</f>
        <v>264.9</v>
      </c>
      <c r="D2680" s="2">
        <f>IFERROR(__xludf.DUMMYFUNCTION("""COMPUTED_VALUE"""),258.76)</f>
        <v>258.76</v>
      </c>
      <c r="E2680" s="2">
        <f>IFERROR(__xludf.DUMMYFUNCTION("""COMPUTED_VALUE"""),262.46)</f>
        <v>262.46</v>
      </c>
      <c r="F2680" s="2">
        <f>IFERROR(__xludf.DUMMYFUNCTION("""COMPUTED_VALUE"""),1.7957058E7)</f>
        <v>17957058</v>
      </c>
    </row>
    <row r="2681">
      <c r="A2681" s="3">
        <f>IFERROR(__xludf.DUMMYFUNCTION("""COMPUTED_VALUE"""),44246.66666666667)</f>
        <v>44246.66667</v>
      </c>
      <c r="B2681" s="2">
        <f>IFERROR(__xludf.DUMMYFUNCTION("""COMPUTED_VALUE"""),265.0)</f>
        <v>265</v>
      </c>
      <c r="C2681" s="2">
        <f>IFERROR(__xludf.DUMMYFUNCTION("""COMPUTED_VALUE"""),265.6)</f>
        <v>265.6</v>
      </c>
      <c r="D2681" s="2">
        <f>IFERROR(__xludf.DUMMYFUNCTION("""COMPUTED_VALUE"""),259.12)</f>
        <v>259.12</v>
      </c>
      <c r="E2681" s="2">
        <f>IFERROR(__xludf.DUMMYFUNCTION("""COMPUTED_VALUE"""),260.43)</f>
        <v>260.43</v>
      </c>
      <c r="F2681" s="2">
        <f>IFERROR(__xludf.DUMMYFUNCTION("""COMPUTED_VALUE"""),1.8958255E7)</f>
        <v>18958255</v>
      </c>
    </row>
    <row r="2682">
      <c r="A2682" s="3">
        <f>IFERROR(__xludf.DUMMYFUNCTION("""COMPUTED_VALUE"""),44249.66666666667)</f>
        <v>44249.66667</v>
      </c>
      <c r="B2682" s="2">
        <f>IFERROR(__xludf.DUMMYFUNCTION("""COMPUTED_VALUE"""),254.21)</f>
        <v>254.21</v>
      </c>
      <c r="C2682" s="2">
        <f>IFERROR(__xludf.DUMMYFUNCTION("""COMPUTED_VALUE"""),256.17)</f>
        <v>256.17</v>
      </c>
      <c r="D2682" s="2">
        <f>IFERROR(__xludf.DUMMYFUNCTION("""COMPUTED_VALUE"""),236.73)</f>
        <v>236.73</v>
      </c>
      <c r="E2682" s="2">
        <f>IFERROR(__xludf.DUMMYFUNCTION("""COMPUTED_VALUE"""),238.17)</f>
        <v>238.17</v>
      </c>
      <c r="F2682" s="2">
        <f>IFERROR(__xludf.DUMMYFUNCTION("""COMPUTED_VALUE"""),3.7269716E7)</f>
        <v>37269716</v>
      </c>
    </row>
    <row r="2683">
      <c r="A2683" s="3">
        <f>IFERROR(__xludf.DUMMYFUNCTION("""COMPUTED_VALUE"""),44250.66666666667)</f>
        <v>44250.66667</v>
      </c>
      <c r="B2683" s="2">
        <f>IFERROR(__xludf.DUMMYFUNCTION("""COMPUTED_VALUE"""),220.71)</f>
        <v>220.71</v>
      </c>
      <c r="C2683" s="2">
        <f>IFERROR(__xludf.DUMMYFUNCTION("""COMPUTED_VALUE"""),237.87)</f>
        <v>237.87</v>
      </c>
      <c r="D2683" s="2">
        <f>IFERROR(__xludf.DUMMYFUNCTION("""COMPUTED_VALUE"""),206.33)</f>
        <v>206.33</v>
      </c>
      <c r="E2683" s="2">
        <f>IFERROR(__xludf.DUMMYFUNCTION("""COMPUTED_VALUE"""),232.95)</f>
        <v>232.95</v>
      </c>
      <c r="F2683" s="2">
        <f>IFERROR(__xludf.DUMMYFUNCTION("""COMPUTED_VALUE"""),6.6606882E7)</f>
        <v>66606882</v>
      </c>
    </row>
    <row r="2684">
      <c r="A2684" s="3">
        <f>IFERROR(__xludf.DUMMYFUNCTION("""COMPUTED_VALUE"""),44251.66666666667)</f>
        <v>44251.66667</v>
      </c>
      <c r="B2684" s="2">
        <f>IFERROR(__xludf.DUMMYFUNCTION("""COMPUTED_VALUE"""),237.28)</f>
        <v>237.28</v>
      </c>
      <c r="C2684" s="2">
        <f>IFERROR(__xludf.DUMMYFUNCTION("""COMPUTED_VALUE"""),248.33)</f>
        <v>248.33</v>
      </c>
      <c r="D2684" s="2">
        <f>IFERROR(__xludf.DUMMYFUNCTION("""COMPUTED_VALUE"""),231.39)</f>
        <v>231.39</v>
      </c>
      <c r="E2684" s="2">
        <f>IFERROR(__xludf.DUMMYFUNCTION("""COMPUTED_VALUE"""),247.34)</f>
        <v>247.34</v>
      </c>
      <c r="F2684" s="2">
        <f>IFERROR(__xludf.DUMMYFUNCTION("""COMPUTED_VALUE"""),3.676695E7)</f>
        <v>36766950</v>
      </c>
    </row>
    <row r="2685">
      <c r="A2685" s="3">
        <f>IFERROR(__xludf.DUMMYFUNCTION("""COMPUTED_VALUE"""),44252.66666666667)</f>
        <v>44252.66667</v>
      </c>
      <c r="B2685" s="2">
        <f>IFERROR(__xludf.DUMMYFUNCTION("""COMPUTED_VALUE"""),242.05)</f>
        <v>242.05</v>
      </c>
      <c r="C2685" s="2">
        <f>IFERROR(__xludf.DUMMYFUNCTION("""COMPUTED_VALUE"""),245.74)</f>
        <v>245.74</v>
      </c>
      <c r="D2685" s="2">
        <f>IFERROR(__xludf.DUMMYFUNCTION("""COMPUTED_VALUE"""),223.53)</f>
        <v>223.53</v>
      </c>
      <c r="E2685" s="2">
        <f>IFERROR(__xludf.DUMMYFUNCTION("""COMPUTED_VALUE"""),227.41)</f>
        <v>227.41</v>
      </c>
      <c r="F2685" s="2">
        <f>IFERROR(__xludf.DUMMYFUNCTION("""COMPUTED_VALUE"""),3.9023855E7)</f>
        <v>39023855</v>
      </c>
    </row>
    <row r="2686">
      <c r="A2686" s="3">
        <f>IFERROR(__xludf.DUMMYFUNCTION("""COMPUTED_VALUE"""),44253.66666666667)</f>
        <v>44253.66667</v>
      </c>
      <c r="B2686" s="2">
        <f>IFERROR(__xludf.DUMMYFUNCTION("""COMPUTED_VALUE"""),233.33)</f>
        <v>233.33</v>
      </c>
      <c r="C2686" s="2">
        <f>IFERROR(__xludf.DUMMYFUNCTION("""COMPUTED_VALUE"""),235.57)</f>
        <v>235.57</v>
      </c>
      <c r="D2686" s="2">
        <f>IFERROR(__xludf.DUMMYFUNCTION("""COMPUTED_VALUE"""),219.84)</f>
        <v>219.84</v>
      </c>
      <c r="E2686" s="2">
        <f>IFERROR(__xludf.DUMMYFUNCTION("""COMPUTED_VALUE"""),225.17)</f>
        <v>225.17</v>
      </c>
      <c r="F2686" s="2">
        <f>IFERROR(__xludf.DUMMYFUNCTION("""COMPUTED_VALUE"""),4.1089173E7)</f>
        <v>41089173</v>
      </c>
    </row>
    <row r="2687">
      <c r="A2687" s="3">
        <f>IFERROR(__xludf.DUMMYFUNCTION("""COMPUTED_VALUE"""),44256.66666666667)</f>
        <v>44256.66667</v>
      </c>
      <c r="B2687" s="2">
        <f>IFERROR(__xludf.DUMMYFUNCTION("""COMPUTED_VALUE"""),230.04)</f>
        <v>230.04</v>
      </c>
      <c r="C2687" s="2">
        <f>IFERROR(__xludf.DUMMYFUNCTION("""COMPUTED_VALUE"""),290.67)</f>
        <v>290.67</v>
      </c>
      <c r="D2687" s="2">
        <f>IFERROR(__xludf.DUMMYFUNCTION("""COMPUTED_VALUE"""),228.35)</f>
        <v>228.35</v>
      </c>
      <c r="E2687" s="2">
        <f>IFERROR(__xludf.DUMMYFUNCTION("""COMPUTED_VALUE"""),239.48)</f>
        <v>239.48</v>
      </c>
      <c r="F2687" s="2">
        <f>IFERROR(__xludf.DUMMYFUNCTION("""COMPUTED_VALUE"""),2.7136239E7)</f>
        <v>27136239</v>
      </c>
    </row>
    <row r="2688">
      <c r="A2688" s="3">
        <f>IFERROR(__xludf.DUMMYFUNCTION("""COMPUTED_VALUE"""),44257.66666666667)</f>
        <v>44257.66667</v>
      </c>
      <c r="B2688" s="2">
        <f>IFERROR(__xludf.DUMMYFUNCTION("""COMPUTED_VALUE"""),239.43)</f>
        <v>239.43</v>
      </c>
      <c r="C2688" s="2">
        <f>IFERROR(__xludf.DUMMYFUNCTION("""COMPUTED_VALUE"""),240.37)</f>
        <v>240.37</v>
      </c>
      <c r="D2688" s="2">
        <f>IFERROR(__xludf.DUMMYFUNCTION("""COMPUTED_VALUE"""),228.33)</f>
        <v>228.33</v>
      </c>
      <c r="E2688" s="2">
        <f>IFERROR(__xludf.DUMMYFUNCTION("""COMPUTED_VALUE"""),228.81)</f>
        <v>228.81</v>
      </c>
      <c r="F2688" s="2">
        <f>IFERROR(__xludf.DUMMYFUNCTION("""COMPUTED_VALUE"""),2.3732158E7)</f>
        <v>23732158</v>
      </c>
    </row>
    <row r="2689">
      <c r="A2689" s="3">
        <f>IFERROR(__xludf.DUMMYFUNCTION("""COMPUTED_VALUE"""),44258.66666666667)</f>
        <v>44258.66667</v>
      </c>
      <c r="B2689" s="2">
        <f>IFERROR(__xludf.DUMMYFUNCTION("""COMPUTED_VALUE"""),229.33)</f>
        <v>229.33</v>
      </c>
      <c r="C2689" s="2">
        <f>IFERROR(__xludf.DUMMYFUNCTION("""COMPUTED_VALUE"""),233.57)</f>
        <v>233.57</v>
      </c>
      <c r="D2689" s="2">
        <f>IFERROR(__xludf.DUMMYFUNCTION("""COMPUTED_VALUE"""),217.24)</f>
        <v>217.24</v>
      </c>
      <c r="E2689" s="2">
        <f>IFERROR(__xludf.DUMMYFUNCTION("""COMPUTED_VALUE"""),217.73)</f>
        <v>217.73</v>
      </c>
      <c r="F2689" s="2">
        <f>IFERROR(__xludf.DUMMYFUNCTION("""COMPUTED_VALUE"""),3.020796E7)</f>
        <v>30207960</v>
      </c>
    </row>
    <row r="2690">
      <c r="A2690" s="3">
        <f>IFERROR(__xludf.DUMMYFUNCTION("""COMPUTED_VALUE"""),44259.66666666667)</f>
        <v>44259.66667</v>
      </c>
      <c r="B2690" s="2">
        <f>IFERROR(__xludf.DUMMYFUNCTION("""COMPUTED_VALUE"""),218.6)</f>
        <v>218.6</v>
      </c>
      <c r="C2690" s="2">
        <f>IFERROR(__xludf.DUMMYFUNCTION("""COMPUTED_VALUE"""),291.31)</f>
        <v>291.31</v>
      </c>
      <c r="D2690" s="2">
        <f>IFERROR(__xludf.DUMMYFUNCTION("""COMPUTED_VALUE"""),200.0)</f>
        <v>200</v>
      </c>
      <c r="E2690" s="2">
        <f>IFERROR(__xludf.DUMMYFUNCTION("""COMPUTED_VALUE"""),207.15)</f>
        <v>207.15</v>
      </c>
      <c r="F2690" s="2">
        <f>IFERROR(__xludf.DUMMYFUNCTION("""COMPUTED_VALUE"""),6.591953E7)</f>
        <v>65919530</v>
      </c>
    </row>
    <row r="2691">
      <c r="A2691" s="3">
        <f>IFERROR(__xludf.DUMMYFUNCTION("""COMPUTED_VALUE"""),44260.66666666667)</f>
        <v>44260.66667</v>
      </c>
      <c r="B2691" s="2">
        <f>IFERROR(__xludf.DUMMYFUNCTION("""COMPUTED_VALUE"""),208.69)</f>
        <v>208.69</v>
      </c>
      <c r="C2691" s="2">
        <f>IFERROR(__xludf.DUMMYFUNCTION("""COMPUTED_VALUE"""),209.28)</f>
        <v>209.28</v>
      </c>
      <c r="D2691" s="2">
        <f>IFERROR(__xludf.DUMMYFUNCTION("""COMPUTED_VALUE"""),179.83)</f>
        <v>179.83</v>
      </c>
      <c r="E2691" s="2">
        <f>IFERROR(__xludf.DUMMYFUNCTION("""COMPUTED_VALUE"""),199.32)</f>
        <v>199.32</v>
      </c>
      <c r="F2691" s="2">
        <f>IFERROR(__xludf.DUMMYFUNCTION("""COMPUTED_VALUE"""),8.9396459E7)</f>
        <v>89396459</v>
      </c>
    </row>
    <row r="2692">
      <c r="A2692" s="3">
        <f>IFERROR(__xludf.DUMMYFUNCTION("""COMPUTED_VALUE"""),44263.66666666667)</f>
        <v>44263.66667</v>
      </c>
      <c r="B2692" s="2">
        <f>IFERROR(__xludf.DUMMYFUNCTION("""COMPUTED_VALUE"""),200.18)</f>
        <v>200.18</v>
      </c>
      <c r="C2692" s="2">
        <f>IFERROR(__xludf.DUMMYFUNCTION("""COMPUTED_VALUE"""),206.71)</f>
        <v>206.71</v>
      </c>
      <c r="D2692" s="2">
        <f>IFERROR(__xludf.DUMMYFUNCTION("""COMPUTED_VALUE"""),186.26)</f>
        <v>186.26</v>
      </c>
      <c r="E2692" s="2">
        <f>IFERROR(__xludf.DUMMYFUNCTION("""COMPUTED_VALUE"""),187.67)</f>
        <v>187.67</v>
      </c>
      <c r="F2692" s="2">
        <f>IFERROR(__xludf.DUMMYFUNCTION("""COMPUTED_VALUE"""),5.1786958E7)</f>
        <v>51786958</v>
      </c>
    </row>
    <row r="2693">
      <c r="A2693" s="3">
        <f>IFERROR(__xludf.DUMMYFUNCTION("""COMPUTED_VALUE"""),44264.66666666667)</f>
        <v>44264.66667</v>
      </c>
      <c r="B2693" s="2">
        <f>IFERROR(__xludf.DUMMYFUNCTION("""COMPUTED_VALUE"""),202.73)</f>
        <v>202.73</v>
      </c>
      <c r="C2693" s="2">
        <f>IFERROR(__xludf.DUMMYFUNCTION("""COMPUTED_VALUE"""),226.03)</f>
        <v>226.03</v>
      </c>
      <c r="D2693" s="2">
        <f>IFERROR(__xludf.DUMMYFUNCTION("""COMPUTED_VALUE"""),198.4)</f>
        <v>198.4</v>
      </c>
      <c r="E2693" s="2">
        <f>IFERROR(__xludf.DUMMYFUNCTION("""COMPUTED_VALUE"""),224.53)</f>
        <v>224.53</v>
      </c>
      <c r="F2693" s="2">
        <f>IFERROR(__xludf.DUMMYFUNCTION("""COMPUTED_VALUE"""),6.7523328E7)</f>
        <v>67523328</v>
      </c>
    </row>
    <row r="2694">
      <c r="A2694" s="3">
        <f>IFERROR(__xludf.DUMMYFUNCTION("""COMPUTED_VALUE"""),44265.66666666667)</f>
        <v>44265.66667</v>
      </c>
      <c r="B2694" s="2">
        <f>IFERROR(__xludf.DUMMYFUNCTION("""COMPUTED_VALUE"""),233.43)</f>
        <v>233.43</v>
      </c>
      <c r="C2694" s="2">
        <f>IFERROR(__xludf.DUMMYFUNCTION("""COMPUTED_VALUE"""),239.28)</f>
        <v>239.28</v>
      </c>
      <c r="D2694" s="2">
        <f>IFERROR(__xludf.DUMMYFUNCTION("""COMPUTED_VALUE"""),218.35)</f>
        <v>218.35</v>
      </c>
      <c r="E2694" s="2">
        <f>IFERROR(__xludf.DUMMYFUNCTION("""COMPUTED_VALUE"""),222.69)</f>
        <v>222.69</v>
      </c>
      <c r="F2694" s="2">
        <f>IFERROR(__xludf.DUMMYFUNCTION("""COMPUTED_VALUE"""),6.0605672E7)</f>
        <v>60605672</v>
      </c>
    </row>
    <row r="2695">
      <c r="A2695" s="3">
        <f>IFERROR(__xludf.DUMMYFUNCTION("""COMPUTED_VALUE"""),44266.66666666667)</f>
        <v>44266.66667</v>
      </c>
      <c r="B2695" s="2">
        <f>IFERROR(__xludf.DUMMYFUNCTION("""COMPUTED_VALUE"""),233.13)</f>
        <v>233.13</v>
      </c>
      <c r="C2695" s="2">
        <f>IFERROR(__xludf.DUMMYFUNCTION("""COMPUTED_VALUE"""),234.17)</f>
        <v>234.17</v>
      </c>
      <c r="D2695" s="2">
        <f>IFERROR(__xludf.DUMMYFUNCTION("""COMPUTED_VALUE"""),225.73)</f>
        <v>225.73</v>
      </c>
      <c r="E2695" s="2">
        <f>IFERROR(__xludf.DUMMYFUNCTION("""COMPUTED_VALUE"""),233.2)</f>
        <v>233.2</v>
      </c>
      <c r="F2695" s="2">
        <f>IFERROR(__xludf.DUMMYFUNCTION("""COMPUTED_VALUE"""),3.6253892E7)</f>
        <v>36253892</v>
      </c>
    </row>
    <row r="2696">
      <c r="A2696" s="3">
        <f>IFERROR(__xludf.DUMMYFUNCTION("""COMPUTED_VALUE"""),44267.66666666667)</f>
        <v>44267.66667</v>
      </c>
      <c r="B2696" s="2">
        <f>IFERROR(__xludf.DUMMYFUNCTION("""COMPUTED_VALUE"""),223.33)</f>
        <v>223.33</v>
      </c>
      <c r="C2696" s="2">
        <f>IFERROR(__xludf.DUMMYFUNCTION("""COMPUTED_VALUE"""),231.63)</f>
        <v>231.63</v>
      </c>
      <c r="D2696" s="2">
        <f>IFERROR(__xludf.DUMMYFUNCTION("""COMPUTED_VALUE"""),222.05)</f>
        <v>222.05</v>
      </c>
      <c r="E2696" s="2">
        <f>IFERROR(__xludf.DUMMYFUNCTION("""COMPUTED_VALUE"""),231.24)</f>
        <v>231.24</v>
      </c>
      <c r="F2696" s="2">
        <f>IFERROR(__xludf.DUMMYFUNCTION("""COMPUTED_VALUE"""),3.358384E7)</f>
        <v>33583840</v>
      </c>
    </row>
    <row r="2697">
      <c r="A2697" s="3">
        <f>IFERROR(__xludf.DUMMYFUNCTION("""COMPUTED_VALUE"""),44270.66666666667)</f>
        <v>44270.66667</v>
      </c>
      <c r="B2697" s="2">
        <f>IFERROR(__xludf.DUMMYFUNCTION("""COMPUTED_VALUE"""),231.36)</f>
        <v>231.36</v>
      </c>
      <c r="C2697" s="2">
        <f>IFERROR(__xludf.DUMMYFUNCTION("""COMPUTED_VALUE"""),237.73)</f>
        <v>237.73</v>
      </c>
      <c r="D2697" s="2">
        <f>IFERROR(__xludf.DUMMYFUNCTION("""COMPUTED_VALUE"""),228.01)</f>
        <v>228.01</v>
      </c>
      <c r="E2697" s="2">
        <f>IFERROR(__xludf.DUMMYFUNCTION("""COMPUTED_VALUE"""),235.98)</f>
        <v>235.98</v>
      </c>
      <c r="F2697" s="2">
        <f>IFERROR(__xludf.DUMMYFUNCTION("""COMPUTED_VALUE"""),2.9423479E7)</f>
        <v>29423479</v>
      </c>
    </row>
    <row r="2698">
      <c r="A2698" s="3">
        <f>IFERROR(__xludf.DUMMYFUNCTION("""COMPUTED_VALUE"""),44271.66666666667)</f>
        <v>44271.66667</v>
      </c>
      <c r="B2698" s="2">
        <f>IFERROR(__xludf.DUMMYFUNCTION("""COMPUTED_VALUE"""),234.45)</f>
        <v>234.45</v>
      </c>
      <c r="C2698" s="2">
        <f>IFERROR(__xludf.DUMMYFUNCTION("""COMPUTED_VALUE"""),235.97)</f>
        <v>235.97</v>
      </c>
      <c r="D2698" s="2">
        <f>IFERROR(__xludf.DUMMYFUNCTION("""COMPUTED_VALUE"""),223.67)</f>
        <v>223.67</v>
      </c>
      <c r="E2698" s="2">
        <f>IFERROR(__xludf.DUMMYFUNCTION("""COMPUTED_VALUE"""),225.63)</f>
        <v>225.63</v>
      </c>
      <c r="F2698" s="2">
        <f>IFERROR(__xludf.DUMMYFUNCTION("""COMPUTED_VALUE"""),3.2195672E7)</f>
        <v>32195672</v>
      </c>
    </row>
    <row r="2699">
      <c r="A2699" s="3">
        <f>IFERROR(__xludf.DUMMYFUNCTION("""COMPUTED_VALUE"""),44272.66666666667)</f>
        <v>44272.66667</v>
      </c>
      <c r="B2699" s="2">
        <f>IFERROR(__xludf.DUMMYFUNCTION("""COMPUTED_VALUE"""),218.96)</f>
        <v>218.96</v>
      </c>
      <c r="C2699" s="2">
        <f>IFERROR(__xludf.DUMMYFUNCTION("""COMPUTED_VALUE"""),234.58)</f>
        <v>234.58</v>
      </c>
      <c r="D2699" s="2">
        <f>IFERROR(__xludf.DUMMYFUNCTION("""COMPUTED_VALUE"""),217.0)</f>
        <v>217</v>
      </c>
      <c r="E2699" s="2">
        <f>IFERROR(__xludf.DUMMYFUNCTION("""COMPUTED_VALUE"""),233.94)</f>
        <v>233.94</v>
      </c>
      <c r="F2699" s="2">
        <f>IFERROR(__xludf.DUMMYFUNCTION("""COMPUTED_VALUE"""),4.0372453E7)</f>
        <v>40372453</v>
      </c>
    </row>
    <row r="2700">
      <c r="A2700" s="3">
        <f>IFERROR(__xludf.DUMMYFUNCTION("""COMPUTED_VALUE"""),44273.66666666667)</f>
        <v>44273.66667</v>
      </c>
      <c r="B2700" s="2">
        <f>IFERROR(__xludf.DUMMYFUNCTION("""COMPUTED_VALUE"""),228.1)</f>
        <v>228.1</v>
      </c>
      <c r="C2700" s="2">
        <f>IFERROR(__xludf.DUMMYFUNCTION("""COMPUTED_VALUE"""),229.74)</f>
        <v>229.74</v>
      </c>
      <c r="D2700" s="2">
        <f>IFERROR(__xludf.DUMMYFUNCTION("""COMPUTED_VALUE"""),217.33)</f>
        <v>217.33</v>
      </c>
      <c r="E2700" s="2">
        <f>IFERROR(__xludf.DUMMYFUNCTION("""COMPUTED_VALUE"""),217.72)</f>
        <v>217.72</v>
      </c>
      <c r="F2700" s="2">
        <f>IFERROR(__xludf.DUMMYFUNCTION("""COMPUTED_VALUE"""),3.3369022E7)</f>
        <v>33369022</v>
      </c>
    </row>
    <row r="2701">
      <c r="A2701" s="3">
        <f>IFERROR(__xludf.DUMMYFUNCTION("""COMPUTED_VALUE"""),44274.66666666667)</f>
        <v>44274.66667</v>
      </c>
      <c r="B2701" s="2">
        <f>IFERROR(__xludf.DUMMYFUNCTION("""COMPUTED_VALUE"""),215.53)</f>
        <v>215.53</v>
      </c>
      <c r="C2701" s="2">
        <f>IFERROR(__xludf.DUMMYFUNCTION("""COMPUTED_VALUE"""),219.08)</f>
        <v>219.08</v>
      </c>
      <c r="D2701" s="2">
        <f>IFERROR(__xludf.DUMMYFUNCTION("""COMPUTED_VALUE"""),208.21)</f>
        <v>208.21</v>
      </c>
      <c r="E2701" s="2">
        <f>IFERROR(__xludf.DUMMYFUNCTION("""COMPUTED_VALUE"""),218.29)</f>
        <v>218.29</v>
      </c>
      <c r="F2701" s="2">
        <f>IFERROR(__xludf.DUMMYFUNCTION("""COMPUTED_VALUE"""),4.2893978E7)</f>
        <v>42893978</v>
      </c>
    </row>
    <row r="2702">
      <c r="A2702" s="3">
        <f>IFERROR(__xludf.DUMMYFUNCTION("""COMPUTED_VALUE"""),44277.66666666667)</f>
        <v>44277.66667</v>
      </c>
      <c r="B2702" s="2">
        <f>IFERROR(__xludf.DUMMYFUNCTION("""COMPUTED_VALUE"""),228.2)</f>
        <v>228.2</v>
      </c>
      <c r="C2702" s="2">
        <f>IFERROR(__xludf.DUMMYFUNCTION("""COMPUTED_VALUE"""),233.21)</f>
        <v>233.21</v>
      </c>
      <c r="D2702" s="2">
        <f>IFERROR(__xludf.DUMMYFUNCTION("""COMPUTED_VALUE"""),222.92)</f>
        <v>222.92</v>
      </c>
      <c r="E2702" s="2">
        <f>IFERROR(__xludf.DUMMYFUNCTION("""COMPUTED_VALUE"""),223.33)</f>
        <v>223.33</v>
      </c>
      <c r="F2702" s="2">
        <f>IFERROR(__xludf.DUMMYFUNCTION("""COMPUTED_VALUE"""),3.9512221E7)</f>
        <v>39512221</v>
      </c>
    </row>
    <row r="2703">
      <c r="A2703" s="3">
        <f>IFERROR(__xludf.DUMMYFUNCTION("""COMPUTED_VALUE"""),44278.66666666667)</f>
        <v>44278.66667</v>
      </c>
      <c r="B2703" s="2">
        <f>IFERROR(__xludf.DUMMYFUNCTION("""COMPUTED_VALUE"""),225.26)</f>
        <v>225.26</v>
      </c>
      <c r="C2703" s="2">
        <f>IFERROR(__xludf.DUMMYFUNCTION("""COMPUTED_VALUE"""),225.93)</f>
        <v>225.93</v>
      </c>
      <c r="D2703" s="2">
        <f>IFERROR(__xludf.DUMMYFUNCTION("""COMPUTED_VALUE"""),219.17)</f>
        <v>219.17</v>
      </c>
      <c r="E2703" s="2">
        <f>IFERROR(__xludf.DUMMYFUNCTION("""COMPUTED_VALUE"""),220.72)</f>
        <v>220.72</v>
      </c>
      <c r="F2703" s="2">
        <f>IFERROR(__xludf.DUMMYFUNCTION("""COMPUTED_VALUE"""),3.049187E7)</f>
        <v>30491870</v>
      </c>
    </row>
    <row r="2704">
      <c r="A2704" s="3">
        <f>IFERROR(__xludf.DUMMYFUNCTION("""COMPUTED_VALUE"""),44279.66666666667)</f>
        <v>44279.66667</v>
      </c>
      <c r="B2704" s="2">
        <f>IFERROR(__xludf.DUMMYFUNCTION("""COMPUTED_VALUE"""),222.64)</f>
        <v>222.64</v>
      </c>
      <c r="C2704" s="2">
        <f>IFERROR(__xludf.DUMMYFUNCTION("""COMPUTED_VALUE"""),222.67)</f>
        <v>222.67</v>
      </c>
      <c r="D2704" s="2">
        <f>IFERROR(__xludf.DUMMYFUNCTION("""COMPUTED_VALUE"""),210.04)</f>
        <v>210.04</v>
      </c>
      <c r="E2704" s="2">
        <f>IFERROR(__xludf.DUMMYFUNCTION("""COMPUTED_VALUE"""),210.09)</f>
        <v>210.09</v>
      </c>
      <c r="F2704" s="2">
        <f>IFERROR(__xludf.DUMMYFUNCTION("""COMPUTED_VALUE"""),3.3795174E7)</f>
        <v>33795174</v>
      </c>
    </row>
    <row r="2705">
      <c r="A2705" s="3">
        <f>IFERROR(__xludf.DUMMYFUNCTION("""COMPUTED_VALUE"""),44280.66666666667)</f>
        <v>44280.66667</v>
      </c>
      <c r="B2705" s="2">
        <f>IFERROR(__xludf.DUMMYFUNCTION("""COMPUTED_VALUE"""),204.33)</f>
        <v>204.33</v>
      </c>
      <c r="C2705" s="2">
        <f>IFERROR(__xludf.DUMMYFUNCTION("""COMPUTED_VALUE"""),215.17)</f>
        <v>215.17</v>
      </c>
      <c r="D2705" s="2">
        <f>IFERROR(__xludf.DUMMYFUNCTION("""COMPUTED_VALUE"""),203.17)</f>
        <v>203.17</v>
      </c>
      <c r="E2705" s="2">
        <f>IFERROR(__xludf.DUMMYFUNCTION("""COMPUTED_VALUE"""),213.46)</f>
        <v>213.46</v>
      </c>
      <c r="F2705" s="2">
        <f>IFERROR(__xludf.DUMMYFUNCTION("""COMPUTED_VALUE"""),3.922485E7)</f>
        <v>39224850</v>
      </c>
    </row>
    <row r="2706">
      <c r="A2706" s="3">
        <f>IFERROR(__xludf.DUMMYFUNCTION("""COMPUTED_VALUE"""),44281.66666666667)</f>
        <v>44281.66667</v>
      </c>
      <c r="B2706" s="2">
        <f>IFERROR(__xludf.DUMMYFUNCTION("""COMPUTED_VALUE"""),213.96)</f>
        <v>213.96</v>
      </c>
      <c r="C2706" s="2">
        <f>IFERROR(__xludf.DUMMYFUNCTION("""COMPUTED_VALUE"""),214.61)</f>
        <v>214.61</v>
      </c>
      <c r="D2706" s="2">
        <f>IFERROR(__xludf.DUMMYFUNCTION("""COMPUTED_VALUE"""),199.96)</f>
        <v>199.96</v>
      </c>
      <c r="E2706" s="2">
        <f>IFERROR(__xludf.DUMMYFUNCTION("""COMPUTED_VALUE"""),206.24)</f>
        <v>206.24</v>
      </c>
      <c r="F2706" s="2">
        <f>IFERROR(__xludf.DUMMYFUNCTION("""COMPUTED_VALUE"""),3.3852827E7)</f>
        <v>33852827</v>
      </c>
    </row>
    <row r="2707">
      <c r="A2707" s="3">
        <f>IFERROR(__xludf.DUMMYFUNCTION("""COMPUTED_VALUE"""),44284.66666666667)</f>
        <v>44284.66667</v>
      </c>
      <c r="B2707" s="2">
        <f>IFERROR(__xludf.DUMMYFUNCTION("""COMPUTED_VALUE"""),205.21)</f>
        <v>205.21</v>
      </c>
      <c r="C2707" s="2">
        <f>IFERROR(__xludf.DUMMYFUNCTION("""COMPUTED_VALUE"""),205.49)</f>
        <v>205.49</v>
      </c>
      <c r="D2707" s="2">
        <f>IFERROR(__xludf.DUMMYFUNCTION("""COMPUTED_VALUE"""),198.67)</f>
        <v>198.67</v>
      </c>
      <c r="E2707" s="2">
        <f>IFERROR(__xludf.DUMMYFUNCTION("""COMPUTED_VALUE"""),203.76)</f>
        <v>203.76</v>
      </c>
      <c r="F2707" s="2">
        <f>IFERROR(__xludf.DUMMYFUNCTION("""COMPUTED_VALUE"""),2.8636985E7)</f>
        <v>28636985</v>
      </c>
    </row>
    <row r="2708">
      <c r="A2708" s="3">
        <f>IFERROR(__xludf.DUMMYFUNCTION("""COMPUTED_VALUE"""),44285.66666666667)</f>
        <v>44285.66667</v>
      </c>
      <c r="B2708" s="2">
        <f>IFERROR(__xludf.DUMMYFUNCTION("""COMPUTED_VALUE"""),200.58)</f>
        <v>200.58</v>
      </c>
      <c r="C2708" s="2">
        <f>IFERROR(__xludf.DUMMYFUNCTION("""COMPUTED_VALUE"""),212.55)</f>
        <v>212.55</v>
      </c>
      <c r="D2708" s="2">
        <f>IFERROR(__xludf.DUMMYFUNCTION("""COMPUTED_VALUE"""),197.0)</f>
        <v>197</v>
      </c>
      <c r="E2708" s="2">
        <f>IFERROR(__xludf.DUMMYFUNCTION("""COMPUTED_VALUE"""),211.87)</f>
        <v>211.87</v>
      </c>
      <c r="F2708" s="2">
        <f>IFERROR(__xludf.DUMMYFUNCTION("""COMPUTED_VALUE"""),3.9432359E7)</f>
        <v>39432359</v>
      </c>
    </row>
    <row r="2709">
      <c r="A2709" s="3">
        <f>IFERROR(__xludf.DUMMYFUNCTION("""COMPUTED_VALUE"""),44286.66666666667)</f>
        <v>44286.66667</v>
      </c>
      <c r="B2709" s="2">
        <f>IFERROR(__xludf.DUMMYFUNCTION("""COMPUTED_VALUE"""),215.54)</f>
        <v>215.54</v>
      </c>
      <c r="C2709" s="2">
        <f>IFERROR(__xludf.DUMMYFUNCTION("""COMPUTED_VALUE"""),224.0)</f>
        <v>224</v>
      </c>
      <c r="D2709" s="2">
        <f>IFERROR(__xludf.DUMMYFUNCTION("""COMPUTED_VALUE"""),213.7)</f>
        <v>213.7</v>
      </c>
      <c r="E2709" s="2">
        <f>IFERROR(__xludf.DUMMYFUNCTION("""COMPUTED_VALUE"""),222.64)</f>
        <v>222.64</v>
      </c>
      <c r="F2709" s="2">
        <f>IFERROR(__xludf.DUMMYFUNCTION("""COMPUTED_VALUE"""),3.3337288E7)</f>
        <v>33337288</v>
      </c>
    </row>
    <row r="2710">
      <c r="A2710" s="3">
        <f>IFERROR(__xludf.DUMMYFUNCTION("""COMPUTED_VALUE"""),44287.66666666667)</f>
        <v>44287.66667</v>
      </c>
      <c r="B2710" s="2">
        <f>IFERROR(__xludf.DUMMYFUNCTION("""COMPUTED_VALUE"""),229.46)</f>
        <v>229.46</v>
      </c>
      <c r="C2710" s="2">
        <f>IFERROR(__xludf.DUMMYFUNCTION("""COMPUTED_VALUE"""),230.81)</f>
        <v>230.81</v>
      </c>
      <c r="D2710" s="2">
        <f>IFERROR(__xludf.DUMMYFUNCTION("""COMPUTED_VALUE"""),219.81)</f>
        <v>219.81</v>
      </c>
      <c r="E2710" s="2">
        <f>IFERROR(__xludf.DUMMYFUNCTION("""COMPUTED_VALUE"""),220.58)</f>
        <v>220.58</v>
      </c>
      <c r="F2710" s="2">
        <f>IFERROR(__xludf.DUMMYFUNCTION("""COMPUTED_VALUE"""),3.5298378E7)</f>
        <v>35298378</v>
      </c>
    </row>
    <row r="2711">
      <c r="A2711" s="3">
        <f>IFERROR(__xludf.DUMMYFUNCTION("""COMPUTED_VALUE"""),44291.66666666667)</f>
        <v>44291.66667</v>
      </c>
      <c r="B2711" s="2">
        <f>IFERROR(__xludf.DUMMYFUNCTION("""COMPUTED_VALUE"""),235.9)</f>
        <v>235.9</v>
      </c>
      <c r="C2711" s="2">
        <f>IFERROR(__xludf.DUMMYFUNCTION("""COMPUTED_VALUE"""),236.05)</f>
        <v>236.05</v>
      </c>
      <c r="D2711" s="2">
        <f>IFERROR(__xludf.DUMMYFUNCTION("""COMPUTED_VALUE"""),228.23)</f>
        <v>228.23</v>
      </c>
      <c r="E2711" s="2">
        <f>IFERROR(__xludf.DUMMYFUNCTION("""COMPUTED_VALUE"""),230.35)</f>
        <v>230.35</v>
      </c>
      <c r="F2711" s="2">
        <f>IFERROR(__xludf.DUMMYFUNCTION("""COMPUTED_VALUE"""),4.1842767E7)</f>
        <v>41842767</v>
      </c>
    </row>
    <row r="2712">
      <c r="A2712" s="3">
        <f>IFERROR(__xludf.DUMMYFUNCTION("""COMPUTED_VALUE"""),44292.66666666667)</f>
        <v>44292.66667</v>
      </c>
      <c r="B2712" s="2">
        <f>IFERROR(__xludf.DUMMYFUNCTION("""COMPUTED_VALUE"""),230.1)</f>
        <v>230.1</v>
      </c>
      <c r="C2712" s="2">
        <f>IFERROR(__xludf.DUMMYFUNCTION("""COMPUTED_VALUE"""),232.18)</f>
        <v>232.18</v>
      </c>
      <c r="D2712" s="2">
        <f>IFERROR(__xludf.DUMMYFUNCTION("""COMPUTED_VALUE"""),227.12)</f>
        <v>227.12</v>
      </c>
      <c r="E2712" s="2">
        <f>IFERROR(__xludf.DUMMYFUNCTION("""COMPUTED_VALUE"""),230.54)</f>
        <v>230.54</v>
      </c>
      <c r="F2712" s="2">
        <f>IFERROR(__xludf.DUMMYFUNCTION("""COMPUTED_VALUE"""),2.8271839E7)</f>
        <v>28271839</v>
      </c>
    </row>
    <row r="2713">
      <c r="A2713" s="3">
        <f>IFERROR(__xludf.DUMMYFUNCTION("""COMPUTED_VALUE"""),44293.66666666667)</f>
        <v>44293.66667</v>
      </c>
      <c r="B2713" s="2">
        <f>IFERROR(__xludf.DUMMYFUNCTION("""COMPUTED_VALUE"""),229.0)</f>
        <v>229</v>
      </c>
      <c r="C2713" s="2">
        <f>IFERROR(__xludf.DUMMYFUNCTION("""COMPUTED_VALUE"""),230.46)</f>
        <v>230.46</v>
      </c>
      <c r="D2713" s="2">
        <f>IFERROR(__xludf.DUMMYFUNCTION("""COMPUTED_VALUE"""),222.61)</f>
        <v>222.61</v>
      </c>
      <c r="E2713" s="2">
        <f>IFERROR(__xludf.DUMMYFUNCTION("""COMPUTED_VALUE"""),223.66)</f>
        <v>223.66</v>
      </c>
      <c r="F2713" s="2">
        <f>IFERROR(__xludf.DUMMYFUNCTION("""COMPUTED_VALUE"""),2.6309433E7)</f>
        <v>26309433</v>
      </c>
    </row>
    <row r="2714">
      <c r="A2714" s="3">
        <f>IFERROR(__xludf.DUMMYFUNCTION("""COMPUTED_VALUE"""),44294.66666666667)</f>
        <v>44294.66667</v>
      </c>
      <c r="B2714" s="2">
        <f>IFERROR(__xludf.DUMMYFUNCTION("""COMPUTED_VALUE"""),225.79)</f>
        <v>225.79</v>
      </c>
      <c r="C2714" s="2">
        <f>IFERROR(__xludf.DUMMYFUNCTION("""COMPUTED_VALUE"""),229.85)</f>
        <v>229.85</v>
      </c>
      <c r="D2714" s="2">
        <f>IFERROR(__xludf.DUMMYFUNCTION("""COMPUTED_VALUE"""),223.88)</f>
        <v>223.88</v>
      </c>
      <c r="E2714" s="2">
        <f>IFERROR(__xludf.DUMMYFUNCTION("""COMPUTED_VALUE"""),227.93)</f>
        <v>227.93</v>
      </c>
      <c r="F2714" s="2">
        <f>IFERROR(__xludf.DUMMYFUNCTION("""COMPUTED_VALUE"""),2.3924329E7)</f>
        <v>23924329</v>
      </c>
    </row>
    <row r="2715">
      <c r="A2715" s="3">
        <f>IFERROR(__xludf.DUMMYFUNCTION("""COMPUTED_VALUE"""),44295.66666666667)</f>
        <v>44295.66667</v>
      </c>
      <c r="B2715" s="2">
        <f>IFERROR(__xludf.DUMMYFUNCTION("""COMPUTED_VALUE"""),225.92)</f>
        <v>225.92</v>
      </c>
      <c r="C2715" s="2">
        <f>IFERROR(__xludf.DUMMYFUNCTION("""COMPUTED_VALUE"""),226.99)</f>
        <v>226.99</v>
      </c>
      <c r="D2715" s="2">
        <f>IFERROR(__xludf.DUMMYFUNCTION("""COMPUTED_VALUE"""),223.14)</f>
        <v>223.14</v>
      </c>
      <c r="E2715" s="2">
        <f>IFERROR(__xludf.DUMMYFUNCTION("""COMPUTED_VALUE"""),225.67)</f>
        <v>225.67</v>
      </c>
      <c r="F2715" s="2">
        <f>IFERROR(__xludf.DUMMYFUNCTION("""COMPUTED_VALUE"""),2.1437087E7)</f>
        <v>21437087</v>
      </c>
    </row>
    <row r="2716">
      <c r="A2716" s="3">
        <f>IFERROR(__xludf.DUMMYFUNCTION("""COMPUTED_VALUE"""),44298.66666666667)</f>
        <v>44298.66667</v>
      </c>
      <c r="B2716" s="2">
        <f>IFERROR(__xludf.DUMMYFUNCTION("""COMPUTED_VALUE"""),228.57)</f>
        <v>228.57</v>
      </c>
      <c r="C2716" s="2">
        <f>IFERROR(__xludf.DUMMYFUNCTION("""COMPUTED_VALUE"""),234.93)</f>
        <v>234.93</v>
      </c>
      <c r="D2716" s="2">
        <f>IFERROR(__xludf.DUMMYFUNCTION("""COMPUTED_VALUE"""),227.36)</f>
        <v>227.36</v>
      </c>
      <c r="E2716" s="2">
        <f>IFERROR(__xludf.DUMMYFUNCTION("""COMPUTED_VALUE"""),233.99)</f>
        <v>233.99</v>
      </c>
      <c r="F2716" s="2">
        <f>IFERROR(__xludf.DUMMYFUNCTION("""COMPUTED_VALUE"""),2.913567E7)</f>
        <v>29135670</v>
      </c>
    </row>
    <row r="2717">
      <c r="A2717" s="3">
        <f>IFERROR(__xludf.DUMMYFUNCTION("""COMPUTED_VALUE"""),44299.66666666667)</f>
        <v>44299.66667</v>
      </c>
      <c r="B2717" s="2">
        <f>IFERROR(__xludf.DUMMYFUNCTION("""COMPUTED_VALUE"""),237.57)</f>
        <v>237.57</v>
      </c>
      <c r="C2717" s="2">
        <f>IFERROR(__xludf.DUMMYFUNCTION("""COMPUTED_VALUE"""),254.33)</f>
        <v>254.33</v>
      </c>
      <c r="D2717" s="2">
        <f>IFERROR(__xludf.DUMMYFUNCTION("""COMPUTED_VALUE"""),236.89)</f>
        <v>236.89</v>
      </c>
      <c r="E2717" s="2">
        <f>IFERROR(__xludf.DUMMYFUNCTION("""COMPUTED_VALUE"""),254.11)</f>
        <v>254.11</v>
      </c>
      <c r="F2717" s="2">
        <f>IFERROR(__xludf.DUMMYFUNCTION("""COMPUTED_VALUE"""),4.4652808E7)</f>
        <v>44652808</v>
      </c>
    </row>
    <row r="2718">
      <c r="A2718" s="3">
        <f>IFERROR(__xludf.DUMMYFUNCTION("""COMPUTED_VALUE"""),44300.66666666667)</f>
        <v>44300.66667</v>
      </c>
      <c r="B2718" s="2">
        <f>IFERROR(__xludf.DUMMYFUNCTION("""COMPUTED_VALUE"""),256.9)</f>
        <v>256.9</v>
      </c>
      <c r="C2718" s="2">
        <f>IFERROR(__xludf.DUMMYFUNCTION("""COMPUTED_VALUE"""),260.26)</f>
        <v>260.26</v>
      </c>
      <c r="D2718" s="2">
        <f>IFERROR(__xludf.DUMMYFUNCTION("""COMPUTED_VALUE"""),242.68)</f>
        <v>242.68</v>
      </c>
      <c r="E2718" s="2">
        <f>IFERROR(__xludf.DUMMYFUNCTION("""COMPUTED_VALUE"""),244.08)</f>
        <v>244.08</v>
      </c>
      <c r="F2718" s="2">
        <f>IFERROR(__xludf.DUMMYFUNCTION("""COMPUTED_VALUE"""),4.9017434E7)</f>
        <v>49017434</v>
      </c>
    </row>
    <row r="2719">
      <c r="A2719" s="3">
        <f>IFERROR(__xludf.DUMMYFUNCTION("""COMPUTED_VALUE"""),44301.66666666667)</f>
        <v>44301.66667</v>
      </c>
      <c r="B2719" s="2">
        <f>IFERROR(__xludf.DUMMYFUNCTION("""COMPUTED_VALUE"""),247.7)</f>
        <v>247.7</v>
      </c>
      <c r="C2719" s="2">
        <f>IFERROR(__xludf.DUMMYFUNCTION("""COMPUTED_VALUE"""),247.9)</f>
        <v>247.9</v>
      </c>
      <c r="D2719" s="2">
        <f>IFERROR(__xludf.DUMMYFUNCTION("""COMPUTED_VALUE"""),240.44)</f>
        <v>240.44</v>
      </c>
      <c r="E2719" s="2">
        <f>IFERROR(__xludf.DUMMYFUNCTION("""COMPUTED_VALUE"""),246.28)</f>
        <v>246.28</v>
      </c>
      <c r="F2719" s="2">
        <f>IFERROR(__xludf.DUMMYFUNCTION("""COMPUTED_VALUE"""),2.78489E7)</f>
        <v>27848900</v>
      </c>
    </row>
    <row r="2720">
      <c r="A2720" s="3">
        <f>IFERROR(__xludf.DUMMYFUNCTION("""COMPUTED_VALUE"""),44302.66666666667)</f>
        <v>44302.66667</v>
      </c>
      <c r="B2720" s="2">
        <f>IFERROR(__xludf.DUMMYFUNCTION("""COMPUTED_VALUE"""),242.88)</f>
        <v>242.88</v>
      </c>
      <c r="C2720" s="2">
        <f>IFERROR(__xludf.DUMMYFUNCTION("""COMPUTED_VALUE"""),249.8)</f>
        <v>249.8</v>
      </c>
      <c r="D2720" s="2">
        <f>IFERROR(__xludf.DUMMYFUNCTION("""COMPUTED_VALUE"""),241.53)</f>
        <v>241.53</v>
      </c>
      <c r="E2720" s="2">
        <f>IFERROR(__xludf.DUMMYFUNCTION("""COMPUTED_VALUE"""),246.59)</f>
        <v>246.59</v>
      </c>
      <c r="F2720" s="2">
        <f>IFERROR(__xludf.DUMMYFUNCTION("""COMPUTED_VALUE"""),2.7979526E7)</f>
        <v>27979526</v>
      </c>
    </row>
    <row r="2721">
      <c r="A2721" s="3">
        <f>IFERROR(__xludf.DUMMYFUNCTION("""COMPUTED_VALUE"""),44305.66666666667)</f>
        <v>44305.66667</v>
      </c>
      <c r="B2721" s="2">
        <f>IFERROR(__xludf.DUMMYFUNCTION("""COMPUTED_VALUE"""),239.87)</f>
        <v>239.87</v>
      </c>
      <c r="C2721" s="2">
        <f>IFERROR(__xludf.DUMMYFUNCTION("""COMPUTED_VALUE"""),241.8)</f>
        <v>241.8</v>
      </c>
      <c r="D2721" s="2">
        <f>IFERROR(__xludf.DUMMYFUNCTION("""COMPUTED_VALUE"""),230.6)</f>
        <v>230.6</v>
      </c>
      <c r="E2721" s="2">
        <f>IFERROR(__xludf.DUMMYFUNCTION("""COMPUTED_VALUE"""),238.21)</f>
        <v>238.21</v>
      </c>
      <c r="F2721" s="2">
        <f>IFERROR(__xludf.DUMMYFUNCTION("""COMPUTED_VALUE"""),3.9686226E7)</f>
        <v>39686226</v>
      </c>
    </row>
    <row r="2722">
      <c r="A2722" s="3">
        <f>IFERROR(__xludf.DUMMYFUNCTION("""COMPUTED_VALUE"""),44306.66666666667)</f>
        <v>44306.66667</v>
      </c>
      <c r="B2722" s="2">
        <f>IFERROR(__xludf.DUMMYFUNCTION("""COMPUTED_VALUE"""),239.14)</f>
        <v>239.14</v>
      </c>
      <c r="C2722" s="2">
        <f>IFERROR(__xludf.DUMMYFUNCTION("""COMPUTED_VALUE"""),245.75)</f>
        <v>245.75</v>
      </c>
      <c r="D2722" s="2">
        <f>IFERROR(__xludf.DUMMYFUNCTION("""COMPUTED_VALUE"""),236.9)</f>
        <v>236.9</v>
      </c>
      <c r="E2722" s="2">
        <f>IFERROR(__xludf.DUMMYFUNCTION("""COMPUTED_VALUE"""),239.66)</f>
        <v>239.66</v>
      </c>
      <c r="F2722" s="2">
        <f>IFERROR(__xludf.DUMMYFUNCTION("""COMPUTED_VALUE"""),3.5609038E7)</f>
        <v>35609038</v>
      </c>
    </row>
    <row r="2723">
      <c r="A2723" s="3">
        <f>IFERROR(__xludf.DUMMYFUNCTION("""COMPUTED_VALUE"""),44307.66666666667)</f>
        <v>44307.66667</v>
      </c>
      <c r="B2723" s="2">
        <f>IFERROR(__xludf.DUMMYFUNCTION("""COMPUTED_VALUE"""),234.92)</f>
        <v>234.92</v>
      </c>
      <c r="C2723" s="2">
        <f>IFERROR(__xludf.DUMMYFUNCTION("""COMPUTED_VALUE"""),248.28)</f>
        <v>248.28</v>
      </c>
      <c r="D2723" s="2">
        <f>IFERROR(__xludf.DUMMYFUNCTION("""COMPUTED_VALUE"""),232.67)</f>
        <v>232.67</v>
      </c>
      <c r="E2723" s="2">
        <f>IFERROR(__xludf.DUMMYFUNCTION("""COMPUTED_VALUE"""),248.04)</f>
        <v>248.04</v>
      </c>
      <c r="F2723" s="2">
        <f>IFERROR(__xludf.DUMMYFUNCTION("""COMPUTED_VALUE"""),3.1215514E7)</f>
        <v>31215514</v>
      </c>
    </row>
    <row r="2724">
      <c r="A2724" s="3">
        <f>IFERROR(__xludf.DUMMYFUNCTION("""COMPUTED_VALUE"""),44308.66666666667)</f>
        <v>44308.66667</v>
      </c>
      <c r="B2724" s="2">
        <f>IFERROR(__xludf.DUMMYFUNCTION("""COMPUTED_VALUE"""),247.17)</f>
        <v>247.17</v>
      </c>
      <c r="C2724" s="2">
        <f>IFERROR(__xludf.DUMMYFUNCTION("""COMPUTED_VALUE"""),251.26)</f>
        <v>251.26</v>
      </c>
      <c r="D2724" s="2">
        <f>IFERROR(__xludf.DUMMYFUNCTION("""COMPUTED_VALUE"""),239.35)</f>
        <v>239.35</v>
      </c>
      <c r="E2724" s="2">
        <f>IFERROR(__xludf.DUMMYFUNCTION("""COMPUTED_VALUE"""),239.9)</f>
        <v>239.9</v>
      </c>
      <c r="F2724" s="2">
        <f>IFERROR(__xludf.DUMMYFUNCTION("""COMPUTED_VALUE"""),3.5590255E7)</f>
        <v>35590255</v>
      </c>
    </row>
    <row r="2725">
      <c r="A2725" s="3">
        <f>IFERROR(__xludf.DUMMYFUNCTION("""COMPUTED_VALUE"""),44309.66666666667)</f>
        <v>44309.66667</v>
      </c>
      <c r="B2725" s="2">
        <f>IFERROR(__xludf.DUMMYFUNCTION("""COMPUTED_VALUE"""),239.93)</f>
        <v>239.93</v>
      </c>
      <c r="C2725" s="2">
        <f>IFERROR(__xludf.DUMMYFUNCTION("""COMPUTED_VALUE"""),245.79)</f>
        <v>245.79</v>
      </c>
      <c r="D2725" s="2">
        <f>IFERROR(__xludf.DUMMYFUNCTION("""COMPUTED_VALUE"""),238.49)</f>
        <v>238.49</v>
      </c>
      <c r="E2725" s="2">
        <f>IFERROR(__xludf.DUMMYFUNCTION("""COMPUTED_VALUE"""),243.13)</f>
        <v>243.13</v>
      </c>
      <c r="F2725" s="2">
        <f>IFERROR(__xludf.DUMMYFUNCTION("""COMPUTED_VALUE"""),2.8413889E7)</f>
        <v>28413889</v>
      </c>
    </row>
    <row r="2726">
      <c r="A2726" s="3">
        <f>IFERROR(__xludf.DUMMYFUNCTION("""COMPUTED_VALUE"""),44312.66666666667)</f>
        <v>44312.66667</v>
      </c>
      <c r="B2726" s="2">
        <f>IFERROR(__xludf.DUMMYFUNCTION("""COMPUTED_VALUE"""),247.0)</f>
        <v>247</v>
      </c>
      <c r="C2726" s="2">
        <f>IFERROR(__xludf.DUMMYFUNCTION("""COMPUTED_VALUE"""),249.77)</f>
        <v>249.77</v>
      </c>
      <c r="D2726" s="2">
        <f>IFERROR(__xludf.DUMMYFUNCTION("""COMPUTED_VALUE"""),244.2)</f>
        <v>244.2</v>
      </c>
      <c r="E2726" s="2">
        <f>IFERROR(__xludf.DUMMYFUNCTION("""COMPUTED_VALUE"""),246.07)</f>
        <v>246.07</v>
      </c>
      <c r="F2726" s="2">
        <f>IFERROR(__xludf.DUMMYFUNCTION("""COMPUTED_VALUE"""),3.1038502E7)</f>
        <v>31038502</v>
      </c>
    </row>
    <row r="2727">
      <c r="A2727" s="3">
        <f>IFERROR(__xludf.DUMMYFUNCTION("""COMPUTED_VALUE"""),44313.66666666667)</f>
        <v>44313.66667</v>
      </c>
      <c r="B2727" s="2">
        <f>IFERROR(__xludf.DUMMYFUNCTION("""COMPUTED_VALUE"""),239.32)</f>
        <v>239.32</v>
      </c>
      <c r="C2727" s="2">
        <f>IFERROR(__xludf.DUMMYFUNCTION("""COMPUTED_VALUE"""),241.33)</f>
        <v>241.33</v>
      </c>
      <c r="D2727" s="2">
        <f>IFERROR(__xludf.DUMMYFUNCTION("""COMPUTED_VALUE"""),234.45)</f>
        <v>234.45</v>
      </c>
      <c r="E2727" s="2">
        <f>IFERROR(__xludf.DUMMYFUNCTION("""COMPUTED_VALUE"""),234.91)</f>
        <v>234.91</v>
      </c>
      <c r="F2727" s="2">
        <f>IFERROR(__xludf.DUMMYFUNCTION("""COMPUTED_VALUE"""),2.9436995E7)</f>
        <v>29436995</v>
      </c>
    </row>
    <row r="2728">
      <c r="A2728" s="3">
        <f>IFERROR(__xludf.DUMMYFUNCTION("""COMPUTED_VALUE"""),44314.66666666667)</f>
        <v>44314.66667</v>
      </c>
      <c r="B2728" s="2">
        <f>IFERROR(__xludf.DUMMYFUNCTION("""COMPUTED_VALUE"""),232.14)</f>
        <v>232.14</v>
      </c>
      <c r="C2728" s="2">
        <f>IFERROR(__xludf.DUMMYFUNCTION("""COMPUTED_VALUE"""),236.17)</f>
        <v>236.17</v>
      </c>
      <c r="D2728" s="2">
        <f>IFERROR(__xludf.DUMMYFUNCTION("""COMPUTED_VALUE"""),231.2)</f>
        <v>231.2</v>
      </c>
      <c r="E2728" s="2">
        <f>IFERROR(__xludf.DUMMYFUNCTION("""COMPUTED_VALUE"""),231.47)</f>
        <v>231.47</v>
      </c>
      <c r="F2728" s="2">
        <f>IFERROR(__xludf.DUMMYFUNCTION("""COMPUTED_VALUE"""),2.2271047E7)</f>
        <v>22271047</v>
      </c>
    </row>
    <row r="2729">
      <c r="A2729" s="3">
        <f>IFERROR(__xludf.DUMMYFUNCTION("""COMPUTED_VALUE"""),44315.66666666667)</f>
        <v>44315.66667</v>
      </c>
      <c r="B2729" s="2">
        <f>IFERROR(__xludf.DUMMYFUNCTION("""COMPUTED_VALUE"""),233.17)</f>
        <v>233.17</v>
      </c>
      <c r="C2729" s="2">
        <f>IFERROR(__xludf.DUMMYFUNCTION("""COMPUTED_VALUE"""),234.08)</f>
        <v>234.08</v>
      </c>
      <c r="D2729" s="2">
        <f>IFERROR(__xludf.DUMMYFUNCTION("""COMPUTED_VALUE"""),222.83)</f>
        <v>222.83</v>
      </c>
      <c r="E2729" s="2">
        <f>IFERROR(__xludf.DUMMYFUNCTION("""COMPUTED_VALUE"""),225.67)</f>
        <v>225.67</v>
      </c>
      <c r="F2729" s="2">
        <f>IFERROR(__xludf.DUMMYFUNCTION("""COMPUTED_VALUE"""),2.8845449E7)</f>
        <v>28845449</v>
      </c>
    </row>
    <row r="2730">
      <c r="A2730" s="3">
        <f>IFERROR(__xludf.DUMMYFUNCTION("""COMPUTED_VALUE"""),44316.66666666667)</f>
        <v>44316.66667</v>
      </c>
      <c r="B2730" s="2">
        <f>IFERROR(__xludf.DUMMYFUNCTION("""COMPUTED_VALUE"""),222.53)</f>
        <v>222.53</v>
      </c>
      <c r="C2730" s="2">
        <f>IFERROR(__xludf.DUMMYFUNCTION("""COMPUTED_VALUE"""),238.49)</f>
        <v>238.49</v>
      </c>
      <c r="D2730" s="2">
        <f>IFERROR(__xludf.DUMMYFUNCTION("""COMPUTED_VALUE"""),222.05)</f>
        <v>222.05</v>
      </c>
      <c r="E2730" s="2">
        <f>IFERROR(__xludf.DUMMYFUNCTION("""COMPUTED_VALUE"""),236.48)</f>
        <v>236.48</v>
      </c>
      <c r="F2730" s="2">
        <f>IFERROR(__xludf.DUMMYFUNCTION("""COMPUTED_VALUE"""),4.0758722E7)</f>
        <v>40758722</v>
      </c>
    </row>
    <row r="2731">
      <c r="A2731" s="3">
        <f>IFERROR(__xludf.DUMMYFUNCTION("""COMPUTED_VALUE"""),44319.66666666667)</f>
        <v>44319.66667</v>
      </c>
      <c r="B2731" s="2">
        <f>IFERROR(__xludf.DUMMYFUNCTION("""COMPUTED_VALUE"""),234.6)</f>
        <v>234.6</v>
      </c>
      <c r="C2731" s="2">
        <f>IFERROR(__xludf.DUMMYFUNCTION("""COMPUTED_VALUE"""),235.33)</f>
        <v>235.33</v>
      </c>
      <c r="D2731" s="2">
        <f>IFERROR(__xludf.DUMMYFUNCTION("""COMPUTED_VALUE"""),226.83)</f>
        <v>226.83</v>
      </c>
      <c r="E2731" s="2">
        <f>IFERROR(__xludf.DUMMYFUNCTION("""COMPUTED_VALUE"""),228.3)</f>
        <v>228.3</v>
      </c>
      <c r="F2731" s="2">
        <f>IFERROR(__xludf.DUMMYFUNCTION("""COMPUTED_VALUE"""),2.7043143E7)</f>
        <v>27043143</v>
      </c>
    </row>
    <row r="2732">
      <c r="A2732" s="3">
        <f>IFERROR(__xludf.DUMMYFUNCTION("""COMPUTED_VALUE"""),44320.66666666667)</f>
        <v>44320.66667</v>
      </c>
      <c r="B2732" s="2">
        <f>IFERROR(__xludf.DUMMYFUNCTION("""COMPUTED_VALUE"""),226.31)</f>
        <v>226.31</v>
      </c>
      <c r="C2732" s="2">
        <f>IFERROR(__xludf.DUMMYFUNCTION("""COMPUTED_VALUE"""),227.82)</f>
        <v>227.82</v>
      </c>
      <c r="D2732" s="2">
        <f>IFERROR(__xludf.DUMMYFUNCTION("""COMPUTED_VALUE"""),219.23)</f>
        <v>219.23</v>
      </c>
      <c r="E2732" s="2">
        <f>IFERROR(__xludf.DUMMYFUNCTION("""COMPUTED_VALUE"""),224.53)</f>
        <v>224.53</v>
      </c>
      <c r="F2732" s="2">
        <f>IFERROR(__xludf.DUMMYFUNCTION("""COMPUTED_VALUE"""),2.9739319E7)</f>
        <v>29739319</v>
      </c>
    </row>
    <row r="2733">
      <c r="A2733" s="3">
        <f>IFERROR(__xludf.DUMMYFUNCTION("""COMPUTED_VALUE"""),44321.66666666667)</f>
        <v>44321.66667</v>
      </c>
      <c r="B2733" s="2">
        <f>IFERROR(__xludf.DUMMYFUNCTION("""COMPUTED_VALUE"""),227.02)</f>
        <v>227.02</v>
      </c>
      <c r="C2733" s="2">
        <f>IFERROR(__xludf.DUMMYFUNCTION("""COMPUTED_VALUE"""),228.43)</f>
        <v>228.43</v>
      </c>
      <c r="D2733" s="2">
        <f>IFERROR(__xludf.DUMMYFUNCTION("""COMPUTED_VALUE"""),222.45)</f>
        <v>222.45</v>
      </c>
      <c r="E2733" s="2">
        <f>IFERROR(__xludf.DUMMYFUNCTION("""COMPUTED_VALUE"""),223.65)</f>
        <v>223.65</v>
      </c>
      <c r="F2733" s="2">
        <f>IFERROR(__xludf.DUMMYFUNCTION("""COMPUTED_VALUE"""),2.1901894E7)</f>
        <v>21901894</v>
      </c>
    </row>
    <row r="2734">
      <c r="A2734" s="3">
        <f>IFERROR(__xludf.DUMMYFUNCTION("""COMPUTED_VALUE"""),44322.66666666667)</f>
        <v>44322.66667</v>
      </c>
      <c r="B2734" s="2">
        <f>IFERROR(__xludf.DUMMYFUNCTION("""COMPUTED_VALUE"""),226.92)</f>
        <v>226.92</v>
      </c>
      <c r="C2734" s="2">
        <f>IFERROR(__xludf.DUMMYFUNCTION("""COMPUTED_VALUE"""),227.01)</f>
        <v>227.01</v>
      </c>
      <c r="D2734" s="2">
        <f>IFERROR(__xludf.DUMMYFUNCTION("""COMPUTED_VALUE"""),216.67)</f>
        <v>216.67</v>
      </c>
      <c r="E2734" s="2">
        <f>IFERROR(__xludf.DUMMYFUNCTION("""COMPUTED_VALUE"""),221.18)</f>
        <v>221.18</v>
      </c>
      <c r="F2734" s="2">
        <f>IFERROR(__xludf.DUMMYFUNCTION("""COMPUTED_VALUE"""),2.7784619E7)</f>
        <v>27784619</v>
      </c>
    </row>
    <row r="2735">
      <c r="A2735" s="3">
        <f>IFERROR(__xludf.DUMMYFUNCTION("""COMPUTED_VALUE"""),44323.66666666667)</f>
        <v>44323.66667</v>
      </c>
      <c r="B2735" s="2">
        <f>IFERROR(__xludf.DUMMYFUNCTION("""COMPUTED_VALUE"""),221.93)</f>
        <v>221.93</v>
      </c>
      <c r="C2735" s="2">
        <f>IFERROR(__xludf.DUMMYFUNCTION("""COMPUTED_VALUE"""),230.0)</f>
        <v>230</v>
      </c>
      <c r="D2735" s="2">
        <f>IFERROR(__xludf.DUMMYFUNCTION("""COMPUTED_VALUE"""),220.07)</f>
        <v>220.07</v>
      </c>
      <c r="E2735" s="2">
        <f>IFERROR(__xludf.DUMMYFUNCTION("""COMPUTED_VALUE"""),224.12)</f>
        <v>224.12</v>
      </c>
      <c r="F2735" s="2">
        <f>IFERROR(__xludf.DUMMYFUNCTION("""COMPUTED_VALUE"""),2.3469172E7)</f>
        <v>23469172</v>
      </c>
    </row>
    <row r="2736">
      <c r="A2736" s="3">
        <f>IFERROR(__xludf.DUMMYFUNCTION("""COMPUTED_VALUE"""),44326.66666666667)</f>
        <v>44326.66667</v>
      </c>
      <c r="B2736" s="2">
        <f>IFERROR(__xludf.DUMMYFUNCTION("""COMPUTED_VALUE"""),221.63)</f>
        <v>221.63</v>
      </c>
      <c r="C2736" s="2">
        <f>IFERROR(__xludf.DUMMYFUNCTION("""COMPUTED_VALUE"""),221.68)</f>
        <v>221.68</v>
      </c>
      <c r="D2736" s="2">
        <f>IFERROR(__xludf.DUMMYFUNCTION("""COMPUTED_VALUE"""),209.2)</f>
        <v>209.2</v>
      </c>
      <c r="E2736" s="2">
        <f>IFERROR(__xludf.DUMMYFUNCTION("""COMPUTED_VALUE"""),209.68)</f>
        <v>209.68</v>
      </c>
      <c r="F2736" s="2">
        <f>IFERROR(__xludf.DUMMYFUNCTION("""COMPUTED_VALUE"""),3.1392417E7)</f>
        <v>31392417</v>
      </c>
    </row>
    <row r="2737">
      <c r="A2737" s="3">
        <f>IFERROR(__xludf.DUMMYFUNCTION("""COMPUTED_VALUE"""),44327.66666666667)</f>
        <v>44327.66667</v>
      </c>
      <c r="B2737" s="2">
        <f>IFERROR(__xludf.DUMMYFUNCTION("""COMPUTED_VALUE"""),199.75)</f>
        <v>199.75</v>
      </c>
      <c r="C2737" s="2">
        <f>IFERROR(__xludf.DUMMYFUNCTION("""COMPUTED_VALUE"""),209.03)</f>
        <v>209.03</v>
      </c>
      <c r="D2737" s="2">
        <f>IFERROR(__xludf.DUMMYFUNCTION("""COMPUTED_VALUE"""),198.53)</f>
        <v>198.53</v>
      </c>
      <c r="E2737" s="2">
        <f>IFERROR(__xludf.DUMMYFUNCTION("""COMPUTED_VALUE"""),205.73)</f>
        <v>205.73</v>
      </c>
      <c r="F2737" s="2">
        <f>IFERROR(__xludf.DUMMYFUNCTION("""COMPUTED_VALUE"""),4.6503896E7)</f>
        <v>46503896</v>
      </c>
    </row>
    <row r="2738">
      <c r="A2738" s="3">
        <f>IFERROR(__xludf.DUMMYFUNCTION("""COMPUTED_VALUE"""),44328.66666666667)</f>
        <v>44328.66667</v>
      </c>
      <c r="B2738" s="2">
        <f>IFERROR(__xludf.DUMMYFUNCTION("""COMPUTED_VALUE"""),200.83)</f>
        <v>200.83</v>
      </c>
      <c r="C2738" s="2">
        <f>IFERROR(__xludf.DUMMYFUNCTION("""COMPUTED_VALUE"""),206.8)</f>
        <v>206.8</v>
      </c>
      <c r="D2738" s="2">
        <f>IFERROR(__xludf.DUMMYFUNCTION("""COMPUTED_VALUE"""),195.59)</f>
        <v>195.59</v>
      </c>
      <c r="E2738" s="2">
        <f>IFERROR(__xludf.DUMMYFUNCTION("""COMPUTED_VALUE"""),196.63)</f>
        <v>196.63</v>
      </c>
      <c r="F2738" s="2">
        <f>IFERROR(__xludf.DUMMYFUNCTION("""COMPUTED_VALUE"""),3.3823646E7)</f>
        <v>33823646</v>
      </c>
    </row>
    <row r="2739">
      <c r="A2739" s="3">
        <f>IFERROR(__xludf.DUMMYFUNCTION("""COMPUTED_VALUE"""),44329.66666666667)</f>
        <v>44329.66667</v>
      </c>
      <c r="B2739" s="2">
        <f>IFERROR(__xludf.DUMMYFUNCTION("""COMPUTED_VALUE"""),200.52)</f>
        <v>200.52</v>
      </c>
      <c r="C2739" s="2">
        <f>IFERROR(__xludf.DUMMYFUNCTION("""COMPUTED_VALUE"""),202.15)</f>
        <v>202.15</v>
      </c>
      <c r="D2739" s="2">
        <f>IFERROR(__xludf.DUMMYFUNCTION("""COMPUTED_VALUE"""),186.55)</f>
        <v>186.55</v>
      </c>
      <c r="E2739" s="2">
        <f>IFERROR(__xludf.DUMMYFUNCTION("""COMPUTED_VALUE"""),190.56)</f>
        <v>190.56</v>
      </c>
      <c r="F2739" s="2">
        <f>IFERROR(__xludf.DUMMYFUNCTION("""COMPUTED_VALUE"""),4.4184916E7)</f>
        <v>44184916</v>
      </c>
    </row>
    <row r="2740">
      <c r="A2740" s="3">
        <f>IFERROR(__xludf.DUMMYFUNCTION("""COMPUTED_VALUE"""),44330.66666666667)</f>
        <v>44330.66667</v>
      </c>
      <c r="B2740" s="2">
        <f>IFERROR(__xludf.DUMMYFUNCTION("""COMPUTED_VALUE"""),194.47)</f>
        <v>194.47</v>
      </c>
      <c r="C2740" s="2">
        <f>IFERROR(__xludf.DUMMYFUNCTION("""COMPUTED_VALUE"""),197.62)</f>
        <v>197.62</v>
      </c>
      <c r="D2740" s="2">
        <f>IFERROR(__xludf.DUMMYFUNCTION("""COMPUTED_VALUE"""),190.15)</f>
        <v>190.15</v>
      </c>
      <c r="E2740" s="2">
        <f>IFERROR(__xludf.DUMMYFUNCTION("""COMPUTED_VALUE"""),196.58)</f>
        <v>196.58</v>
      </c>
      <c r="F2740" s="2">
        <f>IFERROR(__xludf.DUMMYFUNCTION("""COMPUTED_VALUE"""),3.3370856E7)</f>
        <v>33370856</v>
      </c>
    </row>
    <row r="2741">
      <c r="A2741" s="3">
        <f>IFERROR(__xludf.DUMMYFUNCTION("""COMPUTED_VALUE"""),44333.66666666667)</f>
        <v>44333.66667</v>
      </c>
      <c r="B2741" s="2">
        <f>IFERROR(__xludf.DUMMYFUNCTION("""COMPUTED_VALUE"""),191.85)</f>
        <v>191.85</v>
      </c>
      <c r="C2741" s="2">
        <f>IFERROR(__xludf.DUMMYFUNCTION("""COMPUTED_VALUE"""),196.58)</f>
        <v>196.58</v>
      </c>
      <c r="D2741" s="2">
        <f>IFERROR(__xludf.DUMMYFUNCTION("""COMPUTED_VALUE"""),187.07)</f>
        <v>187.07</v>
      </c>
      <c r="E2741" s="2">
        <f>IFERROR(__xludf.DUMMYFUNCTION("""COMPUTED_VALUE"""),192.28)</f>
        <v>192.28</v>
      </c>
      <c r="F2741" s="2">
        <f>IFERROR(__xludf.DUMMYFUNCTION("""COMPUTED_VALUE"""),3.239036E7)</f>
        <v>32390360</v>
      </c>
    </row>
    <row r="2742">
      <c r="A2742" s="3">
        <f>IFERROR(__xludf.DUMMYFUNCTION("""COMPUTED_VALUE"""),44334.66666666667)</f>
        <v>44334.66667</v>
      </c>
      <c r="B2742" s="2">
        <f>IFERROR(__xludf.DUMMYFUNCTION("""COMPUTED_VALUE"""),189.33)</f>
        <v>189.33</v>
      </c>
      <c r="C2742" s="2">
        <f>IFERROR(__xludf.DUMMYFUNCTION("""COMPUTED_VALUE"""),198.75)</f>
        <v>198.75</v>
      </c>
      <c r="D2742" s="2">
        <f>IFERROR(__xludf.DUMMYFUNCTION("""COMPUTED_VALUE"""),187.79)</f>
        <v>187.79</v>
      </c>
      <c r="E2742" s="2">
        <f>IFERROR(__xludf.DUMMYFUNCTION("""COMPUTED_VALUE"""),192.62)</f>
        <v>192.62</v>
      </c>
      <c r="F2742" s="2">
        <f>IFERROR(__xludf.DUMMYFUNCTION("""COMPUTED_VALUE"""),3.6830567E7)</f>
        <v>36830567</v>
      </c>
    </row>
    <row r="2743">
      <c r="A2743" s="3">
        <f>IFERROR(__xludf.DUMMYFUNCTION("""COMPUTED_VALUE"""),44335.66666666667)</f>
        <v>44335.66667</v>
      </c>
      <c r="B2743" s="2">
        <f>IFERROR(__xludf.DUMMYFUNCTION("""COMPUTED_VALUE"""),184.18)</f>
        <v>184.18</v>
      </c>
      <c r="C2743" s="2">
        <f>IFERROR(__xludf.DUMMYFUNCTION("""COMPUTED_VALUE"""),188.74)</f>
        <v>188.74</v>
      </c>
      <c r="D2743" s="2">
        <f>IFERROR(__xludf.DUMMYFUNCTION("""COMPUTED_VALUE"""),182.33)</f>
        <v>182.33</v>
      </c>
      <c r="E2743" s="2">
        <f>IFERROR(__xludf.DUMMYFUNCTION("""COMPUTED_VALUE"""),187.82)</f>
        <v>187.82</v>
      </c>
      <c r="F2743" s="2">
        <f>IFERROR(__xludf.DUMMYFUNCTION("""COMPUTED_VALUE"""),3.9578395E7)</f>
        <v>39578395</v>
      </c>
    </row>
    <row r="2744">
      <c r="A2744" s="3">
        <f>IFERROR(__xludf.DUMMYFUNCTION("""COMPUTED_VALUE"""),44336.66666666667)</f>
        <v>44336.66667</v>
      </c>
      <c r="B2744" s="2">
        <f>IFERROR(__xludf.DUMMYFUNCTION("""COMPUTED_VALUE"""),191.67)</f>
        <v>191.67</v>
      </c>
      <c r="C2744" s="2">
        <f>IFERROR(__xludf.DUMMYFUNCTION("""COMPUTED_VALUE"""),196.28)</f>
        <v>196.28</v>
      </c>
      <c r="D2744" s="2">
        <f>IFERROR(__xludf.DUMMYFUNCTION("""COMPUTED_VALUE"""),190.36)</f>
        <v>190.36</v>
      </c>
      <c r="E2744" s="2">
        <f>IFERROR(__xludf.DUMMYFUNCTION("""COMPUTED_VALUE"""),195.59)</f>
        <v>195.59</v>
      </c>
      <c r="F2744" s="2">
        <f>IFERROR(__xludf.DUMMYFUNCTION("""COMPUTED_VALUE"""),3.0821119E7)</f>
        <v>30821119</v>
      </c>
    </row>
    <row r="2745">
      <c r="A2745" s="3">
        <f>IFERROR(__xludf.DUMMYFUNCTION("""COMPUTED_VALUE"""),44337.66666666667)</f>
        <v>44337.66667</v>
      </c>
      <c r="B2745" s="2">
        <f>IFERROR(__xludf.DUMMYFUNCTION("""COMPUTED_VALUE"""),198.7)</f>
        <v>198.7</v>
      </c>
      <c r="C2745" s="2">
        <f>IFERROR(__xludf.DUMMYFUNCTION("""COMPUTED_VALUE"""),198.89)</f>
        <v>198.89</v>
      </c>
      <c r="D2745" s="2">
        <f>IFERROR(__xludf.DUMMYFUNCTION("""COMPUTED_VALUE"""),193.33)</f>
        <v>193.33</v>
      </c>
      <c r="E2745" s="2">
        <f>IFERROR(__xludf.DUMMYFUNCTION("""COMPUTED_VALUE"""),193.63)</f>
        <v>193.63</v>
      </c>
      <c r="F2745" s="2">
        <f>IFERROR(__xludf.DUMMYFUNCTION("""COMPUTED_VALUE"""),2.6030595E7)</f>
        <v>26030595</v>
      </c>
    </row>
    <row r="2746">
      <c r="A2746" s="3">
        <f>IFERROR(__xludf.DUMMYFUNCTION("""COMPUTED_VALUE"""),44340.66666666667)</f>
        <v>44340.66667</v>
      </c>
      <c r="B2746" s="2">
        <f>IFERROR(__xludf.DUMMYFUNCTION("""COMPUTED_VALUE"""),193.87)</f>
        <v>193.87</v>
      </c>
      <c r="C2746" s="2">
        <f>IFERROR(__xludf.DUMMYFUNCTION("""COMPUTED_VALUE"""),204.83)</f>
        <v>204.83</v>
      </c>
      <c r="D2746" s="2">
        <f>IFERROR(__xludf.DUMMYFUNCTION("""COMPUTED_VALUE"""),191.22)</f>
        <v>191.22</v>
      </c>
      <c r="E2746" s="2">
        <f>IFERROR(__xludf.DUMMYFUNCTION("""COMPUTED_VALUE"""),202.15)</f>
        <v>202.15</v>
      </c>
      <c r="F2746" s="2">
        <f>IFERROR(__xludf.DUMMYFUNCTION("""COMPUTED_VALUE"""),3.4558089E7)</f>
        <v>34558089</v>
      </c>
    </row>
    <row r="2747">
      <c r="A2747" s="3">
        <f>IFERROR(__xludf.DUMMYFUNCTION("""COMPUTED_VALUE"""),44341.66666666667)</f>
        <v>44341.66667</v>
      </c>
      <c r="B2747" s="2">
        <f>IFERROR(__xludf.DUMMYFUNCTION("""COMPUTED_VALUE"""),202.44)</f>
        <v>202.44</v>
      </c>
      <c r="C2747" s="2">
        <f>IFERROR(__xludf.DUMMYFUNCTION("""COMPUTED_VALUE"""),204.66)</f>
        <v>204.66</v>
      </c>
      <c r="D2747" s="2">
        <f>IFERROR(__xludf.DUMMYFUNCTION("""COMPUTED_VALUE"""),198.57)</f>
        <v>198.57</v>
      </c>
      <c r="E2747" s="2">
        <f>IFERROR(__xludf.DUMMYFUNCTION("""COMPUTED_VALUE"""),201.56)</f>
        <v>201.56</v>
      </c>
      <c r="F2747" s="2">
        <f>IFERROR(__xludf.DUMMYFUNCTION("""COMPUTED_VALUE"""),2.8005933E7)</f>
        <v>28005933</v>
      </c>
    </row>
    <row r="2748">
      <c r="A2748" s="3">
        <f>IFERROR(__xludf.DUMMYFUNCTION("""COMPUTED_VALUE"""),44342.66666666667)</f>
        <v>44342.66667</v>
      </c>
      <c r="B2748" s="2">
        <f>IFERROR(__xludf.DUMMYFUNCTION("""COMPUTED_VALUE"""),202.52)</f>
        <v>202.52</v>
      </c>
      <c r="C2748" s="2">
        <f>IFERROR(__xludf.DUMMYFUNCTION("""COMPUTED_VALUE"""),208.72)</f>
        <v>208.72</v>
      </c>
      <c r="D2748" s="2">
        <f>IFERROR(__xludf.DUMMYFUNCTION("""COMPUTED_VALUE"""),200.5)</f>
        <v>200.5</v>
      </c>
      <c r="E2748" s="2">
        <f>IFERROR(__xludf.DUMMYFUNCTION("""COMPUTED_VALUE"""),206.38)</f>
        <v>206.38</v>
      </c>
      <c r="F2748" s="2">
        <f>IFERROR(__xludf.DUMMYFUNCTION("""COMPUTED_VALUE"""),2.8639305E7)</f>
        <v>28639305</v>
      </c>
    </row>
    <row r="2749">
      <c r="A2749" s="3">
        <f>IFERROR(__xludf.DUMMYFUNCTION("""COMPUTED_VALUE"""),44343.66666666667)</f>
        <v>44343.66667</v>
      </c>
      <c r="B2749" s="2">
        <f>IFERROR(__xludf.DUMMYFUNCTION("""COMPUTED_VALUE"""),206.75)</f>
        <v>206.75</v>
      </c>
      <c r="C2749" s="2">
        <f>IFERROR(__xludf.DUMMYFUNCTION("""COMPUTED_VALUE"""),210.38)</f>
        <v>210.38</v>
      </c>
      <c r="D2749" s="2">
        <f>IFERROR(__xludf.DUMMYFUNCTION("""COMPUTED_VALUE"""),205.4)</f>
        <v>205.4</v>
      </c>
      <c r="E2749" s="2">
        <f>IFERROR(__xludf.DUMMYFUNCTION("""COMPUTED_VALUE"""),210.28)</f>
        <v>210.28</v>
      </c>
      <c r="F2749" s="2">
        <f>IFERROR(__xludf.DUMMYFUNCTION("""COMPUTED_VALUE"""),2.6370593E7)</f>
        <v>26370593</v>
      </c>
    </row>
    <row r="2750">
      <c r="A2750" s="3">
        <f>IFERROR(__xludf.DUMMYFUNCTION("""COMPUTED_VALUE"""),44344.66666666667)</f>
        <v>44344.66667</v>
      </c>
      <c r="B2750" s="2">
        <f>IFERROR(__xludf.DUMMYFUNCTION("""COMPUTED_VALUE"""),209.5)</f>
        <v>209.5</v>
      </c>
      <c r="C2750" s="2">
        <f>IFERROR(__xludf.DUMMYFUNCTION("""COMPUTED_VALUE"""),211.86)</f>
        <v>211.86</v>
      </c>
      <c r="D2750" s="2">
        <f>IFERROR(__xludf.DUMMYFUNCTION("""COMPUTED_VALUE"""),207.46)</f>
        <v>207.46</v>
      </c>
      <c r="E2750" s="2">
        <f>IFERROR(__xludf.DUMMYFUNCTION("""COMPUTED_VALUE"""),208.41)</f>
        <v>208.41</v>
      </c>
      <c r="F2750" s="2">
        <f>IFERROR(__xludf.DUMMYFUNCTION("""COMPUTED_VALUE"""),2.2737038E7)</f>
        <v>22737038</v>
      </c>
    </row>
    <row r="2751">
      <c r="A2751" s="3">
        <f>IFERROR(__xludf.DUMMYFUNCTION("""COMPUTED_VALUE"""),44348.66666666667)</f>
        <v>44348.66667</v>
      </c>
      <c r="B2751" s="2">
        <f>IFERROR(__xludf.DUMMYFUNCTION("""COMPUTED_VALUE"""),209.27)</f>
        <v>209.27</v>
      </c>
      <c r="C2751" s="2">
        <f>IFERROR(__xludf.DUMMYFUNCTION("""COMPUTED_VALUE"""),211.27)</f>
        <v>211.27</v>
      </c>
      <c r="D2751" s="2">
        <f>IFERROR(__xludf.DUMMYFUNCTION("""COMPUTED_VALUE"""),206.85)</f>
        <v>206.85</v>
      </c>
      <c r="E2751" s="2">
        <f>IFERROR(__xludf.DUMMYFUNCTION("""COMPUTED_VALUE"""),207.97)</f>
        <v>207.97</v>
      </c>
      <c r="F2751" s="2">
        <f>IFERROR(__xludf.DUMMYFUNCTION("""COMPUTED_VALUE"""),1.808489E7)</f>
        <v>18084890</v>
      </c>
    </row>
    <row r="2752">
      <c r="A2752" s="3">
        <f>IFERROR(__xludf.DUMMYFUNCTION("""COMPUTED_VALUE"""),44349.66666666667)</f>
        <v>44349.66667</v>
      </c>
      <c r="B2752" s="2">
        <f>IFERROR(__xludf.DUMMYFUNCTION("""COMPUTED_VALUE"""),206.71)</f>
        <v>206.71</v>
      </c>
      <c r="C2752" s="2">
        <f>IFERROR(__xludf.DUMMYFUNCTION("""COMPUTED_VALUE"""),207.79)</f>
        <v>207.79</v>
      </c>
      <c r="D2752" s="2">
        <f>IFERROR(__xludf.DUMMYFUNCTION("""COMPUTED_VALUE"""),199.71)</f>
        <v>199.71</v>
      </c>
      <c r="E2752" s="2">
        <f>IFERROR(__xludf.DUMMYFUNCTION("""COMPUTED_VALUE"""),201.71)</f>
        <v>201.71</v>
      </c>
      <c r="F2752" s="2">
        <f>IFERROR(__xludf.DUMMYFUNCTION("""COMPUTED_VALUE"""),2.3302779E7)</f>
        <v>23302779</v>
      </c>
    </row>
    <row r="2753">
      <c r="A2753" s="3">
        <f>IFERROR(__xludf.DUMMYFUNCTION("""COMPUTED_VALUE"""),44350.66666666667)</f>
        <v>44350.66667</v>
      </c>
      <c r="B2753" s="2">
        <f>IFERROR(__xludf.DUMMYFUNCTION("""COMPUTED_VALUE"""),200.6)</f>
        <v>200.6</v>
      </c>
      <c r="C2753" s="2">
        <f>IFERROR(__xludf.DUMMYFUNCTION("""COMPUTED_VALUE"""),201.52)</f>
        <v>201.52</v>
      </c>
      <c r="D2753" s="2">
        <f>IFERROR(__xludf.DUMMYFUNCTION("""COMPUTED_VALUE"""),190.41)</f>
        <v>190.41</v>
      </c>
      <c r="E2753" s="2">
        <f>IFERROR(__xludf.DUMMYFUNCTION("""COMPUTED_VALUE"""),190.95)</f>
        <v>190.95</v>
      </c>
      <c r="F2753" s="2">
        <f>IFERROR(__xludf.DUMMYFUNCTION("""COMPUTED_VALUE"""),3.0111893E7)</f>
        <v>30111893</v>
      </c>
    </row>
    <row r="2754">
      <c r="A2754" s="3">
        <f>IFERROR(__xludf.DUMMYFUNCTION("""COMPUTED_VALUE"""),44351.66666666667)</f>
        <v>44351.66667</v>
      </c>
      <c r="B2754" s="2">
        <f>IFERROR(__xludf.DUMMYFUNCTION("""COMPUTED_VALUE"""),193.24)</f>
        <v>193.24</v>
      </c>
      <c r="C2754" s="2">
        <f>IFERROR(__xludf.DUMMYFUNCTION("""COMPUTED_VALUE"""),200.2)</f>
        <v>200.2</v>
      </c>
      <c r="D2754" s="2">
        <f>IFERROR(__xludf.DUMMYFUNCTION("""COMPUTED_VALUE"""),192.4)</f>
        <v>192.4</v>
      </c>
      <c r="E2754" s="2">
        <f>IFERROR(__xludf.DUMMYFUNCTION("""COMPUTED_VALUE"""),199.68)</f>
        <v>199.68</v>
      </c>
      <c r="F2754" s="2">
        <f>IFERROR(__xludf.DUMMYFUNCTION("""COMPUTED_VALUE"""),2.4036896E7)</f>
        <v>24036896</v>
      </c>
    </row>
    <row r="2755">
      <c r="A2755" s="3">
        <f>IFERROR(__xludf.DUMMYFUNCTION("""COMPUTED_VALUE"""),44354.66666666667)</f>
        <v>44354.66667</v>
      </c>
      <c r="B2755" s="2">
        <f>IFERROR(__xludf.DUMMYFUNCTION("""COMPUTED_VALUE"""),197.28)</f>
        <v>197.28</v>
      </c>
      <c r="C2755" s="2">
        <f>IFERROR(__xludf.DUMMYFUNCTION("""COMPUTED_VALUE"""),203.33)</f>
        <v>203.33</v>
      </c>
      <c r="D2755" s="2">
        <f>IFERROR(__xludf.DUMMYFUNCTION("""COMPUTED_VALUE"""),194.29)</f>
        <v>194.29</v>
      </c>
      <c r="E2755" s="2">
        <f>IFERROR(__xludf.DUMMYFUNCTION("""COMPUTED_VALUE"""),201.71)</f>
        <v>201.71</v>
      </c>
      <c r="F2755" s="2">
        <f>IFERROR(__xludf.DUMMYFUNCTION("""COMPUTED_VALUE"""),2.2543682E7)</f>
        <v>22543682</v>
      </c>
    </row>
    <row r="2756">
      <c r="A2756" s="3">
        <f>IFERROR(__xludf.DUMMYFUNCTION("""COMPUTED_VALUE"""),44355.66666666667)</f>
        <v>44355.66667</v>
      </c>
      <c r="B2756" s="2">
        <f>IFERROR(__xludf.DUMMYFUNCTION("""COMPUTED_VALUE"""),207.67)</f>
        <v>207.67</v>
      </c>
      <c r="C2756" s="2">
        <f>IFERROR(__xludf.DUMMYFUNCTION("""COMPUTED_VALUE"""),207.7)</f>
        <v>207.7</v>
      </c>
      <c r="D2756" s="2">
        <f>IFERROR(__xludf.DUMMYFUNCTION("""COMPUTED_VALUE"""),198.5)</f>
        <v>198.5</v>
      </c>
      <c r="E2756" s="2">
        <f>IFERROR(__xludf.DUMMYFUNCTION("""COMPUTED_VALUE"""),201.2)</f>
        <v>201.2</v>
      </c>
      <c r="F2756" s="2">
        <f>IFERROR(__xludf.DUMMYFUNCTION("""COMPUTED_VALUE"""),2.6053405E7)</f>
        <v>26053405</v>
      </c>
    </row>
    <row r="2757">
      <c r="A2757" s="3">
        <f>IFERROR(__xludf.DUMMYFUNCTION("""COMPUTED_VALUE"""),44356.66666666667)</f>
        <v>44356.66667</v>
      </c>
      <c r="B2757" s="2">
        <f>IFERROR(__xludf.DUMMYFUNCTION("""COMPUTED_VALUE"""),200.72)</f>
        <v>200.72</v>
      </c>
      <c r="C2757" s="2">
        <f>IFERROR(__xludf.DUMMYFUNCTION("""COMPUTED_VALUE"""),203.93)</f>
        <v>203.93</v>
      </c>
      <c r="D2757" s="2">
        <f>IFERROR(__xludf.DUMMYFUNCTION("""COMPUTED_VALUE"""),199.21)</f>
        <v>199.21</v>
      </c>
      <c r="E2757" s="2">
        <f>IFERROR(__xludf.DUMMYFUNCTION("""COMPUTED_VALUE"""),199.59)</f>
        <v>199.59</v>
      </c>
      <c r="F2757" s="2">
        <f>IFERROR(__xludf.DUMMYFUNCTION("""COMPUTED_VALUE"""),1.6584566E7)</f>
        <v>16584566</v>
      </c>
    </row>
    <row r="2758">
      <c r="A2758" s="3">
        <f>IFERROR(__xludf.DUMMYFUNCTION("""COMPUTED_VALUE"""),44357.66666666667)</f>
        <v>44357.66667</v>
      </c>
      <c r="B2758" s="2">
        <f>IFERROR(__xludf.DUMMYFUNCTION("""COMPUTED_VALUE"""),201.29)</f>
        <v>201.29</v>
      </c>
      <c r="C2758" s="2">
        <f>IFERROR(__xludf.DUMMYFUNCTION("""COMPUTED_VALUE"""),205.53)</f>
        <v>205.53</v>
      </c>
      <c r="D2758" s="2">
        <f>IFERROR(__xludf.DUMMYFUNCTION("""COMPUTED_VALUE"""),200.17)</f>
        <v>200.17</v>
      </c>
      <c r="E2758" s="2">
        <f>IFERROR(__xludf.DUMMYFUNCTION("""COMPUTED_VALUE"""),203.37)</f>
        <v>203.37</v>
      </c>
      <c r="F2758" s="2">
        <f>IFERROR(__xludf.DUMMYFUNCTION("""COMPUTED_VALUE"""),2.3919606E7)</f>
        <v>23919606</v>
      </c>
    </row>
    <row r="2759">
      <c r="A2759" s="3">
        <f>IFERROR(__xludf.DUMMYFUNCTION("""COMPUTED_VALUE"""),44358.66666666667)</f>
        <v>44358.66667</v>
      </c>
      <c r="B2759" s="2">
        <f>IFERROR(__xludf.DUMMYFUNCTION("""COMPUTED_VALUE"""),203.41)</f>
        <v>203.41</v>
      </c>
      <c r="C2759" s="2">
        <f>IFERROR(__xludf.DUMMYFUNCTION("""COMPUTED_VALUE"""),204.19)</f>
        <v>204.19</v>
      </c>
      <c r="D2759" s="2">
        <f>IFERROR(__xludf.DUMMYFUNCTION("""COMPUTED_VALUE"""),200.51)</f>
        <v>200.51</v>
      </c>
      <c r="E2759" s="2">
        <f>IFERROR(__xludf.DUMMYFUNCTION("""COMPUTED_VALUE"""),203.3)</f>
        <v>203.3</v>
      </c>
      <c r="F2759" s="2">
        <f>IFERROR(__xludf.DUMMYFUNCTION("""COMPUTED_VALUE"""),1.6205303E7)</f>
        <v>16205303</v>
      </c>
    </row>
    <row r="2760">
      <c r="A2760" s="3">
        <f>IFERROR(__xludf.DUMMYFUNCTION("""COMPUTED_VALUE"""),44361.66666666667)</f>
        <v>44361.66667</v>
      </c>
      <c r="B2760" s="2">
        <f>IFERROR(__xludf.DUMMYFUNCTION("""COMPUTED_VALUE"""),204.08)</f>
        <v>204.08</v>
      </c>
      <c r="C2760" s="2">
        <f>IFERROR(__xludf.DUMMYFUNCTION("""COMPUTED_VALUE"""),208.5)</f>
        <v>208.5</v>
      </c>
      <c r="D2760" s="2">
        <f>IFERROR(__xludf.DUMMYFUNCTION("""COMPUTED_VALUE"""),203.06)</f>
        <v>203.06</v>
      </c>
      <c r="E2760" s="2">
        <f>IFERROR(__xludf.DUMMYFUNCTION("""COMPUTED_VALUE"""),205.9)</f>
        <v>205.9</v>
      </c>
      <c r="F2760" s="2">
        <f>IFERROR(__xludf.DUMMYFUNCTION("""COMPUTED_VALUE"""),2.0423983E7)</f>
        <v>20423983</v>
      </c>
    </row>
    <row r="2761">
      <c r="A2761" s="3">
        <f>IFERROR(__xludf.DUMMYFUNCTION("""COMPUTED_VALUE"""),44362.66666666667)</f>
        <v>44362.66667</v>
      </c>
      <c r="B2761" s="2">
        <f>IFERROR(__xludf.DUMMYFUNCTION("""COMPUTED_VALUE"""),205.56)</f>
        <v>205.56</v>
      </c>
      <c r="C2761" s="2">
        <f>IFERROR(__xludf.DUMMYFUNCTION("""COMPUTED_VALUE"""),205.6)</f>
        <v>205.6</v>
      </c>
      <c r="D2761" s="2">
        <f>IFERROR(__xludf.DUMMYFUNCTION("""COMPUTED_VALUE"""),199.41)</f>
        <v>199.41</v>
      </c>
      <c r="E2761" s="2">
        <f>IFERROR(__xludf.DUMMYFUNCTION("""COMPUTED_VALUE"""),199.79)</f>
        <v>199.79</v>
      </c>
      <c r="F2761" s="2">
        <f>IFERROR(__xludf.DUMMYFUNCTION("""COMPUTED_VALUE"""),1.7764145E7)</f>
        <v>17764145</v>
      </c>
    </row>
    <row r="2762">
      <c r="A2762" s="3">
        <f>IFERROR(__xludf.DUMMYFUNCTION("""COMPUTED_VALUE"""),44363.66666666667)</f>
        <v>44363.66667</v>
      </c>
      <c r="B2762" s="2">
        <f>IFERROR(__xludf.DUMMYFUNCTION("""COMPUTED_VALUE"""),199.18)</f>
        <v>199.18</v>
      </c>
      <c r="C2762" s="2">
        <f>IFERROR(__xludf.DUMMYFUNCTION("""COMPUTED_VALUE"""),202.83)</f>
        <v>202.83</v>
      </c>
      <c r="D2762" s="2">
        <f>IFERROR(__xludf.DUMMYFUNCTION("""COMPUTED_VALUE"""),197.83)</f>
        <v>197.83</v>
      </c>
      <c r="E2762" s="2">
        <f>IFERROR(__xludf.DUMMYFUNCTION("""COMPUTED_VALUE"""),201.62)</f>
        <v>201.62</v>
      </c>
      <c r="F2762" s="2">
        <f>IFERROR(__xludf.DUMMYFUNCTION("""COMPUTED_VALUE"""),2.2144127E7)</f>
        <v>22144127</v>
      </c>
    </row>
    <row r="2763">
      <c r="A2763" s="3">
        <f>IFERROR(__xludf.DUMMYFUNCTION("""COMPUTED_VALUE"""),44364.66666666667)</f>
        <v>44364.66667</v>
      </c>
      <c r="B2763" s="2">
        <f>IFERROR(__xludf.DUMMYFUNCTION("""COMPUTED_VALUE"""),200.63)</f>
        <v>200.63</v>
      </c>
      <c r="C2763" s="2">
        <f>IFERROR(__xludf.DUMMYFUNCTION("""COMPUTED_VALUE"""),207.16)</f>
        <v>207.16</v>
      </c>
      <c r="D2763" s="2">
        <f>IFERROR(__xludf.DUMMYFUNCTION("""COMPUTED_VALUE"""),200.45)</f>
        <v>200.45</v>
      </c>
      <c r="E2763" s="2">
        <f>IFERROR(__xludf.DUMMYFUNCTION("""COMPUTED_VALUE"""),205.53)</f>
        <v>205.53</v>
      </c>
      <c r="F2763" s="2">
        <f>IFERROR(__xludf.DUMMYFUNCTION("""COMPUTED_VALUE"""),2.270135E7)</f>
        <v>22701350</v>
      </c>
    </row>
    <row r="2764">
      <c r="A2764" s="3">
        <f>IFERROR(__xludf.DUMMYFUNCTION("""COMPUTED_VALUE"""),44365.66666666667)</f>
        <v>44365.66667</v>
      </c>
      <c r="B2764" s="2">
        <f>IFERROR(__xludf.DUMMYFUNCTION("""COMPUTED_VALUE"""),204.46)</f>
        <v>204.46</v>
      </c>
      <c r="C2764" s="2">
        <f>IFERROR(__xludf.DUMMYFUNCTION("""COMPUTED_VALUE"""),209.45)</f>
        <v>209.45</v>
      </c>
      <c r="D2764" s="2">
        <f>IFERROR(__xludf.DUMMYFUNCTION("""COMPUTED_VALUE"""),203.93)</f>
        <v>203.93</v>
      </c>
      <c r="E2764" s="2">
        <f>IFERROR(__xludf.DUMMYFUNCTION("""COMPUTED_VALUE"""),207.77)</f>
        <v>207.77</v>
      </c>
      <c r="F2764" s="2">
        <f>IFERROR(__xludf.DUMMYFUNCTION("""COMPUTED_VALUE"""),2.4560905E7)</f>
        <v>24560905</v>
      </c>
    </row>
    <row r="2765">
      <c r="A2765" s="3">
        <f>IFERROR(__xludf.DUMMYFUNCTION("""COMPUTED_VALUE"""),44368.66666666667)</f>
        <v>44368.66667</v>
      </c>
      <c r="B2765" s="2">
        <f>IFERROR(__xludf.DUMMYFUNCTION("""COMPUTED_VALUE"""),208.16)</f>
        <v>208.16</v>
      </c>
      <c r="C2765" s="2">
        <f>IFERROR(__xludf.DUMMYFUNCTION("""COMPUTED_VALUE"""),210.46)</f>
        <v>210.46</v>
      </c>
      <c r="D2765" s="2">
        <f>IFERROR(__xludf.DUMMYFUNCTION("""COMPUTED_VALUE"""),202.96)</f>
        <v>202.96</v>
      </c>
      <c r="E2765" s="2">
        <f>IFERROR(__xludf.DUMMYFUNCTION("""COMPUTED_VALUE"""),206.94)</f>
        <v>206.94</v>
      </c>
      <c r="F2765" s="2">
        <f>IFERROR(__xludf.DUMMYFUNCTION("""COMPUTED_VALUE"""),2.4812741E7)</f>
        <v>24812741</v>
      </c>
    </row>
    <row r="2766">
      <c r="A2766" s="3">
        <f>IFERROR(__xludf.DUMMYFUNCTION("""COMPUTED_VALUE"""),44369.66666666667)</f>
        <v>44369.66667</v>
      </c>
      <c r="B2766" s="2">
        <f>IFERROR(__xludf.DUMMYFUNCTION("""COMPUTED_VALUE"""),206.08)</f>
        <v>206.08</v>
      </c>
      <c r="C2766" s="2">
        <f>IFERROR(__xludf.DUMMYFUNCTION("""COMPUTED_VALUE"""),209.52)</f>
        <v>209.52</v>
      </c>
      <c r="D2766" s="2">
        <f>IFERROR(__xludf.DUMMYFUNCTION("""COMPUTED_VALUE"""),205.17)</f>
        <v>205.17</v>
      </c>
      <c r="E2766" s="2">
        <f>IFERROR(__xludf.DUMMYFUNCTION("""COMPUTED_VALUE"""),207.9)</f>
        <v>207.9</v>
      </c>
      <c r="F2766" s="2">
        <f>IFERROR(__xludf.DUMMYFUNCTION("""COMPUTED_VALUE"""),1.9158892E7)</f>
        <v>19158892</v>
      </c>
    </row>
    <row r="2767">
      <c r="A2767" s="3">
        <f>IFERROR(__xludf.DUMMYFUNCTION("""COMPUTED_VALUE"""),44370.66666666667)</f>
        <v>44370.66667</v>
      </c>
      <c r="B2767" s="2">
        <f>IFERROR(__xludf.DUMMYFUNCTION("""COMPUTED_VALUE"""),210.67)</f>
        <v>210.67</v>
      </c>
      <c r="C2767" s="2">
        <f>IFERROR(__xludf.DUMMYFUNCTION("""COMPUTED_VALUE"""),219.07)</f>
        <v>219.07</v>
      </c>
      <c r="D2767" s="2">
        <f>IFERROR(__xludf.DUMMYFUNCTION("""COMPUTED_VALUE"""),210.01)</f>
        <v>210.01</v>
      </c>
      <c r="E2767" s="2">
        <f>IFERROR(__xludf.DUMMYFUNCTION("""COMPUTED_VALUE"""),218.86)</f>
        <v>218.86</v>
      </c>
      <c r="F2767" s="2">
        <f>IFERROR(__xludf.DUMMYFUNCTION("""COMPUTED_VALUE"""),3.1099228E7)</f>
        <v>31099228</v>
      </c>
    </row>
    <row r="2768">
      <c r="A2768" s="3">
        <f>IFERROR(__xludf.DUMMYFUNCTION("""COMPUTED_VALUE"""),44371.66666666667)</f>
        <v>44371.66667</v>
      </c>
      <c r="B2768" s="2">
        <f>IFERROR(__xludf.DUMMYFUNCTION("""COMPUTED_VALUE"""),225.0)</f>
        <v>225</v>
      </c>
      <c r="C2768" s="2">
        <f>IFERROR(__xludf.DUMMYFUNCTION("""COMPUTED_VALUE"""),232.54)</f>
        <v>232.54</v>
      </c>
      <c r="D2768" s="2">
        <f>IFERROR(__xludf.DUMMYFUNCTION("""COMPUTED_VALUE"""),222.54)</f>
        <v>222.54</v>
      </c>
      <c r="E2768" s="2">
        <f>IFERROR(__xludf.DUMMYFUNCTION("""COMPUTED_VALUE"""),226.61)</f>
        <v>226.61</v>
      </c>
      <c r="F2768" s="2">
        <f>IFERROR(__xludf.DUMMYFUNCTION("""COMPUTED_VALUE"""),4.5982386E7)</f>
        <v>45982386</v>
      </c>
    </row>
    <row r="2769">
      <c r="A2769" s="3">
        <f>IFERROR(__xludf.DUMMYFUNCTION("""COMPUTED_VALUE"""),44372.66666666667)</f>
        <v>44372.66667</v>
      </c>
      <c r="B2769" s="2">
        <f>IFERROR(__xludf.DUMMYFUNCTION("""COMPUTED_VALUE"""),229.86)</f>
        <v>229.86</v>
      </c>
      <c r="C2769" s="2">
        <f>IFERROR(__xludf.DUMMYFUNCTION("""COMPUTED_VALUE"""),231.27)</f>
        <v>231.27</v>
      </c>
      <c r="D2769" s="2">
        <f>IFERROR(__xludf.DUMMYFUNCTION("""COMPUTED_VALUE"""),222.9)</f>
        <v>222.9</v>
      </c>
      <c r="E2769" s="2">
        <f>IFERROR(__xludf.DUMMYFUNCTION("""COMPUTED_VALUE"""),223.96)</f>
        <v>223.96</v>
      </c>
      <c r="F2769" s="2">
        <f>IFERROR(__xludf.DUMMYFUNCTION("""COMPUTED_VALUE"""),3.2496707E7)</f>
        <v>32496707</v>
      </c>
    </row>
    <row r="2770">
      <c r="A2770" s="3">
        <f>IFERROR(__xludf.DUMMYFUNCTION("""COMPUTED_VALUE"""),44375.66666666667)</f>
        <v>44375.66667</v>
      </c>
      <c r="B2770" s="2">
        <f>IFERROR(__xludf.DUMMYFUNCTION("""COMPUTED_VALUE"""),223.88)</f>
        <v>223.88</v>
      </c>
      <c r="C2770" s="2">
        <f>IFERROR(__xludf.DUMMYFUNCTION("""COMPUTED_VALUE"""),231.57)</f>
        <v>231.57</v>
      </c>
      <c r="D2770" s="2">
        <f>IFERROR(__xludf.DUMMYFUNCTION("""COMPUTED_VALUE"""),223.44)</f>
        <v>223.44</v>
      </c>
      <c r="E2770" s="2">
        <f>IFERROR(__xludf.DUMMYFUNCTION("""COMPUTED_VALUE"""),229.57)</f>
        <v>229.57</v>
      </c>
      <c r="F2770" s="2">
        <f>IFERROR(__xludf.DUMMYFUNCTION("""COMPUTED_VALUE"""),2.1628159E7)</f>
        <v>21628159</v>
      </c>
    </row>
    <row r="2771">
      <c r="A2771" s="3">
        <f>IFERROR(__xludf.DUMMYFUNCTION("""COMPUTED_VALUE"""),44376.66666666667)</f>
        <v>44376.66667</v>
      </c>
      <c r="B2771" s="2">
        <f>IFERROR(__xludf.DUMMYFUNCTION("""COMPUTED_VALUE"""),228.22)</f>
        <v>228.22</v>
      </c>
      <c r="C2771" s="2">
        <f>IFERROR(__xludf.DUMMYFUNCTION("""COMPUTED_VALUE"""),229.17)</f>
        <v>229.17</v>
      </c>
      <c r="D2771" s="2">
        <f>IFERROR(__xludf.DUMMYFUNCTION("""COMPUTED_VALUE"""),225.3)</f>
        <v>225.3</v>
      </c>
      <c r="E2771" s="2">
        <f>IFERROR(__xludf.DUMMYFUNCTION("""COMPUTED_VALUE"""),226.92)</f>
        <v>226.92</v>
      </c>
      <c r="F2771" s="2">
        <f>IFERROR(__xludf.DUMMYFUNCTION("""COMPUTED_VALUE"""),1.7381313E7)</f>
        <v>17381313</v>
      </c>
    </row>
    <row r="2772">
      <c r="A2772" s="3">
        <f>IFERROR(__xludf.DUMMYFUNCTION("""COMPUTED_VALUE"""),44377.66666666667)</f>
        <v>44377.66667</v>
      </c>
      <c r="B2772" s="2">
        <f>IFERROR(__xludf.DUMMYFUNCTION("""COMPUTED_VALUE"""),226.59)</f>
        <v>226.59</v>
      </c>
      <c r="C2772" s="2">
        <f>IFERROR(__xludf.DUMMYFUNCTION("""COMPUTED_VALUE"""),230.94)</f>
        <v>230.94</v>
      </c>
      <c r="D2772" s="2">
        <f>IFERROR(__xludf.DUMMYFUNCTION("""COMPUTED_VALUE"""),226.05)</f>
        <v>226.05</v>
      </c>
      <c r="E2772" s="2">
        <f>IFERROR(__xludf.DUMMYFUNCTION("""COMPUTED_VALUE"""),226.57)</f>
        <v>226.57</v>
      </c>
      <c r="F2772" s="2">
        <f>IFERROR(__xludf.DUMMYFUNCTION("""COMPUTED_VALUE"""),1.8924862E7)</f>
        <v>18924862</v>
      </c>
    </row>
    <row r="2773">
      <c r="A2773" s="3">
        <f>IFERROR(__xludf.DUMMYFUNCTION("""COMPUTED_VALUE"""),44378.66666666667)</f>
        <v>44378.66667</v>
      </c>
      <c r="B2773" s="2">
        <f>IFERROR(__xludf.DUMMYFUNCTION("""COMPUTED_VALUE"""),227.97)</f>
        <v>227.97</v>
      </c>
      <c r="C2773" s="2">
        <f>IFERROR(__xludf.DUMMYFUNCTION("""COMPUTED_VALUE"""),229.33)</f>
        <v>229.33</v>
      </c>
      <c r="D2773" s="2">
        <f>IFERROR(__xludf.DUMMYFUNCTION("""COMPUTED_VALUE"""),224.27)</f>
        <v>224.27</v>
      </c>
      <c r="E2773" s="2">
        <f>IFERROR(__xludf.DUMMYFUNCTION("""COMPUTED_VALUE"""),225.97)</f>
        <v>225.97</v>
      </c>
      <c r="F2773" s="2">
        <f>IFERROR(__xludf.DUMMYFUNCTION("""COMPUTED_VALUE"""),1.8634522E7)</f>
        <v>18634522</v>
      </c>
    </row>
    <row r="2774">
      <c r="A2774" s="3">
        <f>IFERROR(__xludf.DUMMYFUNCTION("""COMPUTED_VALUE"""),44379.66666666667)</f>
        <v>44379.66667</v>
      </c>
      <c r="B2774" s="2">
        <f>IFERROR(__xludf.DUMMYFUNCTION("""COMPUTED_VALUE"""),226.33)</f>
        <v>226.33</v>
      </c>
      <c r="C2774" s="2">
        <f>IFERROR(__xludf.DUMMYFUNCTION("""COMPUTED_VALUE"""),233.33)</f>
        <v>233.33</v>
      </c>
      <c r="D2774" s="2">
        <f>IFERROR(__xludf.DUMMYFUNCTION("""COMPUTED_VALUE"""),224.42)</f>
        <v>224.42</v>
      </c>
      <c r="E2774" s="2">
        <f>IFERROR(__xludf.DUMMYFUNCTION("""COMPUTED_VALUE"""),226.3)</f>
        <v>226.3</v>
      </c>
      <c r="F2774" s="2">
        <f>IFERROR(__xludf.DUMMYFUNCTION("""COMPUTED_VALUE"""),2.7097374E7)</f>
        <v>27097374</v>
      </c>
    </row>
    <row r="2775">
      <c r="A2775" s="3">
        <f>IFERROR(__xludf.DUMMYFUNCTION("""COMPUTED_VALUE"""),44383.66666666667)</f>
        <v>44383.66667</v>
      </c>
      <c r="B2775" s="2">
        <f>IFERROR(__xludf.DUMMYFUNCTION("""COMPUTED_VALUE"""),227.24)</f>
        <v>227.24</v>
      </c>
      <c r="C2775" s="2">
        <f>IFERROR(__xludf.DUMMYFUNCTION("""COMPUTED_VALUE"""),228.0)</f>
        <v>228</v>
      </c>
      <c r="D2775" s="2">
        <f>IFERROR(__xludf.DUMMYFUNCTION("""COMPUTED_VALUE"""),217.13)</f>
        <v>217.13</v>
      </c>
      <c r="E2775" s="2">
        <f>IFERROR(__xludf.DUMMYFUNCTION("""COMPUTED_VALUE"""),219.86)</f>
        <v>219.86</v>
      </c>
      <c r="F2775" s="2">
        <f>IFERROR(__xludf.DUMMYFUNCTION("""COMPUTED_VALUE"""),2.328445E7)</f>
        <v>23284450</v>
      </c>
    </row>
    <row r="2776">
      <c r="A2776" s="3">
        <f>IFERROR(__xludf.DUMMYFUNCTION("""COMPUTED_VALUE"""),44384.66666666667)</f>
        <v>44384.66667</v>
      </c>
      <c r="B2776" s="2">
        <f>IFERROR(__xludf.DUMMYFUNCTION("""COMPUTED_VALUE"""),221.42)</f>
        <v>221.42</v>
      </c>
      <c r="C2776" s="2">
        <f>IFERROR(__xludf.DUMMYFUNCTION("""COMPUTED_VALUE"""),221.9)</f>
        <v>221.9</v>
      </c>
      <c r="D2776" s="2">
        <f>IFERROR(__xludf.DUMMYFUNCTION("""COMPUTED_VALUE"""),212.77)</f>
        <v>212.77</v>
      </c>
      <c r="E2776" s="2">
        <f>IFERROR(__xludf.DUMMYFUNCTION("""COMPUTED_VALUE"""),214.88)</f>
        <v>214.88</v>
      </c>
      <c r="F2776" s="2">
        <f>IFERROR(__xludf.DUMMYFUNCTION("""COMPUTED_VALUE"""),1.879196E7)</f>
        <v>18791960</v>
      </c>
    </row>
    <row r="2777">
      <c r="A2777" s="3">
        <f>IFERROR(__xludf.DUMMYFUNCTION("""COMPUTED_VALUE"""),44385.66666666667)</f>
        <v>44385.66667</v>
      </c>
      <c r="B2777" s="2">
        <f>IFERROR(__xludf.DUMMYFUNCTION("""COMPUTED_VALUE"""),209.46)</f>
        <v>209.46</v>
      </c>
      <c r="C2777" s="2">
        <f>IFERROR(__xludf.DUMMYFUNCTION("""COMPUTED_VALUE"""),218.14)</f>
        <v>218.14</v>
      </c>
      <c r="D2777" s="2">
        <f>IFERROR(__xludf.DUMMYFUNCTION("""COMPUTED_VALUE"""),206.82)</f>
        <v>206.82</v>
      </c>
      <c r="E2777" s="2">
        <f>IFERROR(__xludf.DUMMYFUNCTION("""COMPUTED_VALUE"""),217.6)</f>
        <v>217.6</v>
      </c>
      <c r="F2777" s="2">
        <f>IFERROR(__xludf.DUMMYFUNCTION("""COMPUTED_VALUE"""),2.2773316E7)</f>
        <v>22773316</v>
      </c>
    </row>
    <row r="2778">
      <c r="A2778" s="3">
        <f>IFERROR(__xludf.DUMMYFUNCTION("""COMPUTED_VALUE"""),44386.66666666667)</f>
        <v>44386.66667</v>
      </c>
      <c r="B2778" s="2">
        <f>IFERROR(__xludf.DUMMYFUNCTION("""COMPUTED_VALUE"""),217.73)</f>
        <v>217.73</v>
      </c>
      <c r="C2778" s="2">
        <f>IFERROR(__xludf.DUMMYFUNCTION("""COMPUTED_VALUE"""),219.64)</f>
        <v>219.64</v>
      </c>
      <c r="D2778" s="2">
        <f>IFERROR(__xludf.DUMMYFUNCTION("""COMPUTED_VALUE"""),214.9)</f>
        <v>214.9</v>
      </c>
      <c r="E2778" s="2">
        <f>IFERROR(__xludf.DUMMYFUNCTION("""COMPUTED_VALUE"""),218.98)</f>
        <v>218.98</v>
      </c>
      <c r="F2778" s="2">
        <f>IFERROR(__xludf.DUMMYFUNCTION("""COMPUTED_VALUE"""),1.8140548E7)</f>
        <v>18140548</v>
      </c>
    </row>
    <row r="2779">
      <c r="A2779" s="3">
        <f>IFERROR(__xludf.DUMMYFUNCTION("""COMPUTED_VALUE"""),44389.66666666667)</f>
        <v>44389.66667</v>
      </c>
      <c r="B2779" s="2">
        <f>IFERROR(__xludf.DUMMYFUNCTION("""COMPUTED_VALUE"""),220.73)</f>
        <v>220.73</v>
      </c>
      <c r="C2779" s="2">
        <f>IFERROR(__xludf.DUMMYFUNCTION("""COMPUTED_VALUE"""),229.08)</f>
        <v>229.08</v>
      </c>
      <c r="D2779" s="2">
        <f>IFERROR(__xludf.DUMMYFUNCTION("""COMPUTED_VALUE"""),220.72)</f>
        <v>220.72</v>
      </c>
      <c r="E2779" s="2">
        <f>IFERROR(__xludf.DUMMYFUNCTION("""COMPUTED_VALUE"""),228.57)</f>
        <v>228.57</v>
      </c>
      <c r="F2779" s="2">
        <f>IFERROR(__xludf.DUMMYFUNCTION("""COMPUTED_VALUE"""),2.5927042E7)</f>
        <v>25927042</v>
      </c>
    </row>
    <row r="2780">
      <c r="A2780" s="3">
        <f>IFERROR(__xludf.DUMMYFUNCTION("""COMPUTED_VALUE"""),44390.66666666667)</f>
        <v>44390.66667</v>
      </c>
      <c r="B2780" s="2">
        <f>IFERROR(__xludf.DUMMYFUNCTION("""COMPUTED_VALUE"""),228.77)</f>
        <v>228.77</v>
      </c>
      <c r="C2780" s="2">
        <f>IFERROR(__xludf.DUMMYFUNCTION("""COMPUTED_VALUE"""),231.09)</f>
        <v>231.09</v>
      </c>
      <c r="D2780" s="2">
        <f>IFERROR(__xludf.DUMMYFUNCTION("""COMPUTED_VALUE"""),222.1)</f>
        <v>222.1</v>
      </c>
      <c r="E2780" s="2">
        <f>IFERROR(__xludf.DUMMYFUNCTION("""COMPUTED_VALUE"""),222.85)</f>
        <v>222.85</v>
      </c>
      <c r="F2780" s="2">
        <f>IFERROR(__xludf.DUMMYFUNCTION("""COMPUTED_VALUE"""),2.0966092E7)</f>
        <v>20966092</v>
      </c>
    </row>
    <row r="2781">
      <c r="A2781" s="3">
        <f>IFERROR(__xludf.DUMMYFUNCTION("""COMPUTED_VALUE"""),44391.66666666667)</f>
        <v>44391.66667</v>
      </c>
      <c r="B2781" s="2">
        <f>IFERROR(__xludf.DUMMYFUNCTION("""COMPUTED_VALUE"""),223.58)</f>
        <v>223.58</v>
      </c>
      <c r="C2781" s="2">
        <f>IFERROR(__xludf.DUMMYFUNCTION("""COMPUTED_VALUE"""),226.2)</f>
        <v>226.2</v>
      </c>
      <c r="D2781" s="2">
        <f>IFERROR(__xludf.DUMMYFUNCTION("""COMPUTED_VALUE"""),217.61)</f>
        <v>217.61</v>
      </c>
      <c r="E2781" s="2">
        <f>IFERROR(__xludf.DUMMYFUNCTION("""COMPUTED_VALUE"""),217.79)</f>
        <v>217.79</v>
      </c>
      <c r="F2781" s="2">
        <f>IFERROR(__xludf.DUMMYFUNCTION("""COMPUTED_VALUE"""),2.164119E7)</f>
        <v>21641190</v>
      </c>
    </row>
    <row r="2782">
      <c r="A2782" s="3">
        <f>IFERROR(__xludf.DUMMYFUNCTION("""COMPUTED_VALUE"""),44392.66666666667)</f>
        <v>44392.66667</v>
      </c>
      <c r="B2782" s="2">
        <f>IFERROR(__xludf.DUMMYFUNCTION("""COMPUTED_VALUE"""),219.46)</f>
        <v>219.46</v>
      </c>
      <c r="C2782" s="2">
        <f>IFERROR(__xludf.DUMMYFUNCTION("""COMPUTED_VALUE"""),222.05)</f>
        <v>222.05</v>
      </c>
      <c r="D2782" s="2">
        <f>IFERROR(__xludf.DUMMYFUNCTION("""COMPUTED_VALUE"""),212.63)</f>
        <v>212.63</v>
      </c>
      <c r="E2782" s="2">
        <f>IFERROR(__xludf.DUMMYFUNCTION("""COMPUTED_VALUE"""),216.87)</f>
        <v>216.87</v>
      </c>
      <c r="F2782" s="2">
        <f>IFERROR(__xludf.DUMMYFUNCTION("""COMPUTED_VALUE"""),2.0209571E7)</f>
        <v>20209571</v>
      </c>
    </row>
    <row r="2783">
      <c r="A2783" s="3">
        <f>IFERROR(__xludf.DUMMYFUNCTION("""COMPUTED_VALUE"""),44393.66666666667)</f>
        <v>44393.66667</v>
      </c>
      <c r="B2783" s="2">
        <f>IFERROR(__xludf.DUMMYFUNCTION("""COMPUTED_VALUE"""),218.23)</f>
        <v>218.23</v>
      </c>
      <c r="C2783" s="2">
        <f>IFERROR(__xludf.DUMMYFUNCTION("""COMPUTED_VALUE"""),218.9)</f>
        <v>218.9</v>
      </c>
      <c r="D2783" s="2">
        <f>IFERROR(__xludf.DUMMYFUNCTION("""COMPUTED_VALUE"""),214.07)</f>
        <v>214.07</v>
      </c>
      <c r="E2783" s="2">
        <f>IFERROR(__xludf.DUMMYFUNCTION("""COMPUTED_VALUE"""),214.74)</f>
        <v>214.74</v>
      </c>
      <c r="F2783" s="2">
        <f>IFERROR(__xludf.DUMMYFUNCTION("""COMPUTED_VALUE"""),1.637097E7)</f>
        <v>16370970</v>
      </c>
    </row>
    <row r="2784">
      <c r="A2784" s="3">
        <f>IFERROR(__xludf.DUMMYFUNCTION("""COMPUTED_VALUE"""),44396.66666666667)</f>
        <v>44396.66667</v>
      </c>
      <c r="B2784" s="2">
        <f>IFERROR(__xludf.DUMMYFUNCTION("""COMPUTED_VALUE"""),209.96)</f>
        <v>209.96</v>
      </c>
      <c r="C2784" s="2">
        <f>IFERROR(__xludf.DUMMYFUNCTION("""COMPUTED_VALUE"""),215.73)</f>
        <v>215.73</v>
      </c>
      <c r="D2784" s="2">
        <f>IFERROR(__xludf.DUMMYFUNCTION("""COMPUTED_VALUE"""),207.1)</f>
        <v>207.1</v>
      </c>
      <c r="E2784" s="2">
        <f>IFERROR(__xludf.DUMMYFUNCTION("""COMPUTED_VALUE"""),215.41)</f>
        <v>215.41</v>
      </c>
      <c r="F2784" s="2">
        <f>IFERROR(__xludf.DUMMYFUNCTION("""COMPUTED_VALUE"""),2.129709E7)</f>
        <v>21297090</v>
      </c>
    </row>
    <row r="2785">
      <c r="A2785" s="3">
        <f>IFERROR(__xludf.DUMMYFUNCTION("""COMPUTED_VALUE"""),44397.66666666667)</f>
        <v>44397.66667</v>
      </c>
      <c r="B2785" s="2">
        <f>IFERROR(__xludf.DUMMYFUNCTION("""COMPUTED_VALUE"""),217.33)</f>
        <v>217.33</v>
      </c>
      <c r="C2785" s="2">
        <f>IFERROR(__xludf.DUMMYFUNCTION("""COMPUTED_VALUE"""),220.8)</f>
        <v>220.8</v>
      </c>
      <c r="D2785" s="2">
        <f>IFERROR(__xludf.DUMMYFUNCTION("""COMPUTED_VALUE"""),213.5)</f>
        <v>213.5</v>
      </c>
      <c r="E2785" s="2">
        <f>IFERROR(__xludf.DUMMYFUNCTION("""COMPUTED_VALUE"""),220.17)</f>
        <v>220.17</v>
      </c>
      <c r="F2785" s="2">
        <f>IFERROR(__xludf.DUMMYFUNCTION("""COMPUTED_VALUE"""),1.5487127E7)</f>
        <v>15487127</v>
      </c>
    </row>
    <row r="2786">
      <c r="A2786" s="3">
        <f>IFERROR(__xludf.DUMMYFUNCTION("""COMPUTED_VALUE"""),44398.66666666667)</f>
        <v>44398.66667</v>
      </c>
      <c r="B2786" s="2">
        <f>IFERROR(__xludf.DUMMYFUNCTION("""COMPUTED_VALUE"""),219.87)</f>
        <v>219.87</v>
      </c>
      <c r="C2786" s="2">
        <f>IFERROR(__xludf.DUMMYFUNCTION("""COMPUTED_VALUE"""),221.62)</f>
        <v>221.62</v>
      </c>
      <c r="D2786" s="2">
        <f>IFERROR(__xludf.DUMMYFUNCTION("""COMPUTED_VALUE"""),216.76)</f>
        <v>216.76</v>
      </c>
      <c r="E2786" s="2">
        <f>IFERROR(__xludf.DUMMYFUNCTION("""COMPUTED_VALUE"""),218.43)</f>
        <v>218.43</v>
      </c>
      <c r="F2786" s="2">
        <f>IFERROR(__xludf.DUMMYFUNCTION("""COMPUTED_VALUE"""),1.3953338E7)</f>
        <v>13953338</v>
      </c>
    </row>
    <row r="2787">
      <c r="A2787" s="3">
        <f>IFERROR(__xludf.DUMMYFUNCTION("""COMPUTED_VALUE"""),44399.66666666667)</f>
        <v>44399.66667</v>
      </c>
      <c r="B2787" s="2">
        <f>IFERROR(__xludf.DUMMYFUNCTION("""COMPUTED_VALUE"""),218.81)</f>
        <v>218.81</v>
      </c>
      <c r="C2787" s="2">
        <f>IFERROR(__xludf.DUMMYFUNCTION("""COMPUTED_VALUE"""),220.72)</f>
        <v>220.72</v>
      </c>
      <c r="D2787" s="2">
        <f>IFERROR(__xludf.DUMMYFUNCTION("""COMPUTED_VALUE"""),214.87)</f>
        <v>214.87</v>
      </c>
      <c r="E2787" s="2">
        <f>IFERROR(__xludf.DUMMYFUNCTION("""COMPUTED_VALUE"""),216.42)</f>
        <v>216.42</v>
      </c>
      <c r="F2787" s="2">
        <f>IFERROR(__xludf.DUMMYFUNCTION("""COMPUTED_VALUE"""),1.5105727E7)</f>
        <v>15105727</v>
      </c>
    </row>
    <row r="2788">
      <c r="A2788" s="3">
        <f>IFERROR(__xludf.DUMMYFUNCTION("""COMPUTED_VALUE"""),44400.66666666667)</f>
        <v>44400.66667</v>
      </c>
      <c r="B2788" s="2">
        <f>IFERROR(__xludf.DUMMYFUNCTION("""COMPUTED_VALUE"""),215.45)</f>
        <v>215.45</v>
      </c>
      <c r="C2788" s="2">
        <f>IFERROR(__xludf.DUMMYFUNCTION("""COMPUTED_VALUE"""),216.27)</f>
        <v>216.27</v>
      </c>
      <c r="D2788" s="2">
        <f>IFERROR(__xludf.DUMMYFUNCTION("""COMPUTED_VALUE"""),212.43)</f>
        <v>212.43</v>
      </c>
      <c r="E2788" s="2">
        <f>IFERROR(__xludf.DUMMYFUNCTION("""COMPUTED_VALUE"""),214.46)</f>
        <v>214.46</v>
      </c>
      <c r="F2788" s="2">
        <f>IFERROR(__xludf.DUMMYFUNCTION("""COMPUTED_VALUE"""),1.4604944E7)</f>
        <v>14604944</v>
      </c>
    </row>
    <row r="2789">
      <c r="A2789" s="3">
        <f>IFERROR(__xludf.DUMMYFUNCTION("""COMPUTED_VALUE"""),44403.66666666667)</f>
        <v>44403.66667</v>
      </c>
      <c r="B2789" s="2">
        <f>IFERROR(__xludf.DUMMYFUNCTION("""COMPUTED_VALUE"""),216.99)</f>
        <v>216.99</v>
      </c>
      <c r="C2789" s="2">
        <f>IFERROR(__xludf.DUMMYFUNCTION("""COMPUTED_VALUE"""),222.73)</f>
        <v>222.73</v>
      </c>
      <c r="D2789" s="2">
        <f>IFERROR(__xludf.DUMMYFUNCTION("""COMPUTED_VALUE"""),215.7)</f>
        <v>215.7</v>
      </c>
      <c r="E2789" s="2">
        <f>IFERROR(__xludf.DUMMYFUNCTION("""COMPUTED_VALUE"""),219.21)</f>
        <v>219.21</v>
      </c>
      <c r="F2789" s="2">
        <f>IFERROR(__xludf.DUMMYFUNCTION("""COMPUTED_VALUE"""),2.5336556E7)</f>
        <v>25336556</v>
      </c>
    </row>
    <row r="2790">
      <c r="A2790" s="3">
        <f>IFERROR(__xludf.DUMMYFUNCTION("""COMPUTED_VALUE"""),44404.66666666667)</f>
        <v>44404.66667</v>
      </c>
      <c r="B2790" s="2">
        <f>IFERROR(__xludf.DUMMYFUNCTION("""COMPUTED_VALUE"""),221.13)</f>
        <v>221.13</v>
      </c>
      <c r="C2790" s="2">
        <f>IFERROR(__xludf.DUMMYFUNCTION("""COMPUTED_VALUE"""),222.17)</f>
        <v>222.17</v>
      </c>
      <c r="D2790" s="2">
        <f>IFERROR(__xludf.DUMMYFUNCTION("""COMPUTED_VALUE"""),209.08)</f>
        <v>209.08</v>
      </c>
      <c r="E2790" s="2">
        <f>IFERROR(__xludf.DUMMYFUNCTION("""COMPUTED_VALUE"""),214.93)</f>
        <v>214.93</v>
      </c>
      <c r="F2790" s="2">
        <f>IFERROR(__xludf.DUMMYFUNCTION("""COMPUTED_VALUE"""),3.281329E7)</f>
        <v>32813290</v>
      </c>
    </row>
    <row r="2791">
      <c r="A2791" s="3">
        <f>IFERROR(__xludf.DUMMYFUNCTION("""COMPUTED_VALUE"""),44405.66666666667)</f>
        <v>44405.66667</v>
      </c>
      <c r="B2791" s="2">
        <f>IFERROR(__xludf.DUMMYFUNCTION("""COMPUTED_VALUE"""),215.67)</f>
        <v>215.67</v>
      </c>
      <c r="C2791" s="2">
        <f>IFERROR(__xludf.DUMMYFUNCTION("""COMPUTED_VALUE"""),218.32)</f>
        <v>218.32</v>
      </c>
      <c r="D2791" s="2">
        <f>IFERROR(__xludf.DUMMYFUNCTION("""COMPUTED_VALUE"""),213.13)</f>
        <v>213.13</v>
      </c>
      <c r="E2791" s="2">
        <f>IFERROR(__xludf.DUMMYFUNCTION("""COMPUTED_VALUE"""),215.66)</f>
        <v>215.66</v>
      </c>
      <c r="F2791" s="2">
        <f>IFERROR(__xludf.DUMMYFUNCTION("""COMPUTED_VALUE"""),1.6006596E7)</f>
        <v>16006596</v>
      </c>
    </row>
    <row r="2792">
      <c r="A2792" s="3">
        <f>IFERROR(__xludf.DUMMYFUNCTION("""COMPUTED_VALUE"""),44406.66666666667)</f>
        <v>44406.66667</v>
      </c>
      <c r="B2792" s="2">
        <f>IFERROR(__xludf.DUMMYFUNCTION("""COMPUTED_VALUE"""),216.6)</f>
        <v>216.6</v>
      </c>
      <c r="C2792" s="2">
        <f>IFERROR(__xludf.DUMMYFUNCTION("""COMPUTED_VALUE"""),227.9)</f>
        <v>227.9</v>
      </c>
      <c r="D2792" s="2">
        <f>IFERROR(__xludf.DUMMYFUNCTION("""COMPUTED_VALUE"""),216.27)</f>
        <v>216.27</v>
      </c>
      <c r="E2792" s="2">
        <f>IFERROR(__xludf.DUMMYFUNCTION("""COMPUTED_VALUE"""),225.78)</f>
        <v>225.78</v>
      </c>
      <c r="F2792" s="2">
        <f>IFERROR(__xludf.DUMMYFUNCTION("""COMPUTED_VALUE"""),3.0394637E7)</f>
        <v>30394637</v>
      </c>
    </row>
    <row r="2793">
      <c r="A2793" s="3">
        <f>IFERROR(__xludf.DUMMYFUNCTION("""COMPUTED_VALUE"""),44407.66666666667)</f>
        <v>44407.66667</v>
      </c>
      <c r="B2793" s="2">
        <f>IFERROR(__xludf.DUMMYFUNCTION("""COMPUTED_VALUE"""),223.92)</f>
        <v>223.92</v>
      </c>
      <c r="C2793" s="2">
        <f>IFERROR(__xludf.DUMMYFUNCTION("""COMPUTED_VALUE"""),232.51)</f>
        <v>232.51</v>
      </c>
      <c r="D2793" s="2">
        <f>IFERROR(__xludf.DUMMYFUNCTION("""COMPUTED_VALUE"""),223.0)</f>
        <v>223</v>
      </c>
      <c r="E2793" s="2">
        <f>IFERROR(__xludf.DUMMYFUNCTION("""COMPUTED_VALUE"""),229.07)</f>
        <v>229.07</v>
      </c>
      <c r="F2793" s="2">
        <f>IFERROR(__xludf.DUMMYFUNCTION("""COMPUTED_VALUE"""),2.9656411E7)</f>
        <v>29656411</v>
      </c>
    </row>
    <row r="2794">
      <c r="A2794" s="3">
        <f>IFERROR(__xludf.DUMMYFUNCTION("""COMPUTED_VALUE"""),44410.66666666667)</f>
        <v>44410.66667</v>
      </c>
      <c r="B2794" s="2">
        <f>IFERROR(__xludf.DUMMYFUNCTION("""COMPUTED_VALUE"""),233.33)</f>
        <v>233.33</v>
      </c>
      <c r="C2794" s="2">
        <f>IFERROR(__xludf.DUMMYFUNCTION("""COMPUTED_VALUE"""),242.31)</f>
        <v>242.31</v>
      </c>
      <c r="D2794" s="2">
        <f>IFERROR(__xludf.DUMMYFUNCTION("""COMPUTED_VALUE"""),232.8)</f>
        <v>232.8</v>
      </c>
      <c r="E2794" s="2">
        <f>IFERROR(__xludf.DUMMYFUNCTION("""COMPUTED_VALUE"""),236.56)</f>
        <v>236.56</v>
      </c>
      <c r="F2794" s="2">
        <f>IFERROR(__xludf.DUMMYFUNCTION("""COMPUTED_VALUE"""),3.3615765E7)</f>
        <v>33615765</v>
      </c>
    </row>
    <row r="2795">
      <c r="A2795" s="3">
        <f>IFERROR(__xludf.DUMMYFUNCTION("""COMPUTED_VALUE"""),44411.66666666667)</f>
        <v>44411.66667</v>
      </c>
      <c r="B2795" s="2">
        <f>IFERROR(__xludf.DUMMYFUNCTION("""COMPUTED_VALUE"""),239.67)</f>
        <v>239.67</v>
      </c>
      <c r="C2795" s="2">
        <f>IFERROR(__xludf.DUMMYFUNCTION("""COMPUTED_VALUE"""),240.88)</f>
        <v>240.88</v>
      </c>
      <c r="D2795" s="2">
        <f>IFERROR(__xludf.DUMMYFUNCTION("""COMPUTED_VALUE"""),233.67)</f>
        <v>233.67</v>
      </c>
      <c r="E2795" s="2">
        <f>IFERROR(__xludf.DUMMYFUNCTION("""COMPUTED_VALUE"""),236.58)</f>
        <v>236.58</v>
      </c>
      <c r="F2795" s="2">
        <f>IFERROR(__xludf.DUMMYFUNCTION("""COMPUTED_VALUE"""),2.1620253E7)</f>
        <v>21620253</v>
      </c>
    </row>
    <row r="2796">
      <c r="A2796" s="3">
        <f>IFERROR(__xludf.DUMMYFUNCTION("""COMPUTED_VALUE"""),44412.66666666667)</f>
        <v>44412.66667</v>
      </c>
      <c r="B2796" s="2">
        <f>IFERROR(__xludf.DUMMYFUNCTION("""COMPUTED_VALUE"""),237.0)</f>
        <v>237</v>
      </c>
      <c r="C2796" s="2">
        <f>IFERROR(__xludf.DUMMYFUNCTION("""COMPUTED_VALUE"""),241.63)</f>
        <v>241.63</v>
      </c>
      <c r="D2796" s="2">
        <f>IFERROR(__xludf.DUMMYFUNCTION("""COMPUTED_VALUE"""),236.31)</f>
        <v>236.31</v>
      </c>
      <c r="E2796" s="2">
        <f>IFERROR(__xludf.DUMMYFUNCTION("""COMPUTED_VALUE"""),236.97)</f>
        <v>236.97</v>
      </c>
      <c r="F2796" s="2">
        <f>IFERROR(__xludf.DUMMYFUNCTION("""COMPUTED_VALUE"""),1.7002647E7)</f>
        <v>17002647</v>
      </c>
    </row>
    <row r="2797">
      <c r="A2797" s="3">
        <f>IFERROR(__xludf.DUMMYFUNCTION("""COMPUTED_VALUE"""),44413.66666666667)</f>
        <v>44413.66667</v>
      </c>
      <c r="B2797" s="2">
        <f>IFERROR(__xludf.DUMMYFUNCTION("""COMPUTED_VALUE"""),238.67)</f>
        <v>238.67</v>
      </c>
      <c r="C2797" s="2">
        <f>IFERROR(__xludf.DUMMYFUNCTION("""COMPUTED_VALUE"""),240.32)</f>
        <v>240.32</v>
      </c>
      <c r="D2797" s="2">
        <f>IFERROR(__xludf.DUMMYFUNCTION("""COMPUTED_VALUE"""),237.14)</f>
        <v>237.14</v>
      </c>
      <c r="E2797" s="2">
        <f>IFERROR(__xludf.DUMMYFUNCTION("""COMPUTED_VALUE"""),238.21)</f>
        <v>238.21</v>
      </c>
      <c r="F2797" s="2">
        <f>IFERROR(__xludf.DUMMYFUNCTION("""COMPUTED_VALUE"""),1.2919637E7)</f>
        <v>12919637</v>
      </c>
    </row>
    <row r="2798">
      <c r="A2798" s="3">
        <f>IFERROR(__xludf.DUMMYFUNCTION("""COMPUTED_VALUE"""),44414.66666666667)</f>
        <v>44414.66667</v>
      </c>
      <c r="B2798" s="2">
        <f>IFERROR(__xludf.DUMMYFUNCTION("""COMPUTED_VALUE"""),237.3)</f>
        <v>237.3</v>
      </c>
      <c r="C2798" s="2">
        <f>IFERROR(__xludf.DUMMYFUNCTION("""COMPUTED_VALUE"""),238.78)</f>
        <v>238.78</v>
      </c>
      <c r="D2798" s="2">
        <f>IFERROR(__xludf.DUMMYFUNCTION("""COMPUTED_VALUE"""),232.54)</f>
        <v>232.54</v>
      </c>
      <c r="E2798" s="2">
        <f>IFERROR(__xludf.DUMMYFUNCTION("""COMPUTED_VALUE"""),233.03)</f>
        <v>233.03</v>
      </c>
      <c r="F2798" s="2">
        <f>IFERROR(__xludf.DUMMYFUNCTION("""COMPUTED_VALUE"""),1.5623049E7)</f>
        <v>15623049</v>
      </c>
    </row>
    <row r="2799">
      <c r="A2799" s="3">
        <f>IFERROR(__xludf.DUMMYFUNCTION("""COMPUTED_VALUE"""),44417.66666666667)</f>
        <v>44417.66667</v>
      </c>
      <c r="B2799" s="2">
        <f>IFERROR(__xludf.DUMMYFUNCTION("""COMPUTED_VALUE"""),236.72)</f>
        <v>236.72</v>
      </c>
      <c r="C2799" s="2">
        <f>IFERROR(__xludf.DUMMYFUNCTION("""COMPUTED_VALUE"""),239.68)</f>
        <v>239.68</v>
      </c>
      <c r="D2799" s="2">
        <f>IFERROR(__xludf.DUMMYFUNCTION("""COMPUTED_VALUE"""),235.04)</f>
        <v>235.04</v>
      </c>
      <c r="E2799" s="2">
        <f>IFERROR(__xludf.DUMMYFUNCTION("""COMPUTED_VALUE"""),237.92)</f>
        <v>237.92</v>
      </c>
      <c r="F2799" s="2">
        <f>IFERROR(__xludf.DUMMYFUNCTION("""COMPUTED_VALUE"""),1.4715349E7)</f>
        <v>14715349</v>
      </c>
    </row>
    <row r="2800">
      <c r="A2800" s="3">
        <f>IFERROR(__xludf.DUMMYFUNCTION("""COMPUTED_VALUE"""),44418.66666666667)</f>
        <v>44418.66667</v>
      </c>
      <c r="B2800" s="2">
        <f>IFERROR(__xludf.DUMMYFUNCTION("""COMPUTED_VALUE"""),238.0)</f>
        <v>238</v>
      </c>
      <c r="C2800" s="2">
        <f>IFERROR(__xludf.DUMMYFUNCTION("""COMPUTED_VALUE"""),238.86)</f>
        <v>238.86</v>
      </c>
      <c r="D2800" s="2">
        <f>IFERROR(__xludf.DUMMYFUNCTION("""COMPUTED_VALUE"""),233.96)</f>
        <v>233.96</v>
      </c>
      <c r="E2800" s="2">
        <f>IFERROR(__xludf.DUMMYFUNCTION("""COMPUTED_VALUE"""),236.66)</f>
        <v>236.66</v>
      </c>
      <c r="F2800" s="2">
        <f>IFERROR(__xludf.DUMMYFUNCTION("""COMPUTED_VALUE"""),1.3432305E7)</f>
        <v>13432305</v>
      </c>
    </row>
    <row r="2801">
      <c r="A2801" s="3">
        <f>IFERROR(__xludf.DUMMYFUNCTION("""COMPUTED_VALUE"""),44419.66666666667)</f>
        <v>44419.66667</v>
      </c>
      <c r="B2801" s="2">
        <f>IFERROR(__xludf.DUMMYFUNCTION("""COMPUTED_VALUE"""),237.57)</f>
        <v>237.57</v>
      </c>
      <c r="C2801" s="2">
        <f>IFERROR(__xludf.DUMMYFUNCTION("""COMPUTED_VALUE"""),238.39)</f>
        <v>238.39</v>
      </c>
      <c r="D2801" s="2">
        <f>IFERROR(__xludf.DUMMYFUNCTION("""COMPUTED_VALUE"""),234.74)</f>
        <v>234.74</v>
      </c>
      <c r="E2801" s="2">
        <f>IFERROR(__xludf.DUMMYFUNCTION("""COMPUTED_VALUE"""),235.94)</f>
        <v>235.94</v>
      </c>
      <c r="F2801" s="2">
        <f>IFERROR(__xludf.DUMMYFUNCTION("""COMPUTED_VALUE"""),9800558.0)</f>
        <v>9800558</v>
      </c>
    </row>
    <row r="2802">
      <c r="A2802" s="3">
        <f>IFERROR(__xludf.DUMMYFUNCTION("""COMPUTED_VALUE"""),44420.66666666667)</f>
        <v>44420.66667</v>
      </c>
      <c r="B2802" s="2">
        <f>IFERROR(__xludf.DUMMYFUNCTION("""COMPUTED_VALUE"""),235.45)</f>
        <v>235.45</v>
      </c>
      <c r="C2802" s="2">
        <f>IFERROR(__xludf.DUMMYFUNCTION("""COMPUTED_VALUE"""),240.93)</f>
        <v>240.93</v>
      </c>
      <c r="D2802" s="2">
        <f>IFERROR(__xludf.DUMMYFUNCTION("""COMPUTED_VALUE"""),233.13)</f>
        <v>233.13</v>
      </c>
      <c r="E2802" s="2">
        <f>IFERROR(__xludf.DUMMYFUNCTION("""COMPUTED_VALUE"""),240.75)</f>
        <v>240.75</v>
      </c>
      <c r="F2802" s="2">
        <f>IFERROR(__xludf.DUMMYFUNCTION("""COMPUTED_VALUE"""),1.7681686E7)</f>
        <v>17681686</v>
      </c>
    </row>
    <row r="2803">
      <c r="A2803" s="3">
        <f>IFERROR(__xludf.DUMMYFUNCTION("""COMPUTED_VALUE"""),44421.66666666667)</f>
        <v>44421.66667</v>
      </c>
      <c r="B2803" s="2">
        <f>IFERROR(__xludf.DUMMYFUNCTION("""COMPUTED_VALUE"""),241.24)</f>
        <v>241.24</v>
      </c>
      <c r="C2803" s="2">
        <f>IFERROR(__xludf.DUMMYFUNCTION("""COMPUTED_VALUE"""),243.3)</f>
        <v>243.3</v>
      </c>
      <c r="D2803" s="2">
        <f>IFERROR(__xludf.DUMMYFUNCTION("""COMPUTED_VALUE"""),238.11)</f>
        <v>238.11</v>
      </c>
      <c r="E2803" s="2">
        <f>IFERROR(__xludf.DUMMYFUNCTION("""COMPUTED_VALUE"""),239.06)</f>
        <v>239.06</v>
      </c>
      <c r="F2803" s="2">
        <f>IFERROR(__xludf.DUMMYFUNCTION("""COMPUTED_VALUE"""),1.6731467E7)</f>
        <v>16731467</v>
      </c>
    </row>
    <row r="2804">
      <c r="A2804" s="3">
        <f>IFERROR(__xludf.DUMMYFUNCTION("""COMPUTED_VALUE"""),44424.66666666667)</f>
        <v>44424.66667</v>
      </c>
      <c r="B2804" s="2">
        <f>IFERROR(__xludf.DUMMYFUNCTION("""COMPUTED_VALUE"""),235.02)</f>
        <v>235.02</v>
      </c>
      <c r="C2804" s="2">
        <f>IFERROR(__xludf.DUMMYFUNCTION("""COMPUTED_VALUE"""),236.5)</f>
        <v>236.5</v>
      </c>
      <c r="D2804" s="2">
        <f>IFERROR(__xludf.DUMMYFUNCTION("""COMPUTED_VALUE"""),225.47)</f>
        <v>225.47</v>
      </c>
      <c r="E2804" s="2">
        <f>IFERROR(__xludf.DUMMYFUNCTION("""COMPUTED_VALUE"""),228.72)</f>
        <v>228.72</v>
      </c>
      <c r="F2804" s="2">
        <f>IFERROR(__xludf.DUMMYFUNCTION("""COMPUTED_VALUE"""),2.3103303E7)</f>
        <v>23103303</v>
      </c>
    </row>
    <row r="2805">
      <c r="A2805" s="3">
        <f>IFERROR(__xludf.DUMMYFUNCTION("""COMPUTED_VALUE"""),44425.66666666667)</f>
        <v>44425.66667</v>
      </c>
      <c r="B2805" s="2">
        <f>IFERROR(__xludf.DUMMYFUNCTION("""COMPUTED_VALUE"""),224.22)</f>
        <v>224.22</v>
      </c>
      <c r="C2805" s="2">
        <f>IFERROR(__xludf.DUMMYFUNCTION("""COMPUTED_VALUE"""),224.86)</f>
        <v>224.86</v>
      </c>
      <c r="D2805" s="2">
        <f>IFERROR(__xludf.DUMMYFUNCTION("""COMPUTED_VALUE"""),216.28)</f>
        <v>216.28</v>
      </c>
      <c r="E2805" s="2">
        <f>IFERROR(__xludf.DUMMYFUNCTION("""COMPUTED_VALUE"""),221.9)</f>
        <v>221.9</v>
      </c>
      <c r="F2805" s="2">
        <f>IFERROR(__xludf.DUMMYFUNCTION("""COMPUTED_VALUE"""),2.3721279E7)</f>
        <v>23721279</v>
      </c>
    </row>
    <row r="2806">
      <c r="A2806" s="3">
        <f>IFERROR(__xludf.DUMMYFUNCTION("""COMPUTED_VALUE"""),44426.66666666667)</f>
        <v>44426.66667</v>
      </c>
      <c r="B2806" s="2">
        <f>IFERROR(__xludf.DUMMYFUNCTION("""COMPUTED_VALUE"""),223.25)</f>
        <v>223.25</v>
      </c>
      <c r="C2806" s="2">
        <f>IFERROR(__xludf.DUMMYFUNCTION("""COMPUTED_VALUE"""),231.92)</f>
        <v>231.92</v>
      </c>
      <c r="D2806" s="2">
        <f>IFERROR(__xludf.DUMMYFUNCTION("""COMPUTED_VALUE"""),223.12)</f>
        <v>223.12</v>
      </c>
      <c r="E2806" s="2">
        <f>IFERROR(__xludf.DUMMYFUNCTION("""COMPUTED_VALUE"""),229.66)</f>
        <v>229.66</v>
      </c>
      <c r="F2806" s="2">
        <f>IFERROR(__xludf.DUMMYFUNCTION("""COMPUTED_VALUE"""),2.0349375E7)</f>
        <v>20349375</v>
      </c>
    </row>
    <row r="2807">
      <c r="A2807" s="3">
        <f>IFERROR(__xludf.DUMMYFUNCTION("""COMPUTED_VALUE"""),44427.66666666667)</f>
        <v>44427.66667</v>
      </c>
      <c r="B2807" s="2">
        <f>IFERROR(__xludf.DUMMYFUNCTION("""COMPUTED_VALUE"""),226.07)</f>
        <v>226.07</v>
      </c>
      <c r="C2807" s="2">
        <f>IFERROR(__xludf.DUMMYFUNCTION("""COMPUTED_VALUE"""),228.85)</f>
        <v>228.85</v>
      </c>
      <c r="D2807" s="2">
        <f>IFERROR(__xludf.DUMMYFUNCTION("""COMPUTED_VALUE"""),222.53)</f>
        <v>222.53</v>
      </c>
      <c r="E2807" s="2">
        <f>IFERROR(__xludf.DUMMYFUNCTION("""COMPUTED_VALUE"""),224.49)</f>
        <v>224.49</v>
      </c>
      <c r="F2807" s="2">
        <f>IFERROR(__xludf.DUMMYFUNCTION("""COMPUTED_VALUE"""),1.4313486E7)</f>
        <v>14313486</v>
      </c>
    </row>
    <row r="2808">
      <c r="A2808" s="3">
        <f>IFERROR(__xludf.DUMMYFUNCTION("""COMPUTED_VALUE"""),44428.66666666667)</f>
        <v>44428.66667</v>
      </c>
      <c r="B2808" s="2">
        <f>IFERROR(__xludf.DUMMYFUNCTION("""COMPUTED_VALUE"""),227.62)</f>
        <v>227.62</v>
      </c>
      <c r="C2808" s="2">
        <f>IFERROR(__xludf.DUMMYFUNCTION("""COMPUTED_VALUE"""),230.71)</f>
        <v>230.71</v>
      </c>
      <c r="D2808" s="2">
        <f>IFERROR(__xludf.DUMMYFUNCTION("""COMPUTED_VALUE"""),224.57)</f>
        <v>224.57</v>
      </c>
      <c r="E2808" s="2">
        <f>IFERROR(__xludf.DUMMYFUNCTION("""COMPUTED_VALUE"""),226.75)</f>
        <v>226.75</v>
      </c>
      <c r="F2808" s="2">
        <f>IFERROR(__xludf.DUMMYFUNCTION("""COMPUTED_VALUE"""),1.4841865E7)</f>
        <v>14841865</v>
      </c>
    </row>
    <row r="2809">
      <c r="A2809" s="3">
        <f>IFERROR(__xludf.DUMMYFUNCTION("""COMPUTED_VALUE"""),44431.66666666667)</f>
        <v>44431.66667</v>
      </c>
      <c r="B2809" s="2">
        <f>IFERROR(__xludf.DUMMYFUNCTION("""COMPUTED_VALUE"""),228.48)</f>
        <v>228.48</v>
      </c>
      <c r="C2809" s="2">
        <f>IFERROR(__xludf.DUMMYFUNCTION("""COMPUTED_VALUE"""),237.38)</f>
        <v>237.38</v>
      </c>
      <c r="D2809" s="2">
        <f>IFERROR(__xludf.DUMMYFUNCTION("""COMPUTED_VALUE"""),226.92)</f>
        <v>226.92</v>
      </c>
      <c r="E2809" s="2">
        <f>IFERROR(__xludf.DUMMYFUNCTION("""COMPUTED_VALUE"""),235.43)</f>
        <v>235.43</v>
      </c>
      <c r="F2809" s="2">
        <f>IFERROR(__xludf.DUMMYFUNCTION("""COMPUTED_VALUE"""),2.0264859E7)</f>
        <v>20264859</v>
      </c>
    </row>
    <row r="2810">
      <c r="A2810" s="3">
        <f>IFERROR(__xludf.DUMMYFUNCTION("""COMPUTED_VALUE"""),44432.66666666667)</f>
        <v>44432.66667</v>
      </c>
      <c r="B2810" s="2">
        <f>IFERROR(__xludf.DUMMYFUNCTION("""COMPUTED_VALUE"""),236.89)</f>
        <v>236.89</v>
      </c>
      <c r="C2810" s="2">
        <f>IFERROR(__xludf.DUMMYFUNCTION("""COMPUTED_VALUE"""),238.41)</f>
        <v>238.41</v>
      </c>
      <c r="D2810" s="2">
        <f>IFERROR(__xludf.DUMMYFUNCTION("""COMPUTED_VALUE"""),234.21)</f>
        <v>234.21</v>
      </c>
      <c r="E2810" s="2">
        <f>IFERROR(__xludf.DUMMYFUNCTION("""COMPUTED_VALUE"""),236.16)</f>
        <v>236.16</v>
      </c>
      <c r="F2810" s="2">
        <f>IFERROR(__xludf.DUMMYFUNCTION("""COMPUTED_VALUE"""),1.3083071E7)</f>
        <v>13083071</v>
      </c>
    </row>
    <row r="2811">
      <c r="A2811" s="3">
        <f>IFERROR(__xludf.DUMMYFUNCTION("""COMPUTED_VALUE"""),44433.66666666667)</f>
        <v>44433.66667</v>
      </c>
      <c r="B2811" s="2">
        <f>IFERROR(__xludf.DUMMYFUNCTION("""COMPUTED_VALUE"""),235.68)</f>
        <v>235.68</v>
      </c>
      <c r="C2811" s="2">
        <f>IFERROR(__xludf.DUMMYFUNCTION("""COMPUTED_VALUE"""),238.99)</f>
        <v>238.99</v>
      </c>
      <c r="D2811" s="2">
        <f>IFERROR(__xludf.DUMMYFUNCTION("""COMPUTED_VALUE"""),234.67)</f>
        <v>234.67</v>
      </c>
      <c r="E2811" s="2">
        <f>IFERROR(__xludf.DUMMYFUNCTION("""COMPUTED_VALUE"""),237.07)</f>
        <v>237.07</v>
      </c>
      <c r="F2811" s="2">
        <f>IFERROR(__xludf.DUMMYFUNCTION("""COMPUTED_VALUE"""),1.2645562E7)</f>
        <v>12645562</v>
      </c>
    </row>
    <row r="2812">
      <c r="A2812" s="3">
        <f>IFERROR(__xludf.DUMMYFUNCTION("""COMPUTED_VALUE"""),44434.66666666667)</f>
        <v>44434.66667</v>
      </c>
      <c r="B2812" s="2">
        <f>IFERROR(__xludf.DUMMYFUNCTION("""COMPUTED_VALUE"""),236.1)</f>
        <v>236.1</v>
      </c>
      <c r="C2812" s="2">
        <f>IFERROR(__xludf.DUMMYFUNCTION("""COMPUTED_VALUE"""),238.47)</f>
        <v>238.47</v>
      </c>
      <c r="D2812" s="2">
        <f>IFERROR(__xludf.DUMMYFUNCTION("""COMPUTED_VALUE"""),232.54)</f>
        <v>232.54</v>
      </c>
      <c r="E2812" s="2">
        <f>IFERROR(__xludf.DUMMYFUNCTION("""COMPUTED_VALUE"""),233.72)</f>
        <v>233.72</v>
      </c>
      <c r="F2812" s="2">
        <f>IFERROR(__xludf.DUMMYFUNCTION("""COMPUTED_VALUE"""),1.3214292E7)</f>
        <v>13214292</v>
      </c>
    </row>
    <row r="2813">
      <c r="A2813" s="3">
        <f>IFERROR(__xludf.DUMMYFUNCTION("""COMPUTED_VALUE"""),44435.66666666667)</f>
        <v>44435.66667</v>
      </c>
      <c r="B2813" s="2">
        <f>IFERROR(__xludf.DUMMYFUNCTION("""COMPUTED_VALUE"""),235.0)</f>
        <v>235</v>
      </c>
      <c r="C2813" s="2">
        <f>IFERROR(__xludf.DUMMYFUNCTION("""COMPUTED_VALUE"""),238.33)</f>
        <v>238.33</v>
      </c>
      <c r="D2813" s="2">
        <f>IFERROR(__xludf.DUMMYFUNCTION("""COMPUTED_VALUE"""),234.03)</f>
        <v>234.03</v>
      </c>
      <c r="E2813" s="2">
        <f>IFERROR(__xludf.DUMMYFUNCTION("""COMPUTED_VALUE"""),237.31)</f>
        <v>237.31</v>
      </c>
      <c r="F2813" s="2">
        <f>IFERROR(__xludf.DUMMYFUNCTION("""COMPUTED_VALUE"""),1.3833763E7)</f>
        <v>13833763</v>
      </c>
    </row>
    <row r="2814">
      <c r="A2814" s="3">
        <f>IFERROR(__xludf.DUMMYFUNCTION("""COMPUTED_VALUE"""),44438.66666666667)</f>
        <v>44438.66667</v>
      </c>
      <c r="B2814" s="2">
        <f>IFERROR(__xludf.DUMMYFUNCTION("""COMPUTED_VALUE"""),238.24)</f>
        <v>238.24</v>
      </c>
      <c r="C2814" s="2">
        <f>IFERROR(__xludf.DUMMYFUNCTION("""COMPUTED_VALUE"""),243.67)</f>
        <v>243.67</v>
      </c>
      <c r="D2814" s="2">
        <f>IFERROR(__xludf.DUMMYFUNCTION("""COMPUTED_VALUE"""),237.58)</f>
        <v>237.58</v>
      </c>
      <c r="E2814" s="2">
        <f>IFERROR(__xludf.DUMMYFUNCTION("""COMPUTED_VALUE"""),243.64)</f>
        <v>243.64</v>
      </c>
      <c r="F2814" s="2">
        <f>IFERROR(__xludf.DUMMYFUNCTION("""COMPUTED_VALUE"""),1.860422E7)</f>
        <v>18604220</v>
      </c>
    </row>
    <row r="2815">
      <c r="A2815" s="3">
        <f>IFERROR(__xludf.DUMMYFUNCTION("""COMPUTED_VALUE"""),44439.66666666667)</f>
        <v>44439.66667</v>
      </c>
      <c r="B2815" s="2">
        <f>IFERROR(__xludf.DUMMYFUNCTION("""COMPUTED_VALUE"""),244.33)</f>
        <v>244.33</v>
      </c>
      <c r="C2815" s="2">
        <f>IFERROR(__xludf.DUMMYFUNCTION("""COMPUTED_VALUE"""),246.8)</f>
        <v>246.8</v>
      </c>
      <c r="D2815" s="2">
        <f>IFERROR(__xludf.DUMMYFUNCTION("""COMPUTED_VALUE"""),242.15)</f>
        <v>242.15</v>
      </c>
      <c r="E2815" s="2">
        <f>IFERROR(__xludf.DUMMYFUNCTION("""COMPUTED_VALUE"""),245.24)</f>
        <v>245.24</v>
      </c>
      <c r="F2815" s="2">
        <f>IFERROR(__xludf.DUMMYFUNCTION("""COMPUTED_VALUE"""),2.0855436E7)</f>
        <v>20855436</v>
      </c>
    </row>
    <row r="2816">
      <c r="A2816" s="3">
        <f>IFERROR(__xludf.DUMMYFUNCTION("""COMPUTED_VALUE"""),44440.66666666667)</f>
        <v>44440.66667</v>
      </c>
      <c r="B2816" s="2">
        <f>IFERROR(__xludf.DUMMYFUNCTION("""COMPUTED_VALUE"""),244.69)</f>
        <v>244.69</v>
      </c>
      <c r="C2816" s="2">
        <f>IFERROR(__xludf.DUMMYFUNCTION("""COMPUTED_VALUE"""),247.33)</f>
        <v>247.33</v>
      </c>
      <c r="D2816" s="2">
        <f>IFERROR(__xludf.DUMMYFUNCTION("""COMPUTED_VALUE"""),243.76)</f>
        <v>243.76</v>
      </c>
      <c r="E2816" s="2">
        <f>IFERROR(__xludf.DUMMYFUNCTION("""COMPUTED_VALUE"""),244.7)</f>
        <v>244.7</v>
      </c>
      <c r="F2816" s="2">
        <f>IFERROR(__xludf.DUMMYFUNCTION("""COMPUTED_VALUE"""),1.3204335E7)</f>
        <v>13204335</v>
      </c>
    </row>
    <row r="2817">
      <c r="A2817" s="3">
        <f>IFERROR(__xludf.DUMMYFUNCTION("""COMPUTED_VALUE"""),44441.66666666667)</f>
        <v>44441.66667</v>
      </c>
      <c r="B2817" s="2">
        <f>IFERROR(__xludf.DUMMYFUNCTION("""COMPUTED_VALUE"""),244.83)</f>
        <v>244.83</v>
      </c>
      <c r="C2817" s="2">
        <f>IFERROR(__xludf.DUMMYFUNCTION("""COMPUTED_VALUE"""),246.99)</f>
        <v>246.99</v>
      </c>
      <c r="D2817" s="2">
        <f>IFERROR(__xludf.DUMMYFUNCTION("""COMPUTED_VALUE"""),243.51)</f>
        <v>243.51</v>
      </c>
      <c r="E2817" s="2">
        <f>IFERROR(__xludf.DUMMYFUNCTION("""COMPUTED_VALUE"""),244.13)</f>
        <v>244.13</v>
      </c>
      <c r="F2817" s="2">
        <f>IFERROR(__xludf.DUMMYFUNCTION("""COMPUTED_VALUE"""),1.2796739E7)</f>
        <v>12796739</v>
      </c>
    </row>
    <row r="2818">
      <c r="A2818" s="3">
        <f>IFERROR(__xludf.DUMMYFUNCTION("""COMPUTED_VALUE"""),44442.66666666667)</f>
        <v>44442.66667</v>
      </c>
      <c r="B2818" s="2">
        <f>IFERROR(__xludf.DUMMYFUNCTION("""COMPUTED_VALUE"""),244.08)</f>
        <v>244.08</v>
      </c>
      <c r="C2818" s="2">
        <f>IFERROR(__xludf.DUMMYFUNCTION("""COMPUTED_VALUE"""),244.67)</f>
        <v>244.67</v>
      </c>
      <c r="D2818" s="2">
        <f>IFERROR(__xludf.DUMMYFUNCTION("""COMPUTED_VALUE"""),241.4)</f>
        <v>241.4</v>
      </c>
      <c r="E2818" s="2">
        <f>IFERROR(__xludf.DUMMYFUNCTION("""COMPUTED_VALUE"""),244.52)</f>
        <v>244.52</v>
      </c>
      <c r="F2818" s="2">
        <f>IFERROR(__xludf.DUMMYFUNCTION("""COMPUTED_VALUE"""),1.5271045E7)</f>
        <v>15271045</v>
      </c>
    </row>
    <row r="2819">
      <c r="A2819" s="3">
        <f>IFERROR(__xludf.DUMMYFUNCTION("""COMPUTED_VALUE"""),44446.66666666667)</f>
        <v>44446.66667</v>
      </c>
      <c r="B2819" s="2">
        <f>IFERROR(__xludf.DUMMYFUNCTION("""COMPUTED_VALUE"""),246.67)</f>
        <v>246.67</v>
      </c>
      <c r="C2819" s="2">
        <f>IFERROR(__xludf.DUMMYFUNCTION("""COMPUTED_VALUE"""),253.4)</f>
        <v>253.4</v>
      </c>
      <c r="D2819" s="2">
        <f>IFERROR(__xludf.DUMMYFUNCTION("""COMPUTED_VALUE"""),246.42)</f>
        <v>246.42</v>
      </c>
      <c r="E2819" s="2">
        <f>IFERROR(__xludf.DUMMYFUNCTION("""COMPUTED_VALUE"""),250.97)</f>
        <v>250.97</v>
      </c>
      <c r="F2819" s="2">
        <f>IFERROR(__xludf.DUMMYFUNCTION("""COMPUTED_VALUE"""),2.0039825E7)</f>
        <v>20039825</v>
      </c>
    </row>
    <row r="2820">
      <c r="A2820" s="3">
        <f>IFERROR(__xludf.DUMMYFUNCTION("""COMPUTED_VALUE"""),44447.66666666667)</f>
        <v>44447.66667</v>
      </c>
      <c r="B2820" s="2">
        <f>IFERROR(__xludf.DUMMYFUNCTION("""COMPUTED_VALUE"""),253.86)</f>
        <v>253.86</v>
      </c>
      <c r="C2820" s="2">
        <f>IFERROR(__xludf.DUMMYFUNCTION("""COMPUTED_VALUE"""),254.82)</f>
        <v>254.82</v>
      </c>
      <c r="D2820" s="2">
        <f>IFERROR(__xludf.DUMMYFUNCTION("""COMPUTED_VALUE"""),246.92)</f>
        <v>246.92</v>
      </c>
      <c r="E2820" s="2">
        <f>IFERROR(__xludf.DUMMYFUNCTION("""COMPUTED_VALUE"""),251.29)</f>
        <v>251.29</v>
      </c>
      <c r="F2820" s="2">
        <f>IFERROR(__xludf.DUMMYFUNCTION("""COMPUTED_VALUE"""),1.8793036E7)</f>
        <v>18793036</v>
      </c>
    </row>
    <row r="2821">
      <c r="A2821" s="3">
        <f>IFERROR(__xludf.DUMMYFUNCTION("""COMPUTED_VALUE"""),44448.66666666667)</f>
        <v>44448.66667</v>
      </c>
      <c r="B2821" s="2">
        <f>IFERROR(__xludf.DUMMYFUNCTION("""COMPUTED_VALUE"""),251.14)</f>
        <v>251.14</v>
      </c>
      <c r="C2821" s="2">
        <f>IFERROR(__xludf.DUMMYFUNCTION("""COMPUTED_VALUE"""),254.03)</f>
        <v>254.03</v>
      </c>
      <c r="D2821" s="2">
        <f>IFERROR(__xludf.DUMMYFUNCTION("""COMPUTED_VALUE"""),250.54)</f>
        <v>250.54</v>
      </c>
      <c r="E2821" s="2">
        <f>IFERROR(__xludf.DUMMYFUNCTION("""COMPUTED_VALUE"""),251.62)</f>
        <v>251.62</v>
      </c>
      <c r="F2821" s="2">
        <f>IFERROR(__xludf.DUMMYFUNCTION("""COMPUTED_VALUE"""),1.4077731E7)</f>
        <v>14077731</v>
      </c>
    </row>
    <row r="2822">
      <c r="A2822" s="3">
        <f>IFERROR(__xludf.DUMMYFUNCTION("""COMPUTED_VALUE"""),44449.66666666667)</f>
        <v>44449.66667</v>
      </c>
      <c r="B2822" s="2">
        <f>IFERROR(__xludf.DUMMYFUNCTION("""COMPUTED_VALUE"""),253.2)</f>
        <v>253.2</v>
      </c>
      <c r="C2822" s="2">
        <f>IFERROR(__xludf.DUMMYFUNCTION("""COMPUTED_VALUE"""),254.2)</f>
        <v>254.2</v>
      </c>
      <c r="D2822" s="2">
        <f>IFERROR(__xludf.DUMMYFUNCTION("""COMPUTED_VALUE"""),244.84)</f>
        <v>244.84</v>
      </c>
      <c r="E2822" s="2">
        <f>IFERROR(__xludf.DUMMYFUNCTION("""COMPUTED_VALUE"""),245.42)</f>
        <v>245.42</v>
      </c>
      <c r="F2822" s="2">
        <f>IFERROR(__xludf.DUMMYFUNCTION("""COMPUTED_VALUE"""),1.518417E7)</f>
        <v>15184170</v>
      </c>
    </row>
    <row r="2823">
      <c r="A2823" s="3">
        <f>IFERROR(__xludf.DUMMYFUNCTION("""COMPUTED_VALUE"""),44452.66666666667)</f>
        <v>44452.66667</v>
      </c>
      <c r="B2823" s="2">
        <f>IFERROR(__xludf.DUMMYFUNCTION("""COMPUTED_VALUE"""),246.74)</f>
        <v>246.74</v>
      </c>
      <c r="C2823" s="2">
        <f>IFERROR(__xludf.DUMMYFUNCTION("""COMPUTED_VALUE"""),248.26)</f>
        <v>248.26</v>
      </c>
      <c r="D2823" s="2">
        <f>IFERROR(__xludf.DUMMYFUNCTION("""COMPUTED_VALUE"""),236.28)</f>
        <v>236.28</v>
      </c>
      <c r="E2823" s="2">
        <f>IFERROR(__xludf.DUMMYFUNCTION("""COMPUTED_VALUE"""),247.67)</f>
        <v>247.67</v>
      </c>
      <c r="F2823" s="2">
        <f>IFERROR(__xludf.DUMMYFUNCTION("""COMPUTED_VALUE"""),2.2952482E7)</f>
        <v>22952482</v>
      </c>
    </row>
    <row r="2824">
      <c r="A2824" s="3">
        <f>IFERROR(__xludf.DUMMYFUNCTION("""COMPUTED_VALUE"""),44453.66666666667)</f>
        <v>44453.66667</v>
      </c>
      <c r="B2824" s="2">
        <f>IFERROR(__xludf.DUMMYFUNCTION("""COMPUTED_VALUE"""),247.52)</f>
        <v>247.52</v>
      </c>
      <c r="C2824" s="2">
        <f>IFERROR(__xludf.DUMMYFUNCTION("""COMPUTED_VALUE"""),251.49)</f>
        <v>251.49</v>
      </c>
      <c r="D2824" s="2">
        <f>IFERROR(__xludf.DUMMYFUNCTION("""COMPUTED_VALUE"""),245.47)</f>
        <v>245.47</v>
      </c>
      <c r="E2824" s="2">
        <f>IFERROR(__xludf.DUMMYFUNCTION("""COMPUTED_VALUE"""),248.16)</f>
        <v>248.16</v>
      </c>
      <c r="F2824" s="2">
        <f>IFERROR(__xludf.DUMMYFUNCTION("""COMPUTED_VALUE"""),1.8524881E7)</f>
        <v>18524881</v>
      </c>
    </row>
    <row r="2825">
      <c r="A2825" s="3">
        <f>IFERROR(__xludf.DUMMYFUNCTION("""COMPUTED_VALUE"""),44454.66666666667)</f>
        <v>44454.66667</v>
      </c>
      <c r="B2825" s="2">
        <f>IFERROR(__xludf.DUMMYFUNCTION("""COMPUTED_VALUE"""),248.33)</f>
        <v>248.33</v>
      </c>
      <c r="C2825" s="2">
        <f>IFERROR(__xludf.DUMMYFUNCTION("""COMPUTED_VALUE"""),252.29)</f>
        <v>252.29</v>
      </c>
      <c r="D2825" s="2">
        <f>IFERROR(__xludf.DUMMYFUNCTION("""COMPUTED_VALUE"""),246.12)</f>
        <v>246.12</v>
      </c>
      <c r="E2825" s="2">
        <f>IFERROR(__xludf.DUMMYFUNCTION("""COMPUTED_VALUE"""),251.94)</f>
        <v>251.94</v>
      </c>
      <c r="F2825" s="2">
        <f>IFERROR(__xludf.DUMMYFUNCTION("""COMPUTED_VALUE"""),1.5357685E7)</f>
        <v>15357685</v>
      </c>
    </row>
    <row r="2826">
      <c r="A2826" s="3">
        <f>IFERROR(__xludf.DUMMYFUNCTION("""COMPUTED_VALUE"""),44455.66666666667)</f>
        <v>44455.66667</v>
      </c>
      <c r="B2826" s="2">
        <f>IFERROR(__xludf.DUMMYFUNCTION("""COMPUTED_VALUE"""),250.94)</f>
        <v>250.94</v>
      </c>
      <c r="C2826" s="2">
        <f>IFERROR(__xludf.DUMMYFUNCTION("""COMPUTED_VALUE"""),252.97)</f>
        <v>252.97</v>
      </c>
      <c r="D2826" s="2">
        <f>IFERROR(__xludf.DUMMYFUNCTION("""COMPUTED_VALUE"""),249.2)</f>
        <v>249.2</v>
      </c>
      <c r="E2826" s="2">
        <f>IFERROR(__xludf.DUMMYFUNCTION("""COMPUTED_VALUE"""),252.33)</f>
        <v>252.33</v>
      </c>
      <c r="F2826" s="2">
        <f>IFERROR(__xludf.DUMMYFUNCTION("""COMPUTED_VALUE"""),1.3923393E7)</f>
        <v>13923393</v>
      </c>
    </row>
    <row r="2827">
      <c r="A2827" s="3">
        <f>IFERROR(__xludf.DUMMYFUNCTION("""COMPUTED_VALUE"""),44456.66666666667)</f>
        <v>44456.66667</v>
      </c>
      <c r="B2827" s="2">
        <f>IFERROR(__xludf.DUMMYFUNCTION("""COMPUTED_VALUE"""),252.38)</f>
        <v>252.38</v>
      </c>
      <c r="C2827" s="2">
        <f>IFERROR(__xludf.DUMMYFUNCTION("""COMPUTED_VALUE"""),253.68)</f>
        <v>253.68</v>
      </c>
      <c r="D2827" s="2">
        <f>IFERROR(__xludf.DUMMYFUNCTION("""COMPUTED_VALUE"""),250.0)</f>
        <v>250</v>
      </c>
      <c r="E2827" s="2">
        <f>IFERROR(__xludf.DUMMYFUNCTION("""COMPUTED_VALUE"""),253.16)</f>
        <v>253.16</v>
      </c>
      <c r="F2827" s="2">
        <f>IFERROR(__xludf.DUMMYFUNCTION("""COMPUTED_VALUE"""),2.8204176E7)</f>
        <v>28204176</v>
      </c>
    </row>
    <row r="2828">
      <c r="A2828" s="3">
        <f>IFERROR(__xludf.DUMMYFUNCTION("""COMPUTED_VALUE"""),44459.66666666667)</f>
        <v>44459.66667</v>
      </c>
      <c r="B2828" s="2">
        <f>IFERROR(__xludf.DUMMYFUNCTION("""COMPUTED_VALUE"""),244.85)</f>
        <v>244.85</v>
      </c>
      <c r="C2828" s="2">
        <f>IFERROR(__xludf.DUMMYFUNCTION("""COMPUTED_VALUE"""),247.33)</f>
        <v>247.33</v>
      </c>
      <c r="D2828" s="2">
        <f>IFERROR(__xludf.DUMMYFUNCTION("""COMPUTED_VALUE"""),239.54)</f>
        <v>239.54</v>
      </c>
      <c r="E2828" s="2">
        <f>IFERROR(__xludf.DUMMYFUNCTION("""COMPUTED_VALUE"""),243.39)</f>
        <v>243.39</v>
      </c>
      <c r="F2828" s="2">
        <f>IFERROR(__xludf.DUMMYFUNCTION("""COMPUTED_VALUE"""),2.4757652E7)</f>
        <v>24757652</v>
      </c>
    </row>
    <row r="2829">
      <c r="A2829" s="3">
        <f>IFERROR(__xludf.DUMMYFUNCTION("""COMPUTED_VALUE"""),44460.66666666667)</f>
        <v>44460.66667</v>
      </c>
      <c r="B2829" s="2">
        <f>IFERROR(__xludf.DUMMYFUNCTION("""COMPUTED_VALUE"""),244.93)</f>
        <v>244.93</v>
      </c>
      <c r="C2829" s="2">
        <f>IFERROR(__xludf.DUMMYFUNCTION("""COMPUTED_VALUE"""),248.25)</f>
        <v>248.25</v>
      </c>
      <c r="D2829" s="2">
        <f>IFERROR(__xludf.DUMMYFUNCTION("""COMPUTED_VALUE"""),243.48)</f>
        <v>243.48</v>
      </c>
      <c r="E2829" s="2">
        <f>IFERROR(__xludf.DUMMYFUNCTION("""COMPUTED_VALUE"""),246.46)</f>
        <v>246.46</v>
      </c>
      <c r="F2829" s="2">
        <f>IFERROR(__xludf.DUMMYFUNCTION("""COMPUTED_VALUE"""),1.6330723E7)</f>
        <v>16330723</v>
      </c>
    </row>
    <row r="2830">
      <c r="A2830" s="3">
        <f>IFERROR(__xludf.DUMMYFUNCTION("""COMPUTED_VALUE"""),44461.66666666667)</f>
        <v>44461.66667</v>
      </c>
      <c r="B2830" s="2">
        <f>IFERROR(__xludf.DUMMYFUNCTION("""COMPUTED_VALUE"""),247.84)</f>
        <v>247.84</v>
      </c>
      <c r="C2830" s="2">
        <f>IFERROR(__xludf.DUMMYFUNCTION("""COMPUTED_VALUE"""),251.22)</f>
        <v>251.22</v>
      </c>
      <c r="D2830" s="2">
        <f>IFERROR(__xludf.DUMMYFUNCTION("""COMPUTED_VALUE"""),246.37)</f>
        <v>246.37</v>
      </c>
      <c r="E2830" s="2">
        <f>IFERROR(__xludf.DUMMYFUNCTION("""COMPUTED_VALUE"""),250.65)</f>
        <v>250.65</v>
      </c>
      <c r="F2830" s="2">
        <f>IFERROR(__xludf.DUMMYFUNCTION("""COMPUTED_VALUE"""),1.5126272E7)</f>
        <v>15126272</v>
      </c>
    </row>
    <row r="2831">
      <c r="A2831" s="3">
        <f>IFERROR(__xludf.DUMMYFUNCTION("""COMPUTED_VALUE"""),44462.66666666667)</f>
        <v>44462.66667</v>
      </c>
      <c r="B2831" s="2">
        <f>IFERROR(__xludf.DUMMYFUNCTION("""COMPUTED_VALUE"""),251.67)</f>
        <v>251.67</v>
      </c>
      <c r="C2831" s="2">
        <f>IFERROR(__xludf.DUMMYFUNCTION("""COMPUTED_VALUE"""),252.73)</f>
        <v>252.73</v>
      </c>
      <c r="D2831" s="2">
        <f>IFERROR(__xludf.DUMMYFUNCTION("""COMPUTED_VALUE"""),249.31)</f>
        <v>249.31</v>
      </c>
      <c r="E2831" s="2">
        <f>IFERROR(__xludf.DUMMYFUNCTION("""COMPUTED_VALUE"""),251.21)</f>
        <v>251.21</v>
      </c>
      <c r="F2831" s="2">
        <f>IFERROR(__xludf.DUMMYFUNCTION("""COMPUTED_VALUE"""),1.1947527E7)</f>
        <v>11947527</v>
      </c>
    </row>
    <row r="2832">
      <c r="A2832" s="3">
        <f>IFERROR(__xludf.DUMMYFUNCTION("""COMPUTED_VALUE"""),44463.66666666667)</f>
        <v>44463.66667</v>
      </c>
      <c r="B2832" s="2">
        <f>IFERROR(__xludf.DUMMYFUNCTION("""COMPUTED_VALUE"""),248.63)</f>
        <v>248.63</v>
      </c>
      <c r="C2832" s="2">
        <f>IFERROR(__xludf.DUMMYFUNCTION("""COMPUTED_VALUE"""),258.27)</f>
        <v>258.27</v>
      </c>
      <c r="D2832" s="2">
        <f>IFERROR(__xludf.DUMMYFUNCTION("""COMPUTED_VALUE"""),248.19)</f>
        <v>248.19</v>
      </c>
      <c r="E2832" s="2">
        <f>IFERROR(__xludf.DUMMYFUNCTION("""COMPUTED_VALUE"""),258.13)</f>
        <v>258.13</v>
      </c>
      <c r="F2832" s="2">
        <f>IFERROR(__xludf.DUMMYFUNCTION("""COMPUTED_VALUE"""),2.1373022E7)</f>
        <v>21373022</v>
      </c>
    </row>
    <row r="2833">
      <c r="A2833" s="3">
        <f>IFERROR(__xludf.DUMMYFUNCTION("""COMPUTED_VALUE"""),44466.66666666667)</f>
        <v>44466.66667</v>
      </c>
      <c r="B2833" s="2">
        <f>IFERROR(__xludf.DUMMYFUNCTION("""COMPUTED_VALUE"""),257.71)</f>
        <v>257.71</v>
      </c>
      <c r="C2833" s="2">
        <f>IFERROR(__xludf.DUMMYFUNCTION("""COMPUTED_VALUE"""),266.33)</f>
        <v>266.33</v>
      </c>
      <c r="D2833" s="2">
        <f>IFERROR(__xludf.DUMMYFUNCTION("""COMPUTED_VALUE"""),256.44)</f>
        <v>256.44</v>
      </c>
      <c r="E2833" s="2">
        <f>IFERROR(__xludf.DUMMYFUNCTION("""COMPUTED_VALUE"""),263.79)</f>
        <v>263.79</v>
      </c>
      <c r="F2833" s="2">
        <f>IFERROR(__xludf.DUMMYFUNCTION("""COMPUTED_VALUE"""),2.8070657E7)</f>
        <v>28070657</v>
      </c>
    </row>
    <row r="2834">
      <c r="A2834" s="3">
        <f>IFERROR(__xludf.DUMMYFUNCTION("""COMPUTED_VALUE"""),44467.66666666667)</f>
        <v>44467.66667</v>
      </c>
      <c r="B2834" s="2">
        <f>IFERROR(__xludf.DUMMYFUNCTION("""COMPUTED_VALUE"""),262.4)</f>
        <v>262.4</v>
      </c>
      <c r="C2834" s="2">
        <f>IFERROR(__xludf.DUMMYFUNCTION("""COMPUTED_VALUE"""),265.21)</f>
        <v>265.21</v>
      </c>
      <c r="D2834" s="2">
        <f>IFERROR(__xludf.DUMMYFUNCTION("""COMPUTED_VALUE"""),255.39)</f>
        <v>255.39</v>
      </c>
      <c r="E2834" s="2">
        <f>IFERROR(__xludf.DUMMYFUNCTION("""COMPUTED_VALUE"""),259.19)</f>
        <v>259.19</v>
      </c>
      <c r="F2834" s="2">
        <f>IFERROR(__xludf.DUMMYFUNCTION("""COMPUTED_VALUE"""),2.5381422E7)</f>
        <v>25381422</v>
      </c>
    </row>
    <row r="2835">
      <c r="A2835" s="3">
        <f>IFERROR(__xludf.DUMMYFUNCTION("""COMPUTED_VALUE"""),44468.66666666667)</f>
        <v>44468.66667</v>
      </c>
      <c r="B2835" s="2">
        <f>IFERROR(__xludf.DUMMYFUNCTION("""COMPUTED_VALUE"""),259.93)</f>
        <v>259.93</v>
      </c>
      <c r="C2835" s="2">
        <f>IFERROR(__xludf.DUMMYFUNCTION("""COMPUTED_VALUE"""),264.5)</f>
        <v>264.5</v>
      </c>
      <c r="D2835" s="2">
        <f>IFERROR(__xludf.DUMMYFUNCTION("""COMPUTED_VALUE"""),256.89)</f>
        <v>256.89</v>
      </c>
      <c r="E2835" s="2">
        <f>IFERROR(__xludf.DUMMYFUNCTION("""COMPUTED_VALUE"""),260.44)</f>
        <v>260.44</v>
      </c>
      <c r="F2835" s="2">
        <f>IFERROR(__xludf.DUMMYFUNCTION("""COMPUTED_VALUE"""),2.0942877E7)</f>
        <v>20942877</v>
      </c>
    </row>
    <row r="2836">
      <c r="A2836" s="3">
        <f>IFERROR(__xludf.DUMMYFUNCTION("""COMPUTED_VALUE"""),44469.66666666667)</f>
        <v>44469.66667</v>
      </c>
      <c r="B2836" s="2">
        <f>IFERROR(__xludf.DUMMYFUNCTION("""COMPUTED_VALUE"""),260.33)</f>
        <v>260.33</v>
      </c>
      <c r="C2836" s="2">
        <f>IFERROR(__xludf.DUMMYFUNCTION("""COMPUTED_VALUE"""),263.04)</f>
        <v>263.04</v>
      </c>
      <c r="D2836" s="2">
        <f>IFERROR(__xludf.DUMMYFUNCTION("""COMPUTED_VALUE"""),258.33)</f>
        <v>258.33</v>
      </c>
      <c r="E2836" s="2">
        <f>IFERROR(__xludf.DUMMYFUNCTION("""COMPUTED_VALUE"""),258.49)</f>
        <v>258.49</v>
      </c>
      <c r="F2836" s="2">
        <f>IFERROR(__xludf.DUMMYFUNCTION("""COMPUTED_VALUE"""),1.7955961E7)</f>
        <v>17955961</v>
      </c>
    </row>
    <row r="2837">
      <c r="A2837" s="3">
        <f>IFERROR(__xludf.DUMMYFUNCTION("""COMPUTED_VALUE"""),44470.66666666667)</f>
        <v>44470.66667</v>
      </c>
      <c r="B2837" s="2">
        <f>IFERROR(__xludf.DUMMYFUNCTION("""COMPUTED_VALUE"""),259.47)</f>
        <v>259.47</v>
      </c>
      <c r="C2837" s="2">
        <f>IFERROR(__xludf.DUMMYFUNCTION("""COMPUTED_VALUE"""),260.26)</f>
        <v>260.26</v>
      </c>
      <c r="D2837" s="2">
        <f>IFERROR(__xludf.DUMMYFUNCTION("""COMPUTED_VALUE"""),254.53)</f>
        <v>254.53</v>
      </c>
      <c r="E2837" s="2">
        <f>IFERROR(__xludf.DUMMYFUNCTION("""COMPUTED_VALUE"""),258.41)</f>
        <v>258.41</v>
      </c>
      <c r="F2837" s="2">
        <f>IFERROR(__xludf.DUMMYFUNCTION("""COMPUTED_VALUE"""),1.7031414E7)</f>
        <v>17031414</v>
      </c>
    </row>
    <row r="2838">
      <c r="A2838" s="3">
        <f>IFERROR(__xludf.DUMMYFUNCTION("""COMPUTED_VALUE"""),44473.66666666667)</f>
        <v>44473.66667</v>
      </c>
      <c r="B2838" s="2">
        <f>IFERROR(__xludf.DUMMYFUNCTION("""COMPUTED_VALUE"""),265.5)</f>
        <v>265.5</v>
      </c>
      <c r="C2838" s="2">
        <f>IFERROR(__xludf.DUMMYFUNCTION("""COMPUTED_VALUE"""),268.99)</f>
        <v>268.99</v>
      </c>
      <c r="D2838" s="2">
        <f>IFERROR(__xludf.DUMMYFUNCTION("""COMPUTED_VALUE"""),258.71)</f>
        <v>258.71</v>
      </c>
      <c r="E2838" s="2">
        <f>IFERROR(__xludf.DUMMYFUNCTION("""COMPUTED_VALUE"""),260.51)</f>
        <v>260.51</v>
      </c>
      <c r="F2838" s="2">
        <f>IFERROR(__xludf.DUMMYFUNCTION("""COMPUTED_VALUE"""),3.0483341E7)</f>
        <v>30483341</v>
      </c>
    </row>
    <row r="2839">
      <c r="A2839" s="3">
        <f>IFERROR(__xludf.DUMMYFUNCTION("""COMPUTED_VALUE"""),44474.66666666667)</f>
        <v>44474.66667</v>
      </c>
      <c r="B2839" s="2">
        <f>IFERROR(__xludf.DUMMYFUNCTION("""COMPUTED_VALUE"""),261.6)</f>
        <v>261.6</v>
      </c>
      <c r="C2839" s="2">
        <f>IFERROR(__xludf.DUMMYFUNCTION("""COMPUTED_VALUE"""),265.77)</f>
        <v>265.77</v>
      </c>
      <c r="D2839" s="2">
        <f>IFERROR(__xludf.DUMMYFUNCTION("""COMPUTED_VALUE"""),258.07)</f>
        <v>258.07</v>
      </c>
      <c r="E2839" s="2">
        <f>IFERROR(__xludf.DUMMYFUNCTION("""COMPUTED_VALUE"""),260.2)</f>
        <v>260.2</v>
      </c>
      <c r="F2839" s="2">
        <f>IFERROR(__xludf.DUMMYFUNCTION("""COMPUTED_VALUE"""),1.8432625E7)</f>
        <v>18432625</v>
      </c>
    </row>
    <row r="2840">
      <c r="A2840" s="3">
        <f>IFERROR(__xludf.DUMMYFUNCTION("""COMPUTED_VALUE"""),44475.66666666667)</f>
        <v>44475.66667</v>
      </c>
      <c r="B2840" s="2">
        <f>IFERROR(__xludf.DUMMYFUNCTION("""COMPUTED_VALUE"""),258.73)</f>
        <v>258.73</v>
      </c>
      <c r="C2840" s="2">
        <f>IFERROR(__xludf.DUMMYFUNCTION("""COMPUTED_VALUE"""),262.22)</f>
        <v>262.22</v>
      </c>
      <c r="D2840" s="2">
        <f>IFERROR(__xludf.DUMMYFUNCTION("""COMPUTED_VALUE"""),257.74)</f>
        <v>257.74</v>
      </c>
      <c r="E2840" s="2">
        <f>IFERROR(__xludf.DUMMYFUNCTION("""COMPUTED_VALUE"""),260.92)</f>
        <v>260.92</v>
      </c>
      <c r="F2840" s="2">
        <f>IFERROR(__xludf.DUMMYFUNCTION("""COMPUTED_VALUE"""),1.4632768E7)</f>
        <v>14632768</v>
      </c>
    </row>
    <row r="2841">
      <c r="A2841" s="3">
        <f>IFERROR(__xludf.DUMMYFUNCTION("""COMPUTED_VALUE"""),44476.66666666667)</f>
        <v>44476.66667</v>
      </c>
      <c r="B2841" s="2">
        <f>IFERROR(__xludf.DUMMYFUNCTION("""COMPUTED_VALUE"""),261.82)</f>
        <v>261.82</v>
      </c>
      <c r="C2841" s="2">
        <f>IFERROR(__xludf.DUMMYFUNCTION("""COMPUTED_VALUE"""),268.33)</f>
        <v>268.33</v>
      </c>
      <c r="D2841" s="2">
        <f>IFERROR(__xludf.DUMMYFUNCTION("""COMPUTED_VALUE"""),261.13)</f>
        <v>261.13</v>
      </c>
      <c r="E2841" s="2">
        <f>IFERROR(__xludf.DUMMYFUNCTION("""COMPUTED_VALUE"""),264.54)</f>
        <v>264.54</v>
      </c>
      <c r="F2841" s="2">
        <f>IFERROR(__xludf.DUMMYFUNCTION("""COMPUTED_VALUE"""),1.9195782E7)</f>
        <v>19195782</v>
      </c>
    </row>
    <row r="2842">
      <c r="A2842" s="3">
        <f>IFERROR(__xludf.DUMMYFUNCTION("""COMPUTED_VALUE"""),44477.66666666667)</f>
        <v>44477.66667</v>
      </c>
      <c r="B2842" s="2">
        <f>IFERROR(__xludf.DUMMYFUNCTION("""COMPUTED_VALUE"""),265.4)</f>
        <v>265.4</v>
      </c>
      <c r="C2842" s="2">
        <f>IFERROR(__xludf.DUMMYFUNCTION("""COMPUTED_VALUE"""),265.46)</f>
        <v>265.46</v>
      </c>
      <c r="D2842" s="2">
        <f>IFERROR(__xludf.DUMMYFUNCTION("""COMPUTED_VALUE"""),260.3)</f>
        <v>260.3</v>
      </c>
      <c r="E2842" s="2">
        <f>IFERROR(__xludf.DUMMYFUNCTION("""COMPUTED_VALUE"""),261.83)</f>
        <v>261.83</v>
      </c>
      <c r="F2842" s="2">
        <f>IFERROR(__xludf.DUMMYFUNCTION("""COMPUTED_VALUE"""),1.6738604E7)</f>
        <v>16738604</v>
      </c>
    </row>
    <row r="2843">
      <c r="A2843" s="3">
        <f>IFERROR(__xludf.DUMMYFUNCTION("""COMPUTED_VALUE"""),44480.66666666667)</f>
        <v>44480.66667</v>
      </c>
      <c r="B2843" s="2">
        <f>IFERROR(__xludf.DUMMYFUNCTION("""COMPUTED_VALUE"""),262.55)</f>
        <v>262.55</v>
      </c>
      <c r="C2843" s="2">
        <f>IFERROR(__xludf.DUMMYFUNCTION("""COMPUTED_VALUE"""),267.08)</f>
        <v>267.08</v>
      </c>
      <c r="D2843" s="2">
        <f>IFERROR(__xludf.DUMMYFUNCTION("""COMPUTED_VALUE"""),261.83)</f>
        <v>261.83</v>
      </c>
      <c r="E2843" s="2">
        <f>IFERROR(__xludf.DUMMYFUNCTION("""COMPUTED_VALUE"""),263.98)</f>
        <v>263.98</v>
      </c>
      <c r="F2843" s="2">
        <f>IFERROR(__xludf.DUMMYFUNCTION("""COMPUTED_VALUE"""),1.4200322E7)</f>
        <v>14200322</v>
      </c>
    </row>
    <row r="2844">
      <c r="A2844" s="3">
        <f>IFERROR(__xludf.DUMMYFUNCTION("""COMPUTED_VALUE"""),44481.66666666667)</f>
        <v>44481.66667</v>
      </c>
      <c r="B2844" s="2">
        <f>IFERROR(__xludf.DUMMYFUNCTION("""COMPUTED_VALUE"""),266.98)</f>
        <v>266.98</v>
      </c>
      <c r="C2844" s="2">
        <f>IFERROR(__xludf.DUMMYFUNCTION("""COMPUTED_VALUE"""),270.77)</f>
        <v>270.77</v>
      </c>
      <c r="D2844" s="2">
        <f>IFERROR(__xludf.DUMMYFUNCTION("""COMPUTED_VALUE"""),265.52)</f>
        <v>265.52</v>
      </c>
      <c r="E2844" s="2">
        <f>IFERROR(__xludf.DUMMYFUNCTION("""COMPUTED_VALUE"""),268.57)</f>
        <v>268.57</v>
      </c>
      <c r="F2844" s="2">
        <f>IFERROR(__xludf.DUMMYFUNCTION("""COMPUTED_VALUE"""),2.202004E7)</f>
        <v>22020040</v>
      </c>
    </row>
    <row r="2845">
      <c r="A2845" s="3">
        <f>IFERROR(__xludf.DUMMYFUNCTION("""COMPUTED_VALUE"""),44482.66666666667)</f>
        <v>44482.66667</v>
      </c>
      <c r="B2845" s="2">
        <f>IFERROR(__xludf.DUMMYFUNCTION("""COMPUTED_VALUE"""),270.16)</f>
        <v>270.16</v>
      </c>
      <c r="C2845" s="2">
        <f>IFERROR(__xludf.DUMMYFUNCTION("""COMPUTED_VALUE"""),271.8)</f>
        <v>271.8</v>
      </c>
      <c r="D2845" s="2">
        <f>IFERROR(__xludf.DUMMYFUNCTION("""COMPUTED_VALUE"""),268.59)</f>
        <v>268.59</v>
      </c>
      <c r="E2845" s="2">
        <f>IFERROR(__xludf.DUMMYFUNCTION("""COMPUTED_VALUE"""),270.36)</f>
        <v>270.36</v>
      </c>
      <c r="F2845" s="2">
        <f>IFERROR(__xludf.DUMMYFUNCTION("""COMPUTED_VALUE"""),1.4120075E7)</f>
        <v>14120075</v>
      </c>
    </row>
    <row r="2846">
      <c r="A2846" s="3">
        <f>IFERROR(__xludf.DUMMYFUNCTION("""COMPUTED_VALUE"""),44483.66666666667)</f>
        <v>44483.66667</v>
      </c>
      <c r="B2846" s="2">
        <f>IFERROR(__xludf.DUMMYFUNCTION("""COMPUTED_VALUE"""),271.83)</f>
        <v>271.83</v>
      </c>
      <c r="C2846" s="2">
        <f>IFERROR(__xludf.DUMMYFUNCTION("""COMPUTED_VALUE"""),273.42)</f>
        <v>273.42</v>
      </c>
      <c r="D2846" s="2">
        <f>IFERROR(__xludf.DUMMYFUNCTION("""COMPUTED_VALUE"""),271.12)</f>
        <v>271.12</v>
      </c>
      <c r="E2846" s="2">
        <f>IFERROR(__xludf.DUMMYFUNCTION("""COMPUTED_VALUE"""),272.77)</f>
        <v>272.77</v>
      </c>
      <c r="F2846" s="2">
        <f>IFERROR(__xludf.DUMMYFUNCTION("""COMPUTED_VALUE"""),1.224717E7)</f>
        <v>12247170</v>
      </c>
    </row>
    <row r="2847">
      <c r="A2847" s="3">
        <f>IFERROR(__xludf.DUMMYFUNCTION("""COMPUTED_VALUE"""),44484.66666666667)</f>
        <v>44484.66667</v>
      </c>
      <c r="B2847" s="2">
        <f>IFERROR(__xludf.DUMMYFUNCTION("""COMPUTED_VALUE"""),274.58)</f>
        <v>274.58</v>
      </c>
      <c r="C2847" s="2">
        <f>IFERROR(__xludf.DUMMYFUNCTION("""COMPUTED_VALUE"""),281.07)</f>
        <v>281.07</v>
      </c>
      <c r="D2847" s="2">
        <f>IFERROR(__xludf.DUMMYFUNCTION("""COMPUTED_VALUE"""),274.12)</f>
        <v>274.12</v>
      </c>
      <c r="E2847" s="2">
        <f>IFERROR(__xludf.DUMMYFUNCTION("""COMPUTED_VALUE"""),281.01)</f>
        <v>281.01</v>
      </c>
      <c r="F2847" s="2">
        <f>IFERROR(__xludf.DUMMYFUNCTION("""COMPUTED_VALUE"""),1.8924567E7)</f>
        <v>18924567</v>
      </c>
    </row>
    <row r="2848">
      <c r="A2848" s="3">
        <f>IFERROR(__xludf.DUMMYFUNCTION("""COMPUTED_VALUE"""),44487.66666666667)</f>
        <v>44487.66667</v>
      </c>
      <c r="B2848" s="2">
        <f>IFERROR(__xludf.DUMMYFUNCTION("""COMPUTED_VALUE"""),283.93)</f>
        <v>283.93</v>
      </c>
      <c r="C2848" s="2">
        <f>IFERROR(__xludf.DUMMYFUNCTION("""COMPUTED_VALUE"""),291.75)</f>
        <v>291.75</v>
      </c>
      <c r="D2848" s="2">
        <f>IFERROR(__xludf.DUMMYFUNCTION("""COMPUTED_VALUE"""),283.82)</f>
        <v>283.82</v>
      </c>
      <c r="E2848" s="2">
        <f>IFERROR(__xludf.DUMMYFUNCTION("""COMPUTED_VALUE"""),290.04)</f>
        <v>290.04</v>
      </c>
      <c r="F2848" s="2">
        <f>IFERROR(__xludf.DUMMYFUNCTION("""COMPUTED_VALUE"""),2.4207244E7)</f>
        <v>24207244</v>
      </c>
    </row>
    <row r="2849">
      <c r="A2849" s="3">
        <f>IFERROR(__xludf.DUMMYFUNCTION("""COMPUTED_VALUE"""),44488.66666666667)</f>
        <v>44488.66667</v>
      </c>
      <c r="B2849" s="2">
        <f>IFERROR(__xludf.DUMMYFUNCTION("""COMPUTED_VALUE"""),292.51)</f>
        <v>292.51</v>
      </c>
      <c r="C2849" s="2">
        <f>IFERROR(__xludf.DUMMYFUNCTION("""COMPUTED_VALUE"""),292.65)</f>
        <v>292.65</v>
      </c>
      <c r="D2849" s="2">
        <f>IFERROR(__xludf.DUMMYFUNCTION("""COMPUTED_VALUE"""),287.5)</f>
        <v>287.5</v>
      </c>
      <c r="E2849" s="2">
        <f>IFERROR(__xludf.DUMMYFUNCTION("""COMPUTED_VALUE"""),288.09)</f>
        <v>288.09</v>
      </c>
      <c r="F2849" s="2">
        <f>IFERROR(__xludf.DUMMYFUNCTION("""COMPUTED_VALUE"""),1.7381128E7)</f>
        <v>17381128</v>
      </c>
    </row>
    <row r="2850">
      <c r="A2850" s="3">
        <f>IFERROR(__xludf.DUMMYFUNCTION("""COMPUTED_VALUE"""),44489.66666666667)</f>
        <v>44489.66667</v>
      </c>
      <c r="B2850" s="2">
        <f>IFERROR(__xludf.DUMMYFUNCTION("""COMPUTED_VALUE"""),288.45)</f>
        <v>288.45</v>
      </c>
      <c r="C2850" s="2">
        <f>IFERROR(__xludf.DUMMYFUNCTION("""COMPUTED_VALUE"""),289.83)</f>
        <v>289.83</v>
      </c>
      <c r="D2850" s="2">
        <f>IFERROR(__xludf.DUMMYFUNCTION("""COMPUTED_VALUE"""),285.79)</f>
        <v>285.79</v>
      </c>
      <c r="E2850" s="2">
        <f>IFERROR(__xludf.DUMMYFUNCTION("""COMPUTED_VALUE"""),288.6)</f>
        <v>288.6</v>
      </c>
      <c r="F2850" s="2">
        <f>IFERROR(__xludf.DUMMYFUNCTION("""COMPUTED_VALUE"""),1.4032052E7)</f>
        <v>14032052</v>
      </c>
    </row>
    <row r="2851">
      <c r="A2851" s="3">
        <f>IFERROR(__xludf.DUMMYFUNCTION("""COMPUTED_VALUE"""),44490.66666666667)</f>
        <v>44490.66667</v>
      </c>
      <c r="B2851" s="2">
        <f>IFERROR(__xludf.DUMMYFUNCTION("""COMPUTED_VALUE"""),285.33)</f>
        <v>285.33</v>
      </c>
      <c r="C2851" s="2">
        <f>IFERROR(__xludf.DUMMYFUNCTION("""COMPUTED_VALUE"""),300.0)</f>
        <v>300</v>
      </c>
      <c r="D2851" s="2">
        <f>IFERROR(__xludf.DUMMYFUNCTION("""COMPUTED_VALUE"""),285.17)</f>
        <v>285.17</v>
      </c>
      <c r="E2851" s="2">
        <f>IFERROR(__xludf.DUMMYFUNCTION("""COMPUTED_VALUE"""),298.0)</f>
        <v>298</v>
      </c>
      <c r="F2851" s="2">
        <f>IFERROR(__xludf.DUMMYFUNCTION("""COMPUTED_VALUE"""),3.1481454E7)</f>
        <v>31481454</v>
      </c>
    </row>
    <row r="2852">
      <c r="A2852" s="3">
        <f>IFERROR(__xludf.DUMMYFUNCTION("""COMPUTED_VALUE"""),44491.66666666667)</f>
        <v>44491.66667</v>
      </c>
      <c r="B2852" s="2">
        <f>IFERROR(__xludf.DUMMYFUNCTION("""COMPUTED_VALUE"""),298.5)</f>
        <v>298.5</v>
      </c>
      <c r="C2852" s="2">
        <f>IFERROR(__xludf.DUMMYFUNCTION("""COMPUTED_VALUE"""),303.33)</f>
        <v>303.33</v>
      </c>
      <c r="D2852" s="2">
        <f>IFERROR(__xludf.DUMMYFUNCTION("""COMPUTED_VALUE"""),296.99)</f>
        <v>296.99</v>
      </c>
      <c r="E2852" s="2">
        <f>IFERROR(__xludf.DUMMYFUNCTION("""COMPUTED_VALUE"""),303.23)</f>
        <v>303.23</v>
      </c>
      <c r="F2852" s="2">
        <f>IFERROR(__xludf.DUMMYFUNCTION("""COMPUTED_VALUE"""),2.2880835E7)</f>
        <v>22880835</v>
      </c>
    </row>
    <row r="2853">
      <c r="A2853" s="3">
        <f>IFERROR(__xludf.DUMMYFUNCTION("""COMPUTED_VALUE"""),44494.66666666667)</f>
        <v>44494.66667</v>
      </c>
      <c r="B2853" s="2">
        <f>IFERROR(__xludf.DUMMYFUNCTION("""COMPUTED_VALUE"""),316.84)</f>
        <v>316.84</v>
      </c>
      <c r="C2853" s="2">
        <f>IFERROR(__xludf.DUMMYFUNCTION("""COMPUTED_VALUE"""),348.34)</f>
        <v>348.34</v>
      </c>
      <c r="D2853" s="2">
        <f>IFERROR(__xludf.DUMMYFUNCTION("""COMPUTED_VALUE"""),314.73)</f>
        <v>314.73</v>
      </c>
      <c r="E2853" s="2">
        <f>IFERROR(__xludf.DUMMYFUNCTION("""COMPUTED_VALUE"""),341.62)</f>
        <v>341.62</v>
      </c>
      <c r="F2853" s="2">
        <f>IFERROR(__xludf.DUMMYFUNCTION("""COMPUTED_VALUE"""),6.2852099E7)</f>
        <v>62852099</v>
      </c>
    </row>
    <row r="2854">
      <c r="A2854" s="3">
        <f>IFERROR(__xludf.DUMMYFUNCTION("""COMPUTED_VALUE"""),44495.66666666667)</f>
        <v>44495.66667</v>
      </c>
      <c r="B2854" s="2">
        <f>IFERROR(__xludf.DUMMYFUNCTION("""COMPUTED_VALUE"""),341.56)</f>
        <v>341.56</v>
      </c>
      <c r="C2854" s="2">
        <f>IFERROR(__xludf.DUMMYFUNCTION("""COMPUTED_VALUE"""),364.98)</f>
        <v>364.98</v>
      </c>
      <c r="D2854" s="2">
        <f>IFERROR(__xludf.DUMMYFUNCTION("""COMPUTED_VALUE"""),333.81)</f>
        <v>333.81</v>
      </c>
      <c r="E2854" s="2">
        <f>IFERROR(__xludf.DUMMYFUNCTION("""COMPUTED_VALUE"""),339.48)</f>
        <v>339.48</v>
      </c>
      <c r="F2854" s="2">
        <f>IFERROR(__xludf.DUMMYFUNCTION("""COMPUTED_VALUE"""),6.2414968E7)</f>
        <v>62414968</v>
      </c>
    </row>
    <row r="2855">
      <c r="A2855" s="3">
        <f>IFERROR(__xludf.DUMMYFUNCTION("""COMPUTED_VALUE"""),44496.66666666667)</f>
        <v>44496.66667</v>
      </c>
      <c r="B2855" s="2">
        <f>IFERROR(__xludf.DUMMYFUNCTION("""COMPUTED_VALUE"""),346.55)</f>
        <v>346.55</v>
      </c>
      <c r="C2855" s="2">
        <f>IFERROR(__xludf.DUMMYFUNCTION("""COMPUTED_VALUE"""),356.96)</f>
        <v>356.96</v>
      </c>
      <c r="D2855" s="2">
        <f>IFERROR(__xludf.DUMMYFUNCTION("""COMPUTED_VALUE"""),343.59)</f>
        <v>343.59</v>
      </c>
      <c r="E2855" s="2">
        <f>IFERROR(__xludf.DUMMYFUNCTION("""COMPUTED_VALUE"""),345.95)</f>
        <v>345.95</v>
      </c>
      <c r="F2855" s="2">
        <f>IFERROR(__xludf.DUMMYFUNCTION("""COMPUTED_VALUE"""),3.8526459E7)</f>
        <v>38526459</v>
      </c>
    </row>
    <row r="2856">
      <c r="A2856" s="3">
        <f>IFERROR(__xludf.DUMMYFUNCTION("""COMPUTED_VALUE"""),44497.66666666667)</f>
        <v>44497.66667</v>
      </c>
      <c r="B2856" s="2">
        <f>IFERROR(__xludf.DUMMYFUNCTION("""COMPUTED_VALUE"""),356.1)</f>
        <v>356.1</v>
      </c>
      <c r="C2856" s="2">
        <f>IFERROR(__xludf.DUMMYFUNCTION("""COMPUTED_VALUE"""),360.33)</f>
        <v>360.33</v>
      </c>
      <c r="D2856" s="2">
        <f>IFERROR(__xludf.DUMMYFUNCTION("""COMPUTED_VALUE"""),351.4)</f>
        <v>351.4</v>
      </c>
      <c r="E2856" s="2">
        <f>IFERROR(__xludf.DUMMYFUNCTION("""COMPUTED_VALUE"""),359.01)</f>
        <v>359.01</v>
      </c>
      <c r="F2856" s="2">
        <f>IFERROR(__xludf.DUMMYFUNCTION("""COMPUTED_VALUE"""),2.7213173E7)</f>
        <v>27213173</v>
      </c>
    </row>
    <row r="2857">
      <c r="A2857" s="3">
        <f>IFERROR(__xludf.DUMMYFUNCTION("""COMPUTED_VALUE"""),44498.66666666667)</f>
        <v>44498.66667</v>
      </c>
      <c r="B2857" s="2">
        <f>IFERROR(__xludf.DUMMYFUNCTION("""COMPUTED_VALUE"""),360.62)</f>
        <v>360.62</v>
      </c>
      <c r="C2857" s="2">
        <f>IFERROR(__xludf.DUMMYFUNCTION("""COMPUTED_VALUE"""),371.74)</f>
        <v>371.74</v>
      </c>
      <c r="D2857" s="2">
        <f>IFERROR(__xludf.DUMMYFUNCTION("""COMPUTED_VALUE"""),357.74)</f>
        <v>357.74</v>
      </c>
      <c r="E2857" s="2">
        <f>IFERROR(__xludf.DUMMYFUNCTION("""COMPUTED_VALUE"""),371.33)</f>
        <v>371.33</v>
      </c>
      <c r="F2857" s="2">
        <f>IFERROR(__xludf.DUMMYFUNCTION("""COMPUTED_VALUE"""),2.9918417E7)</f>
        <v>29918417</v>
      </c>
    </row>
    <row r="2858">
      <c r="A2858" s="3">
        <f>IFERROR(__xludf.DUMMYFUNCTION("""COMPUTED_VALUE"""),44501.66666666667)</f>
        <v>44501.66667</v>
      </c>
      <c r="B2858" s="2">
        <f>IFERROR(__xludf.DUMMYFUNCTION("""COMPUTED_VALUE"""),381.67)</f>
        <v>381.67</v>
      </c>
      <c r="C2858" s="2">
        <f>IFERROR(__xludf.DUMMYFUNCTION("""COMPUTED_VALUE"""),403.25)</f>
        <v>403.25</v>
      </c>
      <c r="D2858" s="2">
        <f>IFERROR(__xludf.DUMMYFUNCTION("""COMPUTED_VALUE"""),372.89)</f>
        <v>372.89</v>
      </c>
      <c r="E2858" s="2">
        <f>IFERROR(__xludf.DUMMYFUNCTION("""COMPUTED_VALUE"""),402.86)</f>
        <v>402.86</v>
      </c>
      <c r="F2858" s="2">
        <f>IFERROR(__xludf.DUMMYFUNCTION("""COMPUTED_VALUE"""),5.6048716E7)</f>
        <v>56048716</v>
      </c>
    </row>
    <row r="2859">
      <c r="A2859" s="3">
        <f>IFERROR(__xludf.DUMMYFUNCTION("""COMPUTED_VALUE"""),44502.66666666667)</f>
        <v>44502.66667</v>
      </c>
      <c r="B2859" s="2">
        <f>IFERROR(__xludf.DUMMYFUNCTION("""COMPUTED_VALUE"""),386.45)</f>
        <v>386.45</v>
      </c>
      <c r="C2859" s="2">
        <f>IFERROR(__xludf.DUMMYFUNCTION("""COMPUTED_VALUE"""),402.86)</f>
        <v>402.86</v>
      </c>
      <c r="D2859" s="2">
        <f>IFERROR(__xludf.DUMMYFUNCTION("""COMPUTED_VALUE"""),382.0)</f>
        <v>382</v>
      </c>
      <c r="E2859" s="2">
        <f>IFERROR(__xludf.DUMMYFUNCTION("""COMPUTED_VALUE"""),390.67)</f>
        <v>390.67</v>
      </c>
      <c r="F2859" s="2">
        <f>IFERROR(__xludf.DUMMYFUNCTION("""COMPUTED_VALUE"""),4.2737797E7)</f>
        <v>42737797</v>
      </c>
    </row>
    <row r="2860">
      <c r="A2860" s="3">
        <f>IFERROR(__xludf.DUMMYFUNCTION("""COMPUTED_VALUE"""),44503.66666666667)</f>
        <v>44503.66667</v>
      </c>
      <c r="B2860" s="2">
        <f>IFERROR(__xludf.DUMMYFUNCTION("""COMPUTED_VALUE"""),392.44)</f>
        <v>392.44</v>
      </c>
      <c r="C2860" s="2">
        <f>IFERROR(__xludf.DUMMYFUNCTION("""COMPUTED_VALUE"""),405.13)</f>
        <v>405.13</v>
      </c>
      <c r="D2860" s="2">
        <f>IFERROR(__xludf.DUMMYFUNCTION("""COMPUTED_VALUE"""),384.21)</f>
        <v>384.21</v>
      </c>
      <c r="E2860" s="2">
        <f>IFERROR(__xludf.DUMMYFUNCTION("""COMPUTED_VALUE"""),404.62)</f>
        <v>404.62</v>
      </c>
      <c r="F2860" s="2">
        <f>IFERROR(__xludf.DUMMYFUNCTION("""COMPUTED_VALUE"""),3.4628519E7)</f>
        <v>34628519</v>
      </c>
    </row>
    <row r="2861">
      <c r="A2861" s="3">
        <f>IFERROR(__xludf.DUMMYFUNCTION("""COMPUTED_VALUE"""),44504.66666666667)</f>
        <v>44504.66667</v>
      </c>
      <c r="B2861" s="2">
        <f>IFERROR(__xludf.DUMMYFUNCTION("""COMPUTED_VALUE"""),411.47)</f>
        <v>411.47</v>
      </c>
      <c r="C2861" s="2">
        <f>IFERROR(__xludf.DUMMYFUNCTION("""COMPUTED_VALUE"""),414.5)</f>
        <v>414.5</v>
      </c>
      <c r="D2861" s="2">
        <f>IFERROR(__xludf.DUMMYFUNCTION("""COMPUTED_VALUE"""),405.67)</f>
        <v>405.67</v>
      </c>
      <c r="E2861" s="2">
        <f>IFERROR(__xludf.DUMMYFUNCTION("""COMPUTED_VALUE"""),409.97)</f>
        <v>409.97</v>
      </c>
      <c r="F2861" s="2">
        <f>IFERROR(__xludf.DUMMYFUNCTION("""COMPUTED_VALUE"""),2.539741E7)</f>
        <v>25397410</v>
      </c>
    </row>
    <row r="2862">
      <c r="A2862" s="3">
        <f>IFERROR(__xludf.DUMMYFUNCTION("""COMPUTED_VALUE"""),44505.66666666667)</f>
        <v>44505.66667</v>
      </c>
      <c r="B2862" s="2">
        <f>IFERROR(__xludf.DUMMYFUNCTION("""COMPUTED_VALUE"""),409.33)</f>
        <v>409.33</v>
      </c>
      <c r="C2862" s="2">
        <f>IFERROR(__xludf.DUMMYFUNCTION("""COMPUTED_VALUE"""),413.29)</f>
        <v>413.29</v>
      </c>
      <c r="D2862" s="2">
        <f>IFERROR(__xludf.DUMMYFUNCTION("""COMPUTED_VALUE"""),402.67)</f>
        <v>402.67</v>
      </c>
      <c r="E2862" s="2">
        <f>IFERROR(__xludf.DUMMYFUNCTION("""COMPUTED_VALUE"""),407.36)</f>
        <v>407.36</v>
      </c>
      <c r="F2862" s="2">
        <f>IFERROR(__xludf.DUMMYFUNCTION("""COMPUTED_VALUE"""),2.1628812E7)</f>
        <v>21628812</v>
      </c>
    </row>
    <row r="2863">
      <c r="A2863" s="3">
        <f>IFERROR(__xludf.DUMMYFUNCTION("""COMPUTED_VALUE"""),44508.66666666667)</f>
        <v>44508.66667</v>
      </c>
      <c r="B2863" s="2">
        <f>IFERROR(__xludf.DUMMYFUNCTION("""COMPUTED_VALUE"""),383.26)</f>
        <v>383.26</v>
      </c>
      <c r="C2863" s="2">
        <f>IFERROR(__xludf.DUMMYFUNCTION("""COMPUTED_VALUE"""),399.0)</f>
        <v>399</v>
      </c>
      <c r="D2863" s="2">
        <f>IFERROR(__xludf.DUMMYFUNCTION("""COMPUTED_VALUE"""),377.67)</f>
        <v>377.67</v>
      </c>
      <c r="E2863" s="2">
        <f>IFERROR(__xludf.DUMMYFUNCTION("""COMPUTED_VALUE"""),387.65)</f>
        <v>387.65</v>
      </c>
      <c r="F2863" s="2">
        <f>IFERROR(__xludf.DUMMYFUNCTION("""COMPUTED_VALUE"""),3.3445715E7)</f>
        <v>33445715</v>
      </c>
    </row>
    <row r="2864">
      <c r="A2864" s="3">
        <f>IFERROR(__xludf.DUMMYFUNCTION("""COMPUTED_VALUE"""),44509.66666666667)</f>
        <v>44509.66667</v>
      </c>
      <c r="B2864" s="2">
        <f>IFERROR(__xludf.DUMMYFUNCTION("""COMPUTED_VALUE"""),391.2)</f>
        <v>391.2</v>
      </c>
      <c r="C2864" s="2">
        <f>IFERROR(__xludf.DUMMYFUNCTION("""COMPUTED_VALUE"""),391.5)</f>
        <v>391.5</v>
      </c>
      <c r="D2864" s="2">
        <f>IFERROR(__xludf.DUMMYFUNCTION("""COMPUTED_VALUE"""),337.17)</f>
        <v>337.17</v>
      </c>
      <c r="E2864" s="2">
        <f>IFERROR(__xludf.DUMMYFUNCTION("""COMPUTED_VALUE"""),341.17)</f>
        <v>341.17</v>
      </c>
      <c r="F2864" s="2">
        <f>IFERROR(__xludf.DUMMYFUNCTION("""COMPUTED_VALUE"""),5.9105836E7)</f>
        <v>59105836</v>
      </c>
    </row>
    <row r="2865">
      <c r="A2865" s="3">
        <f>IFERROR(__xludf.DUMMYFUNCTION("""COMPUTED_VALUE"""),44510.66666666667)</f>
        <v>44510.66667</v>
      </c>
      <c r="B2865" s="2">
        <f>IFERROR(__xludf.DUMMYFUNCTION("""COMPUTED_VALUE"""),336.8)</f>
        <v>336.8</v>
      </c>
      <c r="C2865" s="2">
        <f>IFERROR(__xludf.DUMMYFUNCTION("""COMPUTED_VALUE"""),359.37)</f>
        <v>359.37</v>
      </c>
      <c r="D2865" s="2">
        <f>IFERROR(__xludf.DUMMYFUNCTION("""COMPUTED_VALUE"""),329.1)</f>
        <v>329.1</v>
      </c>
      <c r="E2865" s="2">
        <f>IFERROR(__xludf.DUMMYFUNCTION("""COMPUTED_VALUE"""),355.98)</f>
        <v>355.98</v>
      </c>
      <c r="F2865" s="2">
        <f>IFERROR(__xludf.DUMMYFUNCTION("""COMPUTED_VALUE"""),4.2802722E7)</f>
        <v>42802722</v>
      </c>
    </row>
    <row r="2866">
      <c r="A2866" s="3">
        <f>IFERROR(__xludf.DUMMYFUNCTION("""COMPUTED_VALUE"""),44511.66666666667)</f>
        <v>44511.66667</v>
      </c>
      <c r="B2866" s="2">
        <f>IFERROR(__xludf.DUMMYFUNCTION("""COMPUTED_VALUE"""),367.59)</f>
        <v>367.59</v>
      </c>
      <c r="C2866" s="2">
        <f>IFERROR(__xludf.DUMMYFUNCTION("""COMPUTED_VALUE"""),368.32)</f>
        <v>368.32</v>
      </c>
      <c r="D2866" s="2">
        <f>IFERROR(__xludf.DUMMYFUNCTION("""COMPUTED_VALUE"""),351.56)</f>
        <v>351.56</v>
      </c>
      <c r="E2866" s="2">
        <f>IFERROR(__xludf.DUMMYFUNCTION("""COMPUTED_VALUE"""),354.5)</f>
        <v>354.5</v>
      </c>
      <c r="F2866" s="2">
        <f>IFERROR(__xludf.DUMMYFUNCTION("""COMPUTED_VALUE"""),2.2396568E7)</f>
        <v>22396568</v>
      </c>
    </row>
    <row r="2867">
      <c r="A2867" s="3">
        <f>IFERROR(__xludf.DUMMYFUNCTION("""COMPUTED_VALUE"""),44512.66666666667)</f>
        <v>44512.66667</v>
      </c>
      <c r="B2867" s="2">
        <f>IFERROR(__xludf.DUMMYFUNCTION("""COMPUTED_VALUE"""),349.17)</f>
        <v>349.17</v>
      </c>
      <c r="C2867" s="2">
        <f>IFERROR(__xludf.DUMMYFUNCTION("""COMPUTED_VALUE"""),351.5)</f>
        <v>351.5</v>
      </c>
      <c r="D2867" s="2">
        <f>IFERROR(__xludf.DUMMYFUNCTION("""COMPUTED_VALUE"""),339.73)</f>
        <v>339.73</v>
      </c>
      <c r="E2867" s="2">
        <f>IFERROR(__xludf.DUMMYFUNCTION("""COMPUTED_VALUE"""),344.47)</f>
        <v>344.47</v>
      </c>
      <c r="F2867" s="2">
        <f>IFERROR(__xludf.DUMMYFUNCTION("""COMPUTED_VALUE"""),2.5573148E7)</f>
        <v>25573148</v>
      </c>
    </row>
    <row r="2868">
      <c r="A2868" s="3">
        <f>IFERROR(__xludf.DUMMYFUNCTION("""COMPUTED_VALUE"""),44515.66666666667)</f>
        <v>44515.66667</v>
      </c>
      <c r="B2868" s="2">
        <f>IFERROR(__xludf.DUMMYFUNCTION("""COMPUTED_VALUE"""),339.21)</f>
        <v>339.21</v>
      </c>
      <c r="C2868" s="2">
        <f>IFERROR(__xludf.DUMMYFUNCTION("""COMPUTED_VALUE"""),343.99)</f>
        <v>343.99</v>
      </c>
      <c r="D2868" s="2">
        <f>IFERROR(__xludf.DUMMYFUNCTION("""COMPUTED_VALUE"""),326.2)</f>
        <v>326.2</v>
      </c>
      <c r="E2868" s="2">
        <f>IFERROR(__xludf.DUMMYFUNCTION("""COMPUTED_VALUE"""),337.8)</f>
        <v>337.8</v>
      </c>
      <c r="F2868" s="2">
        <f>IFERROR(__xludf.DUMMYFUNCTION("""COMPUTED_VALUE"""),3.4775649E7)</f>
        <v>34775649</v>
      </c>
    </row>
    <row r="2869">
      <c r="A2869" s="3">
        <f>IFERROR(__xludf.DUMMYFUNCTION("""COMPUTED_VALUE"""),44516.66666666667)</f>
        <v>44516.66667</v>
      </c>
      <c r="B2869" s="2">
        <f>IFERROR(__xludf.DUMMYFUNCTION("""COMPUTED_VALUE"""),334.44)</f>
        <v>334.44</v>
      </c>
      <c r="C2869" s="2">
        <f>IFERROR(__xludf.DUMMYFUNCTION("""COMPUTED_VALUE"""),352.4)</f>
        <v>352.4</v>
      </c>
      <c r="D2869" s="2">
        <f>IFERROR(__xludf.DUMMYFUNCTION("""COMPUTED_VALUE"""),334.06)</f>
        <v>334.06</v>
      </c>
      <c r="E2869" s="2">
        <f>IFERROR(__xludf.DUMMYFUNCTION("""COMPUTED_VALUE"""),351.58)</f>
        <v>351.58</v>
      </c>
      <c r="F2869" s="2">
        <f>IFERROR(__xludf.DUMMYFUNCTION("""COMPUTED_VALUE"""),2.6542359E7)</f>
        <v>26542359</v>
      </c>
    </row>
    <row r="2870">
      <c r="A2870" s="3">
        <f>IFERROR(__xludf.DUMMYFUNCTION("""COMPUTED_VALUE"""),44517.66666666667)</f>
        <v>44517.66667</v>
      </c>
      <c r="B2870" s="2">
        <f>IFERROR(__xludf.DUMMYFUNCTION("""COMPUTED_VALUE"""),354.5)</f>
        <v>354.5</v>
      </c>
      <c r="C2870" s="2">
        <f>IFERROR(__xludf.DUMMYFUNCTION("""COMPUTED_VALUE"""),373.21)</f>
        <v>373.21</v>
      </c>
      <c r="D2870" s="2">
        <f>IFERROR(__xludf.DUMMYFUNCTION("""COMPUTED_VALUE"""),351.83)</f>
        <v>351.83</v>
      </c>
      <c r="E2870" s="2">
        <f>IFERROR(__xludf.DUMMYFUNCTION("""COMPUTED_VALUE"""),363.0)</f>
        <v>363</v>
      </c>
      <c r="F2870" s="2">
        <f>IFERROR(__xludf.DUMMYFUNCTION("""COMPUTED_VALUE"""),3.1445365E7)</f>
        <v>31445365</v>
      </c>
    </row>
    <row r="2871">
      <c r="A2871" s="3">
        <f>IFERROR(__xludf.DUMMYFUNCTION("""COMPUTED_VALUE"""),44518.66666666667)</f>
        <v>44518.66667</v>
      </c>
      <c r="B2871" s="2">
        <f>IFERROR(__xludf.DUMMYFUNCTION("""COMPUTED_VALUE"""),368.85)</f>
        <v>368.85</v>
      </c>
      <c r="C2871" s="2">
        <f>IFERROR(__xludf.DUMMYFUNCTION("""COMPUTED_VALUE"""),370.67)</f>
        <v>370.67</v>
      </c>
      <c r="D2871" s="2">
        <f>IFERROR(__xludf.DUMMYFUNCTION("""COMPUTED_VALUE"""),358.34)</f>
        <v>358.34</v>
      </c>
      <c r="E2871" s="2">
        <f>IFERROR(__xludf.DUMMYFUNCTION("""COMPUTED_VALUE"""),365.46)</f>
        <v>365.46</v>
      </c>
      <c r="F2871" s="2">
        <f>IFERROR(__xludf.DUMMYFUNCTION("""COMPUTED_VALUE"""),2.089893E7)</f>
        <v>20898930</v>
      </c>
    </row>
    <row r="2872">
      <c r="A2872" s="3">
        <f>IFERROR(__xludf.DUMMYFUNCTION("""COMPUTED_VALUE"""),44519.66666666667)</f>
        <v>44519.66667</v>
      </c>
      <c r="B2872" s="2">
        <f>IFERROR(__xludf.DUMMYFUNCTION("""COMPUTED_VALUE"""),366.29)</f>
        <v>366.29</v>
      </c>
      <c r="C2872" s="2">
        <f>IFERROR(__xludf.DUMMYFUNCTION("""COMPUTED_VALUE"""),379.57)</f>
        <v>379.57</v>
      </c>
      <c r="D2872" s="2">
        <f>IFERROR(__xludf.DUMMYFUNCTION("""COMPUTED_VALUE"""),364.23)</f>
        <v>364.23</v>
      </c>
      <c r="E2872" s="2">
        <f>IFERROR(__xludf.DUMMYFUNCTION("""COMPUTED_VALUE"""),379.02)</f>
        <v>379.02</v>
      </c>
      <c r="F2872" s="2">
        <f>IFERROR(__xludf.DUMMYFUNCTION("""COMPUTED_VALUE"""),2.1642258E7)</f>
        <v>21642258</v>
      </c>
    </row>
    <row r="2873">
      <c r="A2873" s="3">
        <f>IFERROR(__xludf.DUMMYFUNCTION("""COMPUTED_VALUE"""),44522.66666666667)</f>
        <v>44522.66667</v>
      </c>
      <c r="B2873" s="2">
        <f>IFERROR(__xludf.DUMMYFUNCTION("""COMPUTED_VALUE"""),387.44)</f>
        <v>387.44</v>
      </c>
      <c r="C2873" s="2">
        <f>IFERROR(__xludf.DUMMYFUNCTION("""COMPUTED_VALUE"""),400.65)</f>
        <v>400.65</v>
      </c>
      <c r="D2873" s="2">
        <f>IFERROR(__xludf.DUMMYFUNCTION("""COMPUTED_VALUE"""),377.48)</f>
        <v>377.48</v>
      </c>
      <c r="E2873" s="2">
        <f>IFERROR(__xludf.DUMMYFUNCTION("""COMPUTED_VALUE"""),385.62)</f>
        <v>385.62</v>
      </c>
      <c r="F2873" s="2">
        <f>IFERROR(__xludf.DUMMYFUNCTION("""COMPUTED_VALUE"""),3.3072509E7)</f>
        <v>33072509</v>
      </c>
    </row>
    <row r="2874">
      <c r="A2874" s="3">
        <f>IFERROR(__xludf.DUMMYFUNCTION("""COMPUTED_VALUE"""),44523.66666666667)</f>
        <v>44523.66667</v>
      </c>
      <c r="B2874" s="2">
        <f>IFERROR(__xludf.DUMMYFUNCTION("""COMPUTED_VALUE"""),389.17)</f>
        <v>389.17</v>
      </c>
      <c r="C2874" s="2">
        <f>IFERROR(__xludf.DUMMYFUNCTION("""COMPUTED_VALUE"""),393.5)</f>
        <v>393.5</v>
      </c>
      <c r="D2874" s="2">
        <f>IFERROR(__xludf.DUMMYFUNCTION("""COMPUTED_VALUE"""),354.23)</f>
        <v>354.23</v>
      </c>
      <c r="E2874" s="2">
        <f>IFERROR(__xludf.DUMMYFUNCTION("""COMPUTED_VALUE"""),369.68)</f>
        <v>369.68</v>
      </c>
      <c r="F2874" s="2">
        <f>IFERROR(__xludf.DUMMYFUNCTION("""COMPUTED_VALUE"""),3.61717E7)</f>
        <v>36171700</v>
      </c>
    </row>
    <row r="2875">
      <c r="A2875" s="3">
        <f>IFERROR(__xludf.DUMMYFUNCTION("""COMPUTED_VALUE"""),44524.66666666667)</f>
        <v>44524.66667</v>
      </c>
      <c r="B2875" s="2">
        <f>IFERROR(__xludf.DUMMYFUNCTION("""COMPUTED_VALUE"""),360.13)</f>
        <v>360.13</v>
      </c>
      <c r="C2875" s="2">
        <f>IFERROR(__xludf.DUMMYFUNCTION("""COMPUTED_VALUE"""),377.59)</f>
        <v>377.59</v>
      </c>
      <c r="D2875" s="2">
        <f>IFERROR(__xludf.DUMMYFUNCTION("""COMPUTED_VALUE"""),354.0)</f>
        <v>354</v>
      </c>
      <c r="E2875" s="2">
        <f>IFERROR(__xludf.DUMMYFUNCTION("""COMPUTED_VALUE"""),372.0)</f>
        <v>372</v>
      </c>
      <c r="F2875" s="2">
        <f>IFERROR(__xludf.DUMMYFUNCTION("""COMPUTED_VALUE"""),2.2560238E7)</f>
        <v>22560238</v>
      </c>
    </row>
    <row r="2876">
      <c r="A2876" s="3">
        <f>IFERROR(__xludf.DUMMYFUNCTION("""COMPUTED_VALUE"""),44526.54166666667)</f>
        <v>44526.54167</v>
      </c>
      <c r="B2876" s="2">
        <f>IFERROR(__xludf.DUMMYFUNCTION("""COMPUTED_VALUE"""),366.49)</f>
        <v>366.49</v>
      </c>
      <c r="C2876" s="2">
        <f>IFERROR(__xludf.DUMMYFUNCTION("""COMPUTED_VALUE"""),369.59)</f>
        <v>369.59</v>
      </c>
      <c r="D2876" s="2">
        <f>IFERROR(__xludf.DUMMYFUNCTION("""COMPUTED_VALUE"""),360.33)</f>
        <v>360.33</v>
      </c>
      <c r="E2876" s="2">
        <f>IFERROR(__xludf.DUMMYFUNCTION("""COMPUTED_VALUE"""),360.64)</f>
        <v>360.64</v>
      </c>
      <c r="F2876" s="2">
        <f>IFERROR(__xludf.DUMMYFUNCTION("""COMPUTED_VALUE"""),1.168089E7)</f>
        <v>11680890</v>
      </c>
    </row>
    <row r="2877">
      <c r="A2877" s="3">
        <f>IFERROR(__xludf.DUMMYFUNCTION("""COMPUTED_VALUE"""),44529.66666666667)</f>
        <v>44529.66667</v>
      </c>
      <c r="B2877" s="2">
        <f>IFERROR(__xludf.DUMMYFUNCTION("""COMPUTED_VALUE"""),367.0)</f>
        <v>367</v>
      </c>
      <c r="C2877" s="2">
        <f>IFERROR(__xludf.DUMMYFUNCTION("""COMPUTED_VALUE"""),380.89)</f>
        <v>380.89</v>
      </c>
      <c r="D2877" s="2">
        <f>IFERROR(__xludf.DUMMYFUNCTION("""COMPUTED_VALUE"""),366.73)</f>
        <v>366.73</v>
      </c>
      <c r="E2877" s="2">
        <f>IFERROR(__xludf.DUMMYFUNCTION("""COMPUTED_VALUE"""),379.0)</f>
        <v>379</v>
      </c>
      <c r="F2877" s="2">
        <f>IFERROR(__xludf.DUMMYFUNCTION("""COMPUTED_VALUE"""),1.9464467E7)</f>
        <v>19464467</v>
      </c>
    </row>
    <row r="2878">
      <c r="A2878" s="3">
        <f>IFERROR(__xludf.DUMMYFUNCTION("""COMPUTED_VALUE"""),44530.66666666667)</f>
        <v>44530.66667</v>
      </c>
      <c r="B2878" s="2">
        <f>IFERROR(__xludf.DUMMYFUNCTION("""COMPUTED_VALUE"""),381.46)</f>
        <v>381.46</v>
      </c>
      <c r="C2878" s="2">
        <f>IFERROR(__xludf.DUMMYFUNCTION("""COMPUTED_VALUE"""),389.33)</f>
        <v>389.33</v>
      </c>
      <c r="D2878" s="2">
        <f>IFERROR(__xludf.DUMMYFUNCTION("""COMPUTED_VALUE"""),372.67)</f>
        <v>372.67</v>
      </c>
      <c r="E2878" s="2">
        <f>IFERROR(__xludf.DUMMYFUNCTION("""COMPUTED_VALUE"""),381.59)</f>
        <v>381.59</v>
      </c>
      <c r="F2878" s="2">
        <f>IFERROR(__xludf.DUMMYFUNCTION("""COMPUTED_VALUE"""),2.7092038E7)</f>
        <v>27092038</v>
      </c>
    </row>
    <row r="2879">
      <c r="A2879" s="3">
        <f>IFERROR(__xludf.DUMMYFUNCTION("""COMPUTED_VALUE"""),44531.66666666667)</f>
        <v>44531.66667</v>
      </c>
      <c r="B2879" s="2">
        <f>IFERROR(__xludf.DUMMYFUNCTION("""COMPUTED_VALUE"""),386.9)</f>
        <v>386.9</v>
      </c>
      <c r="C2879" s="2">
        <f>IFERROR(__xludf.DUMMYFUNCTION("""COMPUTED_VALUE"""),390.95)</f>
        <v>390.95</v>
      </c>
      <c r="D2879" s="2">
        <f>IFERROR(__xludf.DUMMYFUNCTION("""COMPUTED_VALUE"""),363.59)</f>
        <v>363.59</v>
      </c>
      <c r="E2879" s="2">
        <f>IFERROR(__xludf.DUMMYFUNCTION("""COMPUTED_VALUE"""),365.0)</f>
        <v>365</v>
      </c>
      <c r="F2879" s="2">
        <f>IFERROR(__xludf.DUMMYFUNCTION("""COMPUTED_VALUE"""),2.2934698E7)</f>
        <v>22934698</v>
      </c>
    </row>
    <row r="2880">
      <c r="A2880" s="3">
        <f>IFERROR(__xludf.DUMMYFUNCTION("""COMPUTED_VALUE"""),44532.66666666667)</f>
        <v>44532.66667</v>
      </c>
      <c r="B2880" s="2">
        <f>IFERROR(__xludf.DUMMYFUNCTION("""COMPUTED_VALUE"""),366.35)</f>
        <v>366.35</v>
      </c>
      <c r="C2880" s="2">
        <f>IFERROR(__xludf.DUMMYFUNCTION("""COMPUTED_VALUE"""),371.0)</f>
        <v>371</v>
      </c>
      <c r="D2880" s="2">
        <f>IFERROR(__xludf.DUMMYFUNCTION("""COMPUTED_VALUE"""),352.22)</f>
        <v>352.22</v>
      </c>
      <c r="E2880" s="2">
        <f>IFERROR(__xludf.DUMMYFUNCTION("""COMPUTED_VALUE"""),361.53)</f>
        <v>361.53</v>
      </c>
      <c r="F2880" s="2">
        <f>IFERROR(__xludf.DUMMYFUNCTION("""COMPUTED_VALUE"""),2.4371623E7)</f>
        <v>24371623</v>
      </c>
    </row>
    <row r="2881">
      <c r="A2881" s="3">
        <f>IFERROR(__xludf.DUMMYFUNCTION("""COMPUTED_VALUE"""),44533.66666666667)</f>
        <v>44533.66667</v>
      </c>
      <c r="B2881" s="2">
        <f>IFERROR(__xludf.DUMMYFUNCTION("""COMPUTED_VALUE"""),361.6)</f>
        <v>361.6</v>
      </c>
      <c r="C2881" s="2">
        <f>IFERROR(__xludf.DUMMYFUNCTION("""COMPUTED_VALUE"""),363.53)</f>
        <v>363.53</v>
      </c>
      <c r="D2881" s="2">
        <f>IFERROR(__xludf.DUMMYFUNCTION("""COMPUTED_VALUE"""),333.4)</f>
        <v>333.4</v>
      </c>
      <c r="E2881" s="2">
        <f>IFERROR(__xludf.DUMMYFUNCTION("""COMPUTED_VALUE"""),338.32)</f>
        <v>338.32</v>
      </c>
      <c r="F2881" s="2">
        <f>IFERROR(__xludf.DUMMYFUNCTION("""COMPUTED_VALUE"""),3.0773995E7)</f>
        <v>30773995</v>
      </c>
    </row>
    <row r="2882">
      <c r="A2882" s="3">
        <f>IFERROR(__xludf.DUMMYFUNCTION("""COMPUTED_VALUE"""),44536.66666666667)</f>
        <v>44536.66667</v>
      </c>
      <c r="B2882" s="2">
        <f>IFERROR(__xludf.DUMMYFUNCTION("""COMPUTED_VALUE"""),333.84)</f>
        <v>333.84</v>
      </c>
      <c r="C2882" s="2">
        <f>IFERROR(__xludf.DUMMYFUNCTION("""COMPUTED_VALUE"""),340.55)</f>
        <v>340.55</v>
      </c>
      <c r="D2882" s="2">
        <f>IFERROR(__xludf.DUMMYFUNCTION("""COMPUTED_VALUE"""),316.83)</f>
        <v>316.83</v>
      </c>
      <c r="E2882" s="2">
        <f>IFERROR(__xludf.DUMMYFUNCTION("""COMPUTED_VALUE"""),336.34)</f>
        <v>336.34</v>
      </c>
      <c r="F2882" s="2">
        <f>IFERROR(__xludf.DUMMYFUNCTION("""COMPUTED_VALUE"""),2.7221037E7)</f>
        <v>27221037</v>
      </c>
    </row>
    <row r="2883">
      <c r="A2883" s="3">
        <f>IFERROR(__xludf.DUMMYFUNCTION("""COMPUTED_VALUE"""),44537.66666666667)</f>
        <v>44537.66667</v>
      </c>
      <c r="B2883" s="2">
        <f>IFERROR(__xludf.DUMMYFUNCTION("""COMPUTED_VALUE"""),348.07)</f>
        <v>348.07</v>
      </c>
      <c r="C2883" s="2">
        <f>IFERROR(__xludf.DUMMYFUNCTION("""COMPUTED_VALUE"""),352.56)</f>
        <v>352.56</v>
      </c>
      <c r="D2883" s="2">
        <f>IFERROR(__xludf.DUMMYFUNCTION("""COMPUTED_VALUE"""),342.27)</f>
        <v>342.27</v>
      </c>
      <c r="E2883" s="2">
        <f>IFERROR(__xludf.DUMMYFUNCTION("""COMPUTED_VALUE"""),350.58)</f>
        <v>350.58</v>
      </c>
      <c r="F2883" s="2">
        <f>IFERROR(__xludf.DUMMYFUNCTION("""COMPUTED_VALUE"""),1.8694857E7)</f>
        <v>18694857</v>
      </c>
    </row>
    <row r="2884">
      <c r="A2884" s="3">
        <f>IFERROR(__xludf.DUMMYFUNCTION("""COMPUTED_VALUE"""),44538.66666666667)</f>
        <v>44538.66667</v>
      </c>
      <c r="B2884" s="2">
        <f>IFERROR(__xludf.DUMMYFUNCTION("""COMPUTED_VALUE"""),350.9)</f>
        <v>350.9</v>
      </c>
      <c r="C2884" s="2">
        <f>IFERROR(__xludf.DUMMYFUNCTION("""COMPUTED_VALUE"""),357.46)</f>
        <v>357.46</v>
      </c>
      <c r="D2884" s="2">
        <f>IFERROR(__xludf.DUMMYFUNCTION("""COMPUTED_VALUE"""),344.33)</f>
        <v>344.33</v>
      </c>
      <c r="E2884" s="2">
        <f>IFERROR(__xludf.DUMMYFUNCTION("""COMPUTED_VALUE"""),356.32)</f>
        <v>356.32</v>
      </c>
      <c r="F2884" s="2">
        <f>IFERROR(__xludf.DUMMYFUNCTION("""COMPUTED_VALUE"""),1.396879E7)</f>
        <v>13968790</v>
      </c>
    </row>
    <row r="2885">
      <c r="A2885" s="3">
        <f>IFERROR(__xludf.DUMMYFUNCTION("""COMPUTED_VALUE"""),44539.66666666667)</f>
        <v>44539.66667</v>
      </c>
      <c r="B2885" s="2">
        <f>IFERROR(__xludf.DUMMYFUNCTION("""COMPUTED_VALUE"""),353.55)</f>
        <v>353.55</v>
      </c>
      <c r="C2885" s="2">
        <f>IFERROR(__xludf.DUMMYFUNCTION("""COMPUTED_VALUE"""),354.16)</f>
        <v>354.16</v>
      </c>
      <c r="D2885" s="2">
        <f>IFERROR(__xludf.DUMMYFUNCTION("""COMPUTED_VALUE"""),334.12)</f>
        <v>334.12</v>
      </c>
      <c r="E2885" s="2">
        <f>IFERROR(__xludf.DUMMYFUNCTION("""COMPUTED_VALUE"""),334.6)</f>
        <v>334.6</v>
      </c>
      <c r="F2885" s="2">
        <f>IFERROR(__xludf.DUMMYFUNCTION("""COMPUTED_VALUE"""),1.9812832E7)</f>
        <v>19812832</v>
      </c>
    </row>
    <row r="2886">
      <c r="A2886" s="3">
        <f>IFERROR(__xludf.DUMMYFUNCTION("""COMPUTED_VALUE"""),44540.66666666667)</f>
        <v>44540.66667</v>
      </c>
      <c r="B2886" s="2">
        <f>IFERROR(__xludf.DUMMYFUNCTION("""COMPUTED_VALUE"""),336.25)</f>
        <v>336.25</v>
      </c>
      <c r="C2886" s="2">
        <f>IFERROR(__xludf.DUMMYFUNCTION("""COMPUTED_VALUE"""),340.33)</f>
        <v>340.33</v>
      </c>
      <c r="D2886" s="2">
        <f>IFERROR(__xludf.DUMMYFUNCTION("""COMPUTED_VALUE"""),327.51)</f>
        <v>327.51</v>
      </c>
      <c r="E2886" s="2">
        <f>IFERROR(__xludf.DUMMYFUNCTION("""COMPUTED_VALUE"""),339.01)</f>
        <v>339.01</v>
      </c>
      <c r="F2886" s="2">
        <f>IFERROR(__xludf.DUMMYFUNCTION("""COMPUTED_VALUE"""),1.9888122E7)</f>
        <v>19888122</v>
      </c>
    </row>
    <row r="2887">
      <c r="A2887" s="3">
        <f>IFERROR(__xludf.DUMMYFUNCTION("""COMPUTED_VALUE"""),44543.66666666667)</f>
        <v>44543.66667</v>
      </c>
      <c r="B2887" s="2">
        <f>IFERROR(__xludf.DUMMYFUNCTION("""COMPUTED_VALUE"""),333.7)</f>
        <v>333.7</v>
      </c>
      <c r="C2887" s="2">
        <f>IFERROR(__xludf.DUMMYFUNCTION("""COMPUTED_VALUE"""),335.0)</f>
        <v>335</v>
      </c>
      <c r="D2887" s="2">
        <f>IFERROR(__xludf.DUMMYFUNCTION("""COMPUTED_VALUE"""),317.14)</f>
        <v>317.14</v>
      </c>
      <c r="E2887" s="2">
        <f>IFERROR(__xludf.DUMMYFUNCTION("""COMPUTED_VALUE"""),322.14)</f>
        <v>322.14</v>
      </c>
      <c r="F2887" s="2">
        <f>IFERROR(__xludf.DUMMYFUNCTION("""COMPUTED_VALUE"""),2.6198502E7)</f>
        <v>26198502</v>
      </c>
    </row>
    <row r="2888">
      <c r="A2888" s="3">
        <f>IFERROR(__xludf.DUMMYFUNCTION("""COMPUTED_VALUE"""),44544.66666666667)</f>
        <v>44544.66667</v>
      </c>
      <c r="B2888" s="2">
        <f>IFERROR(__xludf.DUMMYFUNCTION("""COMPUTED_VALUE"""),315.0)</f>
        <v>315</v>
      </c>
      <c r="C2888" s="2">
        <f>IFERROR(__xludf.DUMMYFUNCTION("""COMPUTED_VALUE"""),322.14)</f>
        <v>322.14</v>
      </c>
      <c r="D2888" s="2">
        <f>IFERROR(__xludf.DUMMYFUNCTION("""COMPUTED_VALUE"""),310.0)</f>
        <v>310</v>
      </c>
      <c r="E2888" s="2">
        <f>IFERROR(__xludf.DUMMYFUNCTION("""COMPUTED_VALUE"""),319.5)</f>
        <v>319.5</v>
      </c>
      <c r="F2888" s="2">
        <f>IFERROR(__xludf.DUMMYFUNCTION("""COMPUTED_VALUE"""),2.360209E7)</f>
        <v>23602090</v>
      </c>
    </row>
    <row r="2889">
      <c r="A2889" s="3">
        <f>IFERROR(__xludf.DUMMYFUNCTION("""COMPUTED_VALUE"""),44545.66666666667)</f>
        <v>44545.66667</v>
      </c>
      <c r="B2889" s="2">
        <f>IFERROR(__xludf.DUMMYFUNCTION("""COMPUTED_VALUE"""),317.74)</f>
        <v>317.74</v>
      </c>
      <c r="C2889" s="2">
        <f>IFERROR(__xludf.DUMMYFUNCTION("""COMPUTED_VALUE"""),326.25)</f>
        <v>326.25</v>
      </c>
      <c r="D2889" s="2">
        <f>IFERROR(__xludf.DUMMYFUNCTION("""COMPUTED_VALUE"""),309.42)</f>
        <v>309.42</v>
      </c>
      <c r="E2889" s="2">
        <f>IFERROR(__xludf.DUMMYFUNCTION("""COMPUTED_VALUE"""),325.33)</f>
        <v>325.33</v>
      </c>
      <c r="F2889" s="2">
        <f>IFERROR(__xludf.DUMMYFUNCTION("""COMPUTED_VALUE"""),2.505641E7)</f>
        <v>25056410</v>
      </c>
    </row>
    <row r="2890">
      <c r="A2890" s="3">
        <f>IFERROR(__xludf.DUMMYFUNCTION("""COMPUTED_VALUE"""),44546.66666666667)</f>
        <v>44546.66667</v>
      </c>
      <c r="B2890" s="2">
        <f>IFERROR(__xludf.DUMMYFUNCTION("""COMPUTED_VALUE"""),331.5)</f>
        <v>331.5</v>
      </c>
      <c r="C2890" s="2">
        <f>IFERROR(__xludf.DUMMYFUNCTION("""COMPUTED_VALUE"""),331.66)</f>
        <v>331.66</v>
      </c>
      <c r="D2890" s="2">
        <f>IFERROR(__xludf.DUMMYFUNCTION("""COMPUTED_VALUE"""),307.28)</f>
        <v>307.28</v>
      </c>
      <c r="E2890" s="2">
        <f>IFERROR(__xludf.DUMMYFUNCTION("""COMPUTED_VALUE"""),308.97)</f>
        <v>308.97</v>
      </c>
      <c r="F2890" s="2">
        <f>IFERROR(__xludf.DUMMYFUNCTION("""COMPUTED_VALUE"""),2.7590483E7)</f>
        <v>27590483</v>
      </c>
    </row>
    <row r="2891">
      <c r="A2891" s="3">
        <f>IFERROR(__xludf.DUMMYFUNCTION("""COMPUTED_VALUE"""),44547.66666666667)</f>
        <v>44547.66667</v>
      </c>
      <c r="B2891" s="2">
        <f>IFERROR(__xludf.DUMMYFUNCTION("""COMPUTED_VALUE"""),304.92)</f>
        <v>304.92</v>
      </c>
      <c r="C2891" s="2">
        <f>IFERROR(__xludf.DUMMYFUNCTION("""COMPUTED_VALUE"""),320.22)</f>
        <v>320.22</v>
      </c>
      <c r="D2891" s="2">
        <f>IFERROR(__xludf.DUMMYFUNCTION("""COMPUTED_VALUE"""),303.01)</f>
        <v>303.01</v>
      </c>
      <c r="E2891" s="2">
        <f>IFERROR(__xludf.DUMMYFUNCTION("""COMPUTED_VALUE"""),310.86)</f>
        <v>310.86</v>
      </c>
      <c r="F2891" s="2">
        <f>IFERROR(__xludf.DUMMYFUNCTION("""COMPUTED_VALUE"""),3.3626754E7)</f>
        <v>33626754</v>
      </c>
    </row>
    <row r="2892">
      <c r="A2892" s="3">
        <f>IFERROR(__xludf.DUMMYFUNCTION("""COMPUTED_VALUE"""),44550.66666666667)</f>
        <v>44550.66667</v>
      </c>
      <c r="B2892" s="2">
        <f>IFERROR(__xludf.DUMMYFUNCTION("""COMPUTED_VALUE"""),303.57)</f>
        <v>303.57</v>
      </c>
      <c r="C2892" s="2">
        <f>IFERROR(__xludf.DUMMYFUNCTION("""COMPUTED_VALUE"""),307.23)</f>
        <v>307.23</v>
      </c>
      <c r="D2892" s="2">
        <f>IFERROR(__xludf.DUMMYFUNCTION("""COMPUTED_VALUE"""),297.8)</f>
        <v>297.8</v>
      </c>
      <c r="E2892" s="2">
        <f>IFERROR(__xludf.DUMMYFUNCTION("""COMPUTED_VALUE"""),299.98)</f>
        <v>299.98</v>
      </c>
      <c r="F2892" s="2">
        <f>IFERROR(__xludf.DUMMYFUNCTION("""COMPUTED_VALUE"""),1.8826671E7)</f>
        <v>18826671</v>
      </c>
    </row>
    <row r="2893">
      <c r="A2893" s="3">
        <f>IFERROR(__xludf.DUMMYFUNCTION("""COMPUTED_VALUE"""),44551.66666666667)</f>
        <v>44551.66667</v>
      </c>
      <c r="B2893" s="2">
        <f>IFERROR(__xludf.DUMMYFUNCTION("""COMPUTED_VALUE"""),305.62)</f>
        <v>305.62</v>
      </c>
      <c r="C2893" s="2">
        <f>IFERROR(__xludf.DUMMYFUNCTION("""COMPUTED_VALUE"""),313.17)</f>
        <v>313.17</v>
      </c>
      <c r="D2893" s="2">
        <f>IFERROR(__xludf.DUMMYFUNCTION("""COMPUTED_VALUE"""),295.37)</f>
        <v>295.37</v>
      </c>
      <c r="E2893" s="2">
        <f>IFERROR(__xludf.DUMMYFUNCTION("""COMPUTED_VALUE"""),312.84)</f>
        <v>312.84</v>
      </c>
      <c r="F2893" s="2">
        <f>IFERROR(__xludf.DUMMYFUNCTION("""COMPUTED_VALUE"""),2.3839305E7)</f>
        <v>23839305</v>
      </c>
    </row>
    <row r="2894">
      <c r="A2894" s="3">
        <f>IFERROR(__xludf.DUMMYFUNCTION("""COMPUTED_VALUE"""),44552.66666666667)</f>
        <v>44552.66667</v>
      </c>
      <c r="B2894" s="2">
        <f>IFERROR(__xludf.DUMMYFUNCTION("""COMPUTED_VALUE"""),321.89)</f>
        <v>321.89</v>
      </c>
      <c r="C2894" s="2">
        <f>IFERROR(__xludf.DUMMYFUNCTION("""COMPUTED_VALUE"""),338.55)</f>
        <v>338.55</v>
      </c>
      <c r="D2894" s="2">
        <f>IFERROR(__xludf.DUMMYFUNCTION("""COMPUTED_VALUE"""),319.02)</f>
        <v>319.02</v>
      </c>
      <c r="E2894" s="2">
        <f>IFERROR(__xludf.DUMMYFUNCTION("""COMPUTED_VALUE"""),336.29)</f>
        <v>336.29</v>
      </c>
      <c r="F2894" s="2">
        <f>IFERROR(__xludf.DUMMYFUNCTION("""COMPUTED_VALUE"""),3.1211362E7)</f>
        <v>31211362</v>
      </c>
    </row>
    <row r="2895">
      <c r="A2895" s="3">
        <f>IFERROR(__xludf.DUMMYFUNCTION("""COMPUTED_VALUE"""),44553.66666666667)</f>
        <v>44553.66667</v>
      </c>
      <c r="B2895" s="2">
        <f>IFERROR(__xludf.DUMMYFUNCTION("""COMPUTED_VALUE"""),335.6)</f>
        <v>335.6</v>
      </c>
      <c r="C2895" s="2">
        <f>IFERROR(__xludf.DUMMYFUNCTION("""COMPUTED_VALUE"""),357.66)</f>
        <v>357.66</v>
      </c>
      <c r="D2895" s="2">
        <f>IFERROR(__xludf.DUMMYFUNCTION("""COMPUTED_VALUE"""),332.52)</f>
        <v>332.52</v>
      </c>
      <c r="E2895" s="2">
        <f>IFERROR(__xludf.DUMMYFUNCTION("""COMPUTED_VALUE"""),355.67)</f>
        <v>355.67</v>
      </c>
      <c r="F2895" s="2">
        <f>IFERROR(__xludf.DUMMYFUNCTION("""COMPUTED_VALUE"""),3.0904429E7)</f>
        <v>30904429</v>
      </c>
    </row>
    <row r="2896">
      <c r="A2896" s="3">
        <f>IFERROR(__xludf.DUMMYFUNCTION("""COMPUTED_VALUE"""),44557.66666666667)</f>
        <v>44557.66667</v>
      </c>
      <c r="B2896" s="2">
        <f>IFERROR(__xludf.DUMMYFUNCTION("""COMPUTED_VALUE"""),357.89)</f>
        <v>357.89</v>
      </c>
      <c r="C2896" s="2">
        <f>IFERROR(__xludf.DUMMYFUNCTION("""COMPUTED_VALUE"""),372.33)</f>
        <v>372.33</v>
      </c>
      <c r="D2896" s="2">
        <f>IFERROR(__xludf.DUMMYFUNCTION("""COMPUTED_VALUE"""),356.91)</f>
        <v>356.91</v>
      </c>
      <c r="E2896" s="2">
        <f>IFERROR(__xludf.DUMMYFUNCTION("""COMPUTED_VALUE"""),364.65)</f>
        <v>364.65</v>
      </c>
      <c r="F2896" s="2">
        <f>IFERROR(__xludf.DUMMYFUNCTION("""COMPUTED_VALUE"""),2.3715273E7)</f>
        <v>23715273</v>
      </c>
    </row>
    <row r="2897">
      <c r="A2897" s="3">
        <f>IFERROR(__xludf.DUMMYFUNCTION("""COMPUTED_VALUE"""),44558.66666666667)</f>
        <v>44558.66667</v>
      </c>
      <c r="B2897" s="2">
        <f>IFERROR(__xludf.DUMMYFUNCTION("""COMPUTED_VALUE"""),369.83)</f>
        <v>369.83</v>
      </c>
      <c r="C2897" s="2">
        <f>IFERROR(__xludf.DUMMYFUNCTION("""COMPUTED_VALUE"""),373.0)</f>
        <v>373</v>
      </c>
      <c r="D2897" s="2">
        <f>IFERROR(__xludf.DUMMYFUNCTION("""COMPUTED_VALUE"""),359.47)</f>
        <v>359.47</v>
      </c>
      <c r="E2897" s="2">
        <f>IFERROR(__xludf.DUMMYFUNCTION("""COMPUTED_VALUE"""),362.82)</f>
        <v>362.82</v>
      </c>
      <c r="F2897" s="2">
        <f>IFERROR(__xludf.DUMMYFUNCTION("""COMPUTED_VALUE"""),2.0107969E7)</f>
        <v>20107969</v>
      </c>
    </row>
    <row r="2898">
      <c r="A2898" s="3">
        <f>IFERROR(__xludf.DUMMYFUNCTION("""COMPUTED_VALUE"""),44559.66666666667)</f>
        <v>44559.66667</v>
      </c>
      <c r="B2898" s="2">
        <f>IFERROR(__xludf.DUMMYFUNCTION("""COMPUTED_VALUE"""),366.21)</f>
        <v>366.21</v>
      </c>
      <c r="C2898" s="2">
        <f>IFERROR(__xludf.DUMMYFUNCTION("""COMPUTED_VALUE"""),368.0)</f>
        <v>368</v>
      </c>
      <c r="D2898" s="2">
        <f>IFERROR(__xludf.DUMMYFUNCTION("""COMPUTED_VALUE"""),354.71)</f>
        <v>354.71</v>
      </c>
      <c r="E2898" s="2">
        <f>IFERROR(__xludf.DUMMYFUNCTION("""COMPUTED_VALUE"""),362.06)</f>
        <v>362.06</v>
      </c>
      <c r="F2898" s="2">
        <f>IFERROR(__xludf.DUMMYFUNCTION("""COMPUTED_VALUE"""),1.8718015E7)</f>
        <v>18718015</v>
      </c>
    </row>
    <row r="2899">
      <c r="A2899" s="3">
        <f>IFERROR(__xludf.DUMMYFUNCTION("""COMPUTED_VALUE"""),44560.66666666667)</f>
        <v>44560.66667</v>
      </c>
      <c r="B2899" s="2">
        <f>IFERROR(__xludf.DUMMYFUNCTION("""COMPUTED_VALUE"""),353.78)</f>
        <v>353.78</v>
      </c>
      <c r="C2899" s="2">
        <f>IFERROR(__xludf.DUMMYFUNCTION("""COMPUTED_VALUE"""),365.18)</f>
        <v>365.18</v>
      </c>
      <c r="D2899" s="2">
        <f>IFERROR(__xludf.DUMMYFUNCTION("""COMPUTED_VALUE"""),351.05)</f>
        <v>351.05</v>
      </c>
      <c r="E2899" s="2">
        <f>IFERROR(__xludf.DUMMYFUNCTION("""COMPUTED_VALUE"""),356.78)</f>
        <v>356.78</v>
      </c>
      <c r="F2899" s="2">
        <f>IFERROR(__xludf.DUMMYFUNCTION("""COMPUTED_VALUE"""),1.5680313E7)</f>
        <v>15680313</v>
      </c>
    </row>
    <row r="2900">
      <c r="A2900" s="3">
        <f>IFERROR(__xludf.DUMMYFUNCTION("""COMPUTED_VALUE"""),44561.66666666667)</f>
        <v>44561.66667</v>
      </c>
      <c r="B2900" s="2">
        <f>IFERROR(__xludf.DUMMYFUNCTION("""COMPUTED_VALUE"""),357.81)</f>
        <v>357.81</v>
      </c>
      <c r="C2900" s="2">
        <f>IFERROR(__xludf.DUMMYFUNCTION("""COMPUTED_VALUE"""),360.67)</f>
        <v>360.67</v>
      </c>
      <c r="D2900" s="2">
        <f>IFERROR(__xludf.DUMMYFUNCTION("""COMPUTED_VALUE"""),351.53)</f>
        <v>351.53</v>
      </c>
      <c r="E2900" s="2">
        <f>IFERROR(__xludf.DUMMYFUNCTION("""COMPUTED_VALUE"""),352.26)</f>
        <v>352.26</v>
      </c>
      <c r="F2900" s="2">
        <f>IFERROR(__xludf.DUMMYFUNCTION("""COMPUTED_VALUE"""),1.3577875E7)</f>
        <v>13577875</v>
      </c>
    </row>
    <row r="2901">
      <c r="A2901" s="3">
        <f>IFERROR(__xludf.DUMMYFUNCTION("""COMPUTED_VALUE"""),44564.66666666667)</f>
        <v>44564.66667</v>
      </c>
      <c r="B2901" s="2">
        <f>IFERROR(__xludf.DUMMYFUNCTION("""COMPUTED_VALUE"""),382.58)</f>
        <v>382.58</v>
      </c>
      <c r="C2901" s="2">
        <f>IFERROR(__xludf.DUMMYFUNCTION("""COMPUTED_VALUE"""),400.36)</f>
        <v>400.36</v>
      </c>
      <c r="D2901" s="2">
        <f>IFERROR(__xludf.DUMMYFUNCTION("""COMPUTED_VALUE"""),378.68)</f>
        <v>378.68</v>
      </c>
      <c r="E2901" s="2">
        <f>IFERROR(__xludf.DUMMYFUNCTION("""COMPUTED_VALUE"""),399.93)</f>
        <v>399.93</v>
      </c>
      <c r="F2901" s="2">
        <f>IFERROR(__xludf.DUMMYFUNCTION("""COMPUTED_VALUE"""),3.4895349E7)</f>
        <v>34895349</v>
      </c>
    </row>
    <row r="2902">
      <c r="A2902" s="3">
        <f>IFERROR(__xludf.DUMMYFUNCTION("""COMPUTED_VALUE"""),44565.66666666667)</f>
        <v>44565.66667</v>
      </c>
      <c r="B2902" s="2">
        <f>IFERROR(__xludf.DUMMYFUNCTION("""COMPUTED_VALUE"""),396.52)</f>
        <v>396.52</v>
      </c>
      <c r="C2902" s="2">
        <f>IFERROR(__xludf.DUMMYFUNCTION("""COMPUTED_VALUE"""),402.67)</f>
        <v>402.67</v>
      </c>
      <c r="D2902" s="2">
        <f>IFERROR(__xludf.DUMMYFUNCTION("""COMPUTED_VALUE"""),374.35)</f>
        <v>374.35</v>
      </c>
      <c r="E2902" s="2">
        <f>IFERROR(__xludf.DUMMYFUNCTION("""COMPUTED_VALUE"""),383.2)</f>
        <v>383.2</v>
      </c>
      <c r="F2902" s="2">
        <f>IFERROR(__xludf.DUMMYFUNCTION("""COMPUTED_VALUE"""),3.3416086E7)</f>
        <v>33416086</v>
      </c>
    </row>
    <row r="2903">
      <c r="A2903" s="3">
        <f>IFERROR(__xludf.DUMMYFUNCTION("""COMPUTED_VALUE"""),44566.66666666667)</f>
        <v>44566.66667</v>
      </c>
      <c r="B2903" s="2">
        <f>IFERROR(__xludf.DUMMYFUNCTION("""COMPUTED_VALUE"""),382.22)</f>
        <v>382.22</v>
      </c>
      <c r="C2903" s="2">
        <f>IFERROR(__xludf.DUMMYFUNCTION("""COMPUTED_VALUE"""),390.11)</f>
        <v>390.11</v>
      </c>
      <c r="D2903" s="2">
        <f>IFERROR(__xludf.DUMMYFUNCTION("""COMPUTED_VALUE"""),360.34)</f>
        <v>360.34</v>
      </c>
      <c r="E2903" s="2">
        <f>IFERROR(__xludf.DUMMYFUNCTION("""COMPUTED_VALUE"""),362.71)</f>
        <v>362.71</v>
      </c>
      <c r="F2903" s="2">
        <f>IFERROR(__xludf.DUMMYFUNCTION("""COMPUTED_VALUE"""),2.6706599E7)</f>
        <v>26706599</v>
      </c>
    </row>
    <row r="2904">
      <c r="A2904" s="3">
        <f>IFERROR(__xludf.DUMMYFUNCTION("""COMPUTED_VALUE"""),44567.66666666667)</f>
        <v>44567.66667</v>
      </c>
      <c r="B2904" s="2">
        <f>IFERROR(__xludf.DUMMYFUNCTION("""COMPUTED_VALUE"""),359.0)</f>
        <v>359</v>
      </c>
      <c r="C2904" s="2">
        <f>IFERROR(__xludf.DUMMYFUNCTION("""COMPUTED_VALUE"""),362.67)</f>
        <v>362.67</v>
      </c>
      <c r="D2904" s="2">
        <f>IFERROR(__xludf.DUMMYFUNCTION("""COMPUTED_VALUE"""),340.17)</f>
        <v>340.17</v>
      </c>
      <c r="E2904" s="2">
        <f>IFERROR(__xludf.DUMMYFUNCTION("""COMPUTED_VALUE"""),354.9)</f>
        <v>354.9</v>
      </c>
      <c r="F2904" s="2">
        <f>IFERROR(__xludf.DUMMYFUNCTION("""COMPUTED_VALUE"""),3.0112158E7)</f>
        <v>30112158</v>
      </c>
    </row>
    <row r="2905">
      <c r="A2905" s="3">
        <f>IFERROR(__xludf.DUMMYFUNCTION("""COMPUTED_VALUE"""),44568.66666666667)</f>
        <v>44568.66667</v>
      </c>
      <c r="B2905" s="2">
        <f>IFERROR(__xludf.DUMMYFUNCTION("""COMPUTED_VALUE"""),360.12)</f>
        <v>360.12</v>
      </c>
      <c r="C2905" s="2">
        <f>IFERROR(__xludf.DUMMYFUNCTION("""COMPUTED_VALUE"""),360.31)</f>
        <v>360.31</v>
      </c>
      <c r="D2905" s="2">
        <f>IFERROR(__xludf.DUMMYFUNCTION("""COMPUTED_VALUE"""),336.67)</f>
        <v>336.67</v>
      </c>
      <c r="E2905" s="2">
        <f>IFERROR(__xludf.DUMMYFUNCTION("""COMPUTED_VALUE"""),342.32)</f>
        <v>342.32</v>
      </c>
      <c r="F2905" s="2">
        <f>IFERROR(__xludf.DUMMYFUNCTION("""COMPUTED_VALUE"""),2.8054916E7)</f>
        <v>28054916</v>
      </c>
    </row>
    <row r="2906">
      <c r="A2906" s="3">
        <f>IFERROR(__xludf.DUMMYFUNCTION("""COMPUTED_VALUE"""),44571.66666666667)</f>
        <v>44571.66667</v>
      </c>
      <c r="B2906" s="2">
        <f>IFERROR(__xludf.DUMMYFUNCTION("""COMPUTED_VALUE"""),333.33)</f>
        <v>333.33</v>
      </c>
      <c r="C2906" s="2">
        <f>IFERROR(__xludf.DUMMYFUNCTION("""COMPUTED_VALUE"""),353.03)</f>
        <v>353.03</v>
      </c>
      <c r="D2906" s="2">
        <f>IFERROR(__xludf.DUMMYFUNCTION("""COMPUTED_VALUE"""),326.67)</f>
        <v>326.67</v>
      </c>
      <c r="E2906" s="2">
        <f>IFERROR(__xludf.DUMMYFUNCTION("""COMPUTED_VALUE"""),352.71)</f>
        <v>352.71</v>
      </c>
      <c r="F2906" s="2">
        <f>IFERROR(__xludf.DUMMYFUNCTION("""COMPUTED_VALUE"""),3.0604959E7)</f>
        <v>30604959</v>
      </c>
    </row>
    <row r="2907">
      <c r="A2907" s="3">
        <f>IFERROR(__xludf.DUMMYFUNCTION("""COMPUTED_VALUE"""),44572.66666666667)</f>
        <v>44572.66667</v>
      </c>
      <c r="B2907" s="2">
        <f>IFERROR(__xludf.DUMMYFUNCTION("""COMPUTED_VALUE"""),351.22)</f>
        <v>351.22</v>
      </c>
      <c r="C2907" s="2">
        <f>IFERROR(__xludf.DUMMYFUNCTION("""COMPUTED_VALUE"""),358.62)</f>
        <v>358.62</v>
      </c>
      <c r="D2907" s="2">
        <f>IFERROR(__xludf.DUMMYFUNCTION("""COMPUTED_VALUE"""),346.27)</f>
        <v>346.27</v>
      </c>
      <c r="E2907" s="2">
        <f>IFERROR(__xludf.DUMMYFUNCTION("""COMPUTED_VALUE"""),354.8)</f>
        <v>354.8</v>
      </c>
      <c r="F2907" s="2">
        <f>IFERROR(__xludf.DUMMYFUNCTION("""COMPUTED_VALUE"""),2.202107E7)</f>
        <v>22021070</v>
      </c>
    </row>
    <row r="2908">
      <c r="A2908" s="3">
        <f>IFERROR(__xludf.DUMMYFUNCTION("""COMPUTED_VALUE"""),44573.66666666667)</f>
        <v>44573.66667</v>
      </c>
      <c r="B2908" s="2">
        <f>IFERROR(__xludf.DUMMYFUNCTION("""COMPUTED_VALUE"""),359.62)</f>
        <v>359.62</v>
      </c>
      <c r="C2908" s="2">
        <f>IFERROR(__xludf.DUMMYFUNCTION("""COMPUTED_VALUE"""),371.61)</f>
        <v>371.61</v>
      </c>
      <c r="D2908" s="2">
        <f>IFERROR(__xludf.DUMMYFUNCTION("""COMPUTED_VALUE"""),357.53)</f>
        <v>357.53</v>
      </c>
      <c r="E2908" s="2">
        <f>IFERROR(__xludf.DUMMYFUNCTION("""COMPUTED_VALUE"""),368.74)</f>
        <v>368.74</v>
      </c>
      <c r="F2908" s="2">
        <f>IFERROR(__xludf.DUMMYFUNCTION("""COMPUTED_VALUE"""),2.7913005E7)</f>
        <v>27913005</v>
      </c>
    </row>
    <row r="2909">
      <c r="A2909" s="3">
        <f>IFERROR(__xludf.DUMMYFUNCTION("""COMPUTED_VALUE"""),44574.66666666667)</f>
        <v>44574.66667</v>
      </c>
      <c r="B2909" s="2">
        <f>IFERROR(__xludf.DUMMYFUNCTION("""COMPUTED_VALUE"""),369.69)</f>
        <v>369.69</v>
      </c>
      <c r="C2909" s="2">
        <f>IFERROR(__xludf.DUMMYFUNCTION("""COMPUTED_VALUE"""),371.87)</f>
        <v>371.87</v>
      </c>
      <c r="D2909" s="2">
        <f>IFERROR(__xludf.DUMMYFUNCTION("""COMPUTED_VALUE"""),342.18)</f>
        <v>342.18</v>
      </c>
      <c r="E2909" s="2">
        <f>IFERROR(__xludf.DUMMYFUNCTION("""COMPUTED_VALUE"""),343.85)</f>
        <v>343.85</v>
      </c>
      <c r="F2909" s="2">
        <f>IFERROR(__xludf.DUMMYFUNCTION("""COMPUTED_VALUE"""),3.2403264E7)</f>
        <v>32403264</v>
      </c>
    </row>
    <row r="2910">
      <c r="A2910" s="3">
        <f>IFERROR(__xludf.DUMMYFUNCTION("""COMPUTED_VALUE"""),44575.66666666667)</f>
        <v>44575.66667</v>
      </c>
      <c r="B2910" s="2">
        <f>IFERROR(__xludf.DUMMYFUNCTION("""COMPUTED_VALUE"""),339.96)</f>
        <v>339.96</v>
      </c>
      <c r="C2910" s="2">
        <f>IFERROR(__xludf.DUMMYFUNCTION("""COMPUTED_VALUE"""),350.67)</f>
        <v>350.67</v>
      </c>
      <c r="D2910" s="2">
        <f>IFERROR(__xludf.DUMMYFUNCTION("""COMPUTED_VALUE"""),337.79)</f>
        <v>337.79</v>
      </c>
      <c r="E2910" s="2">
        <f>IFERROR(__xludf.DUMMYFUNCTION("""COMPUTED_VALUE"""),349.87)</f>
        <v>349.87</v>
      </c>
      <c r="F2910" s="2">
        <f>IFERROR(__xludf.DUMMYFUNCTION("""COMPUTED_VALUE"""),2.4308137E7)</f>
        <v>24308137</v>
      </c>
    </row>
    <row r="2911">
      <c r="A2911" s="3">
        <f>IFERROR(__xludf.DUMMYFUNCTION("""COMPUTED_VALUE"""),44579.66666666667)</f>
        <v>44579.66667</v>
      </c>
      <c r="B2911" s="2">
        <f>IFERROR(__xludf.DUMMYFUNCTION("""COMPUTED_VALUE"""),342.2)</f>
        <v>342.2</v>
      </c>
      <c r="C2911" s="2">
        <f>IFERROR(__xludf.DUMMYFUNCTION("""COMPUTED_VALUE"""),356.93)</f>
        <v>356.93</v>
      </c>
      <c r="D2911" s="2">
        <f>IFERROR(__xludf.DUMMYFUNCTION("""COMPUTED_VALUE"""),338.69)</f>
        <v>338.69</v>
      </c>
      <c r="E2911" s="2">
        <f>IFERROR(__xludf.DUMMYFUNCTION("""COMPUTED_VALUE"""),343.5)</f>
        <v>343.5</v>
      </c>
      <c r="F2911" s="2">
        <f>IFERROR(__xludf.DUMMYFUNCTION("""COMPUTED_VALUE"""),2.2329803E7)</f>
        <v>22329803</v>
      </c>
    </row>
    <row r="2912">
      <c r="A2912" s="3">
        <f>IFERROR(__xludf.DUMMYFUNCTION("""COMPUTED_VALUE"""),44580.66666666667)</f>
        <v>44580.66667</v>
      </c>
      <c r="B2912" s="2">
        <f>IFERROR(__xludf.DUMMYFUNCTION("""COMPUTED_VALUE"""),347.24)</f>
        <v>347.24</v>
      </c>
      <c r="C2912" s="2">
        <f>IFERROR(__xludf.DUMMYFUNCTION("""COMPUTED_VALUE"""),351.56)</f>
        <v>351.56</v>
      </c>
      <c r="D2912" s="2">
        <f>IFERROR(__xludf.DUMMYFUNCTION("""COMPUTED_VALUE"""),331.67)</f>
        <v>331.67</v>
      </c>
      <c r="E2912" s="2">
        <f>IFERROR(__xludf.DUMMYFUNCTION("""COMPUTED_VALUE"""),331.88)</f>
        <v>331.88</v>
      </c>
      <c r="F2912" s="2">
        <f>IFERROR(__xludf.DUMMYFUNCTION("""COMPUTED_VALUE"""),2.5147496E7)</f>
        <v>25147496</v>
      </c>
    </row>
    <row r="2913">
      <c r="A2913" s="3">
        <f>IFERROR(__xludf.DUMMYFUNCTION("""COMPUTED_VALUE"""),44581.66666666667)</f>
        <v>44581.66667</v>
      </c>
      <c r="B2913" s="2">
        <f>IFERROR(__xludf.DUMMYFUNCTION("""COMPUTED_VALUE"""),336.58)</f>
        <v>336.58</v>
      </c>
      <c r="C2913" s="2">
        <f>IFERROR(__xludf.DUMMYFUNCTION("""COMPUTED_VALUE"""),347.22)</f>
        <v>347.22</v>
      </c>
      <c r="D2913" s="2">
        <f>IFERROR(__xludf.DUMMYFUNCTION("""COMPUTED_VALUE"""),331.33)</f>
        <v>331.33</v>
      </c>
      <c r="E2913" s="2">
        <f>IFERROR(__xludf.DUMMYFUNCTION("""COMPUTED_VALUE"""),332.09)</f>
        <v>332.09</v>
      </c>
      <c r="F2913" s="2">
        <f>IFERROR(__xludf.DUMMYFUNCTION("""COMPUTED_VALUE"""),2.3496248E7)</f>
        <v>23496248</v>
      </c>
    </row>
    <row r="2914">
      <c r="A2914" s="3">
        <f>IFERROR(__xludf.DUMMYFUNCTION("""COMPUTED_VALUE"""),44582.66666666667)</f>
        <v>44582.66667</v>
      </c>
      <c r="B2914" s="2">
        <f>IFERROR(__xludf.DUMMYFUNCTION("""COMPUTED_VALUE"""),332.11)</f>
        <v>332.11</v>
      </c>
      <c r="C2914" s="2">
        <f>IFERROR(__xludf.DUMMYFUNCTION("""COMPUTED_VALUE"""),334.85)</f>
        <v>334.85</v>
      </c>
      <c r="D2914" s="2">
        <f>IFERROR(__xludf.DUMMYFUNCTION("""COMPUTED_VALUE"""),313.5)</f>
        <v>313.5</v>
      </c>
      <c r="E2914" s="2">
        <f>IFERROR(__xludf.DUMMYFUNCTION("""COMPUTED_VALUE"""),314.63)</f>
        <v>314.63</v>
      </c>
      <c r="F2914" s="2">
        <f>IFERROR(__xludf.DUMMYFUNCTION("""COMPUTED_VALUE"""),3.4472009E7)</f>
        <v>34472009</v>
      </c>
    </row>
    <row r="2915">
      <c r="A2915" s="3">
        <f>IFERROR(__xludf.DUMMYFUNCTION("""COMPUTED_VALUE"""),44585.66666666667)</f>
        <v>44585.66667</v>
      </c>
      <c r="B2915" s="2">
        <f>IFERROR(__xludf.DUMMYFUNCTION("""COMPUTED_VALUE"""),301.59)</f>
        <v>301.59</v>
      </c>
      <c r="C2915" s="2">
        <f>IFERROR(__xludf.DUMMYFUNCTION("""COMPUTED_VALUE"""),311.17)</f>
        <v>311.17</v>
      </c>
      <c r="D2915" s="2">
        <f>IFERROR(__xludf.DUMMYFUNCTION("""COMPUTED_VALUE"""),283.82)</f>
        <v>283.82</v>
      </c>
      <c r="E2915" s="2">
        <f>IFERROR(__xludf.DUMMYFUNCTION("""COMPUTED_VALUE"""),310.0)</f>
        <v>310</v>
      </c>
      <c r="F2915" s="2">
        <f>IFERROR(__xludf.DUMMYFUNCTION("""COMPUTED_VALUE"""),5.0791714E7)</f>
        <v>50791714</v>
      </c>
    </row>
    <row r="2916">
      <c r="A2916" s="3">
        <f>IFERROR(__xludf.DUMMYFUNCTION("""COMPUTED_VALUE"""),44586.66666666667)</f>
        <v>44586.66667</v>
      </c>
      <c r="B2916" s="2">
        <f>IFERROR(__xludf.DUMMYFUNCTION("""COMPUTED_VALUE"""),304.73)</f>
        <v>304.73</v>
      </c>
      <c r="C2916" s="2">
        <f>IFERROR(__xludf.DUMMYFUNCTION("""COMPUTED_VALUE"""),317.09)</f>
        <v>317.09</v>
      </c>
      <c r="D2916" s="2">
        <f>IFERROR(__xludf.DUMMYFUNCTION("""COMPUTED_VALUE"""),301.07)</f>
        <v>301.07</v>
      </c>
      <c r="E2916" s="2">
        <f>IFERROR(__xludf.DUMMYFUNCTION("""COMPUTED_VALUE"""),306.13)</f>
        <v>306.13</v>
      </c>
      <c r="F2916" s="2">
        <f>IFERROR(__xludf.DUMMYFUNCTION("""COMPUTED_VALUE"""),2.8865302E7)</f>
        <v>28865302</v>
      </c>
    </row>
    <row r="2917">
      <c r="A2917" s="3">
        <f>IFERROR(__xludf.DUMMYFUNCTION("""COMPUTED_VALUE"""),44587.66666666667)</f>
        <v>44587.66667</v>
      </c>
      <c r="B2917" s="2">
        <f>IFERROR(__xludf.DUMMYFUNCTION("""COMPUTED_VALUE"""),317.48)</f>
        <v>317.48</v>
      </c>
      <c r="C2917" s="2">
        <f>IFERROR(__xludf.DUMMYFUNCTION("""COMPUTED_VALUE"""),329.23)</f>
        <v>329.23</v>
      </c>
      <c r="D2917" s="2">
        <f>IFERROR(__xludf.DUMMYFUNCTION("""COMPUTED_VALUE"""),302.0)</f>
        <v>302</v>
      </c>
      <c r="E2917" s="2">
        <f>IFERROR(__xludf.DUMMYFUNCTION("""COMPUTED_VALUE"""),312.47)</f>
        <v>312.47</v>
      </c>
      <c r="F2917" s="2">
        <f>IFERROR(__xludf.DUMMYFUNCTION("""COMPUTED_VALUE"""),3.4955761E7)</f>
        <v>34955761</v>
      </c>
    </row>
    <row r="2918">
      <c r="A2918" s="3">
        <f>IFERROR(__xludf.DUMMYFUNCTION("""COMPUTED_VALUE"""),44588.66666666667)</f>
        <v>44588.66667</v>
      </c>
      <c r="B2918" s="2">
        <f>IFERROR(__xludf.DUMMYFUNCTION("""COMPUTED_VALUE"""),311.12)</f>
        <v>311.12</v>
      </c>
      <c r="C2918" s="2">
        <f>IFERROR(__xludf.DUMMYFUNCTION("""COMPUTED_VALUE"""),311.8)</f>
        <v>311.8</v>
      </c>
      <c r="D2918" s="2">
        <f>IFERROR(__xludf.DUMMYFUNCTION("""COMPUTED_VALUE"""),276.33)</f>
        <v>276.33</v>
      </c>
      <c r="E2918" s="2">
        <f>IFERROR(__xludf.DUMMYFUNCTION("""COMPUTED_VALUE"""),276.37)</f>
        <v>276.37</v>
      </c>
      <c r="F2918" s="2">
        <f>IFERROR(__xludf.DUMMYFUNCTION("""COMPUTED_VALUE"""),4.9036523E7)</f>
        <v>49036523</v>
      </c>
    </row>
    <row r="2919">
      <c r="A2919" s="3">
        <f>IFERROR(__xludf.DUMMYFUNCTION("""COMPUTED_VALUE"""),44589.66666666667)</f>
        <v>44589.66667</v>
      </c>
      <c r="B2919" s="2">
        <f>IFERROR(__xludf.DUMMYFUNCTION("""COMPUTED_VALUE"""),277.19)</f>
        <v>277.19</v>
      </c>
      <c r="C2919" s="2">
        <f>IFERROR(__xludf.DUMMYFUNCTION("""COMPUTED_VALUE"""),285.83)</f>
        <v>285.83</v>
      </c>
      <c r="D2919" s="2">
        <f>IFERROR(__xludf.DUMMYFUNCTION("""COMPUTED_VALUE"""),264.0)</f>
        <v>264</v>
      </c>
      <c r="E2919" s="2">
        <f>IFERROR(__xludf.DUMMYFUNCTION("""COMPUTED_VALUE"""),282.12)</f>
        <v>282.12</v>
      </c>
      <c r="F2919" s="2">
        <f>IFERROR(__xludf.DUMMYFUNCTION("""COMPUTED_VALUE"""),4.492965E7)</f>
        <v>44929650</v>
      </c>
    </row>
    <row r="2920">
      <c r="A2920" s="3">
        <f>IFERROR(__xludf.DUMMYFUNCTION("""COMPUTED_VALUE"""),44592.66666666667)</f>
        <v>44592.66667</v>
      </c>
      <c r="B2920" s="2">
        <f>IFERROR(__xludf.DUMMYFUNCTION("""COMPUTED_VALUE"""),290.9)</f>
        <v>290.9</v>
      </c>
      <c r="C2920" s="2">
        <f>IFERROR(__xludf.DUMMYFUNCTION("""COMPUTED_VALUE"""),312.66)</f>
        <v>312.66</v>
      </c>
      <c r="D2920" s="2">
        <f>IFERROR(__xludf.DUMMYFUNCTION("""COMPUTED_VALUE"""),287.35)</f>
        <v>287.35</v>
      </c>
      <c r="E2920" s="2">
        <f>IFERROR(__xludf.DUMMYFUNCTION("""COMPUTED_VALUE"""),312.24)</f>
        <v>312.24</v>
      </c>
      <c r="F2920" s="2">
        <f>IFERROR(__xludf.DUMMYFUNCTION("""COMPUTED_VALUE"""),3.4812032E7)</f>
        <v>34812032</v>
      </c>
    </row>
    <row r="2921">
      <c r="A2921" s="3">
        <f>IFERROR(__xludf.DUMMYFUNCTION("""COMPUTED_VALUE"""),44593.66666666667)</f>
        <v>44593.66667</v>
      </c>
      <c r="B2921" s="2">
        <f>IFERROR(__xludf.DUMMYFUNCTION("""COMPUTED_VALUE"""),311.74)</f>
        <v>311.74</v>
      </c>
      <c r="C2921" s="2">
        <f>IFERROR(__xludf.DUMMYFUNCTION("""COMPUTED_VALUE"""),314.57)</f>
        <v>314.57</v>
      </c>
      <c r="D2921" s="2">
        <f>IFERROR(__xludf.DUMMYFUNCTION("""COMPUTED_VALUE"""),301.67)</f>
        <v>301.67</v>
      </c>
      <c r="E2921" s="2">
        <f>IFERROR(__xludf.DUMMYFUNCTION("""COMPUTED_VALUE"""),310.42)</f>
        <v>310.42</v>
      </c>
      <c r="F2921" s="2">
        <f>IFERROR(__xludf.DUMMYFUNCTION("""COMPUTED_VALUE"""),2.4379446E7)</f>
        <v>24379446</v>
      </c>
    </row>
    <row r="2922">
      <c r="A2922" s="3">
        <f>IFERROR(__xludf.DUMMYFUNCTION("""COMPUTED_VALUE"""),44594.66666666667)</f>
        <v>44594.66667</v>
      </c>
      <c r="B2922" s="2">
        <f>IFERROR(__xludf.DUMMYFUNCTION("""COMPUTED_VALUE"""),309.39)</f>
        <v>309.39</v>
      </c>
      <c r="C2922" s="2">
        <f>IFERROR(__xludf.DUMMYFUNCTION("""COMPUTED_VALUE"""),310.5)</f>
        <v>310.5</v>
      </c>
      <c r="D2922" s="2">
        <f>IFERROR(__xludf.DUMMYFUNCTION("""COMPUTED_VALUE"""),296.47)</f>
        <v>296.47</v>
      </c>
      <c r="E2922" s="2">
        <f>IFERROR(__xludf.DUMMYFUNCTION("""COMPUTED_VALUE"""),301.89)</f>
        <v>301.89</v>
      </c>
      <c r="F2922" s="2">
        <f>IFERROR(__xludf.DUMMYFUNCTION("""COMPUTED_VALUE"""),2.2264345E7)</f>
        <v>22264345</v>
      </c>
    </row>
    <row r="2923">
      <c r="A2923" s="3">
        <f>IFERROR(__xludf.DUMMYFUNCTION("""COMPUTED_VALUE"""),44595.66666666667)</f>
        <v>44595.66667</v>
      </c>
      <c r="B2923" s="2">
        <f>IFERROR(__xludf.DUMMYFUNCTION("""COMPUTED_VALUE"""),294.0)</f>
        <v>294</v>
      </c>
      <c r="C2923" s="2">
        <f>IFERROR(__xludf.DUMMYFUNCTION("""COMPUTED_VALUE"""),312.33)</f>
        <v>312.33</v>
      </c>
      <c r="D2923" s="2">
        <f>IFERROR(__xludf.DUMMYFUNCTION("""COMPUTED_VALUE"""),293.51)</f>
        <v>293.51</v>
      </c>
      <c r="E2923" s="2">
        <f>IFERROR(__xludf.DUMMYFUNCTION("""COMPUTED_VALUE"""),297.05)</f>
        <v>297.05</v>
      </c>
      <c r="F2923" s="2">
        <f>IFERROR(__xludf.DUMMYFUNCTION("""COMPUTED_VALUE"""),2.6285186E7)</f>
        <v>26285186</v>
      </c>
    </row>
    <row r="2924">
      <c r="A2924" s="3">
        <f>IFERROR(__xludf.DUMMYFUNCTION("""COMPUTED_VALUE"""),44596.66666666667)</f>
        <v>44596.66667</v>
      </c>
      <c r="B2924" s="2">
        <f>IFERROR(__xludf.DUMMYFUNCTION("""COMPUTED_VALUE"""),299.07)</f>
        <v>299.07</v>
      </c>
      <c r="C2924" s="2">
        <f>IFERROR(__xludf.DUMMYFUNCTION("""COMPUTED_VALUE"""),312.17)</f>
        <v>312.17</v>
      </c>
      <c r="D2924" s="2">
        <f>IFERROR(__xludf.DUMMYFUNCTION("""COMPUTED_VALUE"""),293.72)</f>
        <v>293.72</v>
      </c>
      <c r="E2924" s="2">
        <f>IFERROR(__xludf.DUMMYFUNCTION("""COMPUTED_VALUE"""),307.77)</f>
        <v>307.77</v>
      </c>
      <c r="F2924" s="2">
        <f>IFERROR(__xludf.DUMMYFUNCTION("""COMPUTED_VALUE"""),2.4541822E7)</f>
        <v>24541822</v>
      </c>
    </row>
    <row r="2925">
      <c r="A2925" s="3">
        <f>IFERROR(__xludf.DUMMYFUNCTION("""COMPUTED_VALUE"""),44599.66666666667)</f>
        <v>44599.66667</v>
      </c>
      <c r="B2925" s="2">
        <f>IFERROR(__xludf.DUMMYFUNCTION("""COMPUTED_VALUE"""),307.93)</f>
        <v>307.93</v>
      </c>
      <c r="C2925" s="2">
        <f>IFERROR(__xludf.DUMMYFUNCTION("""COMPUTED_VALUE"""),315.92)</f>
        <v>315.92</v>
      </c>
      <c r="D2925" s="2">
        <f>IFERROR(__xludf.DUMMYFUNCTION("""COMPUTED_VALUE"""),300.9)</f>
        <v>300.9</v>
      </c>
      <c r="E2925" s="2">
        <f>IFERROR(__xludf.DUMMYFUNCTION("""COMPUTED_VALUE"""),302.45)</f>
        <v>302.45</v>
      </c>
      <c r="F2925" s="2">
        <f>IFERROR(__xludf.DUMMYFUNCTION("""COMPUTED_VALUE"""),2.0331488E7)</f>
        <v>20331488</v>
      </c>
    </row>
    <row r="2926">
      <c r="A2926" s="3">
        <f>IFERROR(__xludf.DUMMYFUNCTION("""COMPUTED_VALUE"""),44600.66666666667)</f>
        <v>44600.66667</v>
      </c>
      <c r="B2926" s="2">
        <f>IFERROR(__xludf.DUMMYFUNCTION("""COMPUTED_VALUE"""),301.84)</f>
        <v>301.84</v>
      </c>
      <c r="C2926" s="2">
        <f>IFERROR(__xludf.DUMMYFUNCTION("""COMPUTED_VALUE"""),308.76)</f>
        <v>308.76</v>
      </c>
      <c r="D2926" s="2">
        <f>IFERROR(__xludf.DUMMYFUNCTION("""COMPUTED_VALUE"""),298.27)</f>
        <v>298.27</v>
      </c>
      <c r="E2926" s="2">
        <f>IFERROR(__xludf.DUMMYFUNCTION("""COMPUTED_VALUE"""),307.33)</f>
        <v>307.33</v>
      </c>
      <c r="F2926" s="2">
        <f>IFERROR(__xludf.DUMMYFUNCTION("""COMPUTED_VALUE"""),1.6909671E7)</f>
        <v>16909671</v>
      </c>
    </row>
    <row r="2927">
      <c r="A2927" s="3">
        <f>IFERROR(__xludf.DUMMYFUNCTION("""COMPUTED_VALUE"""),44601.66666666667)</f>
        <v>44601.66667</v>
      </c>
      <c r="B2927" s="2">
        <f>IFERROR(__xludf.DUMMYFUNCTION("""COMPUTED_VALUE"""),311.67)</f>
        <v>311.67</v>
      </c>
      <c r="C2927" s="2">
        <f>IFERROR(__xludf.DUMMYFUNCTION("""COMPUTED_VALUE"""),315.42)</f>
        <v>315.42</v>
      </c>
      <c r="D2927" s="2">
        <f>IFERROR(__xludf.DUMMYFUNCTION("""COMPUTED_VALUE"""),306.67)</f>
        <v>306.67</v>
      </c>
      <c r="E2927" s="2">
        <f>IFERROR(__xludf.DUMMYFUNCTION("""COMPUTED_VALUE"""),310.67)</f>
        <v>310.67</v>
      </c>
      <c r="F2927" s="2">
        <f>IFERROR(__xludf.DUMMYFUNCTION("""COMPUTED_VALUE"""),1.7419848E7)</f>
        <v>17419848</v>
      </c>
    </row>
    <row r="2928">
      <c r="A2928" s="3">
        <f>IFERROR(__xludf.DUMMYFUNCTION("""COMPUTED_VALUE"""),44602.66666666667)</f>
        <v>44602.66667</v>
      </c>
      <c r="B2928" s="2">
        <f>IFERROR(__xludf.DUMMYFUNCTION("""COMPUTED_VALUE"""),302.79)</f>
        <v>302.79</v>
      </c>
      <c r="C2928" s="2">
        <f>IFERROR(__xludf.DUMMYFUNCTION("""COMPUTED_VALUE"""),314.6)</f>
        <v>314.6</v>
      </c>
      <c r="D2928" s="2">
        <f>IFERROR(__xludf.DUMMYFUNCTION("""COMPUTED_VALUE"""),298.9)</f>
        <v>298.9</v>
      </c>
      <c r="E2928" s="2">
        <f>IFERROR(__xludf.DUMMYFUNCTION("""COMPUTED_VALUE"""),301.52)</f>
        <v>301.52</v>
      </c>
      <c r="F2928" s="2">
        <f>IFERROR(__xludf.DUMMYFUNCTION("""COMPUTED_VALUE"""),2.2042277E7)</f>
        <v>22042277</v>
      </c>
    </row>
    <row r="2929">
      <c r="A2929" s="3">
        <f>IFERROR(__xludf.DUMMYFUNCTION("""COMPUTED_VALUE"""),44603.66666666667)</f>
        <v>44603.66667</v>
      </c>
      <c r="B2929" s="2">
        <f>IFERROR(__xludf.DUMMYFUNCTION("""COMPUTED_VALUE"""),303.21)</f>
        <v>303.21</v>
      </c>
      <c r="C2929" s="2">
        <f>IFERROR(__xludf.DUMMYFUNCTION("""COMPUTED_VALUE"""),305.32)</f>
        <v>305.32</v>
      </c>
      <c r="D2929" s="2">
        <f>IFERROR(__xludf.DUMMYFUNCTION("""COMPUTED_VALUE"""),283.57)</f>
        <v>283.57</v>
      </c>
      <c r="E2929" s="2">
        <f>IFERROR(__xludf.DUMMYFUNCTION("""COMPUTED_VALUE"""),286.67)</f>
        <v>286.67</v>
      </c>
      <c r="F2929" s="2">
        <f>IFERROR(__xludf.DUMMYFUNCTION("""COMPUTED_VALUE"""),2.6548623E7)</f>
        <v>26548623</v>
      </c>
    </row>
    <row r="2930">
      <c r="A2930" s="3">
        <f>IFERROR(__xludf.DUMMYFUNCTION("""COMPUTED_VALUE"""),44606.66666666667)</f>
        <v>44606.66667</v>
      </c>
      <c r="B2930" s="2">
        <f>IFERROR(__xludf.DUMMYFUNCTION("""COMPUTED_VALUE"""),287.19)</f>
        <v>287.19</v>
      </c>
      <c r="C2930" s="2">
        <f>IFERROR(__xludf.DUMMYFUNCTION("""COMPUTED_VALUE"""),299.63)</f>
        <v>299.63</v>
      </c>
      <c r="D2930" s="2">
        <f>IFERROR(__xludf.DUMMYFUNCTION("""COMPUTED_VALUE"""),284.38)</f>
        <v>284.38</v>
      </c>
      <c r="E2930" s="2">
        <f>IFERROR(__xludf.DUMMYFUNCTION("""COMPUTED_VALUE"""),291.92)</f>
        <v>291.92</v>
      </c>
      <c r="F2930" s="2">
        <f>IFERROR(__xludf.DUMMYFUNCTION("""COMPUTED_VALUE"""),2.2585472E7)</f>
        <v>22585472</v>
      </c>
    </row>
    <row r="2931">
      <c r="A2931" s="3">
        <f>IFERROR(__xludf.DUMMYFUNCTION("""COMPUTED_VALUE"""),44607.66666666667)</f>
        <v>44607.66667</v>
      </c>
      <c r="B2931" s="2">
        <f>IFERROR(__xludf.DUMMYFUNCTION("""COMPUTED_VALUE"""),300.0)</f>
        <v>300</v>
      </c>
      <c r="C2931" s="2">
        <f>IFERROR(__xludf.DUMMYFUNCTION("""COMPUTED_VALUE"""),307.67)</f>
        <v>307.67</v>
      </c>
      <c r="D2931" s="2">
        <f>IFERROR(__xludf.DUMMYFUNCTION("""COMPUTED_VALUE"""),297.79)</f>
        <v>297.79</v>
      </c>
      <c r="E2931" s="2">
        <f>IFERROR(__xludf.DUMMYFUNCTION("""COMPUTED_VALUE"""),307.48)</f>
        <v>307.48</v>
      </c>
      <c r="F2931" s="2">
        <f>IFERROR(__xludf.DUMMYFUNCTION("""COMPUTED_VALUE"""),1.9216514E7)</f>
        <v>19216514</v>
      </c>
    </row>
    <row r="2932">
      <c r="A2932" s="3">
        <f>IFERROR(__xludf.DUMMYFUNCTION("""COMPUTED_VALUE"""),44608.66666666667)</f>
        <v>44608.66667</v>
      </c>
      <c r="B2932" s="2">
        <f>IFERROR(__xludf.DUMMYFUNCTION("""COMPUTED_VALUE"""),304.68)</f>
        <v>304.68</v>
      </c>
      <c r="C2932" s="2">
        <f>IFERROR(__xludf.DUMMYFUNCTION("""COMPUTED_VALUE"""),308.81)</f>
        <v>308.81</v>
      </c>
      <c r="D2932" s="2">
        <f>IFERROR(__xludf.DUMMYFUNCTION("""COMPUTED_VALUE"""),300.4)</f>
        <v>300.4</v>
      </c>
      <c r="E2932" s="2">
        <f>IFERROR(__xludf.DUMMYFUNCTION("""COMPUTED_VALUE"""),307.8)</f>
        <v>307.8</v>
      </c>
      <c r="F2932" s="2">
        <f>IFERROR(__xludf.DUMMYFUNCTION("""COMPUTED_VALUE"""),1.7098132E7)</f>
        <v>17098132</v>
      </c>
    </row>
    <row r="2933">
      <c r="A2933" s="3">
        <f>IFERROR(__xludf.DUMMYFUNCTION("""COMPUTED_VALUE"""),44609.66666666667)</f>
        <v>44609.66667</v>
      </c>
      <c r="B2933" s="2">
        <f>IFERROR(__xludf.DUMMYFUNCTION("""COMPUTED_VALUE"""),304.42)</f>
        <v>304.42</v>
      </c>
      <c r="C2933" s="2">
        <f>IFERROR(__xludf.DUMMYFUNCTION("""COMPUTED_VALUE"""),306.17)</f>
        <v>306.17</v>
      </c>
      <c r="D2933" s="2">
        <f>IFERROR(__xludf.DUMMYFUNCTION("""COMPUTED_VALUE"""),291.37)</f>
        <v>291.37</v>
      </c>
      <c r="E2933" s="2">
        <f>IFERROR(__xludf.DUMMYFUNCTION("""COMPUTED_VALUE"""),292.12)</f>
        <v>292.12</v>
      </c>
      <c r="F2933" s="2">
        <f>IFERROR(__xludf.DUMMYFUNCTION("""COMPUTED_VALUE"""),1.8392806E7)</f>
        <v>18392806</v>
      </c>
    </row>
    <row r="2934">
      <c r="A2934" s="3">
        <f>IFERROR(__xludf.DUMMYFUNCTION("""COMPUTED_VALUE"""),44610.66666666667)</f>
        <v>44610.66667</v>
      </c>
      <c r="B2934" s="2">
        <f>IFERROR(__xludf.DUMMYFUNCTION("""COMPUTED_VALUE"""),295.33)</f>
        <v>295.33</v>
      </c>
      <c r="C2934" s="2">
        <f>IFERROR(__xludf.DUMMYFUNCTION("""COMPUTED_VALUE"""),295.62)</f>
        <v>295.62</v>
      </c>
      <c r="D2934" s="2">
        <f>IFERROR(__xludf.DUMMYFUNCTION("""COMPUTED_VALUE"""),279.2)</f>
        <v>279.2</v>
      </c>
      <c r="E2934" s="2">
        <f>IFERROR(__xludf.DUMMYFUNCTION("""COMPUTED_VALUE"""),285.66)</f>
        <v>285.66</v>
      </c>
      <c r="F2934" s="2">
        <f>IFERROR(__xludf.DUMMYFUNCTION("""COMPUTED_VALUE"""),2.2833947E7)</f>
        <v>22833947</v>
      </c>
    </row>
    <row r="2935">
      <c r="A2935" s="3">
        <f>IFERROR(__xludf.DUMMYFUNCTION("""COMPUTED_VALUE"""),44614.66666666667)</f>
        <v>44614.66667</v>
      </c>
      <c r="B2935" s="2">
        <f>IFERROR(__xludf.DUMMYFUNCTION("""COMPUTED_VALUE"""),278.04)</f>
        <v>278.04</v>
      </c>
      <c r="C2935" s="2">
        <f>IFERROR(__xludf.DUMMYFUNCTION("""COMPUTED_VALUE"""),285.58)</f>
        <v>285.58</v>
      </c>
      <c r="D2935" s="2">
        <f>IFERROR(__xludf.DUMMYFUNCTION("""COMPUTED_VALUE"""),267.03)</f>
        <v>267.03</v>
      </c>
      <c r="E2935" s="2">
        <f>IFERROR(__xludf.DUMMYFUNCTION("""COMPUTED_VALUE"""),273.84)</f>
        <v>273.84</v>
      </c>
      <c r="F2935" s="2">
        <f>IFERROR(__xludf.DUMMYFUNCTION("""COMPUTED_VALUE"""),2.7762734E7)</f>
        <v>27762734</v>
      </c>
    </row>
    <row r="2936">
      <c r="A2936" s="3">
        <f>IFERROR(__xludf.DUMMYFUNCTION("""COMPUTED_VALUE"""),44615.66666666667)</f>
        <v>44615.66667</v>
      </c>
      <c r="B2936" s="2">
        <f>IFERROR(__xludf.DUMMYFUNCTION("""COMPUTED_VALUE"""),276.81)</f>
        <v>276.81</v>
      </c>
      <c r="C2936" s="2">
        <f>IFERROR(__xludf.DUMMYFUNCTION("""COMPUTED_VALUE"""),278.43)</f>
        <v>278.43</v>
      </c>
      <c r="D2936" s="2">
        <f>IFERROR(__xludf.DUMMYFUNCTION("""COMPUTED_VALUE"""),253.52)</f>
        <v>253.52</v>
      </c>
      <c r="E2936" s="2">
        <f>IFERROR(__xludf.DUMMYFUNCTION("""COMPUTED_VALUE"""),254.68)</f>
        <v>254.68</v>
      </c>
      <c r="F2936" s="2">
        <f>IFERROR(__xludf.DUMMYFUNCTION("""COMPUTED_VALUE"""),3.1752336E7)</f>
        <v>31752336</v>
      </c>
    </row>
    <row r="2937">
      <c r="A2937" s="3">
        <f>IFERROR(__xludf.DUMMYFUNCTION("""COMPUTED_VALUE"""),44616.66666666667)</f>
        <v>44616.66667</v>
      </c>
      <c r="B2937" s="2">
        <f>IFERROR(__xludf.DUMMYFUNCTION("""COMPUTED_VALUE"""),233.46)</f>
        <v>233.46</v>
      </c>
      <c r="C2937" s="2">
        <f>IFERROR(__xludf.DUMMYFUNCTION("""COMPUTED_VALUE"""),267.49)</f>
        <v>267.49</v>
      </c>
      <c r="D2937" s="2">
        <f>IFERROR(__xludf.DUMMYFUNCTION("""COMPUTED_VALUE"""),233.33)</f>
        <v>233.33</v>
      </c>
      <c r="E2937" s="2">
        <f>IFERROR(__xludf.DUMMYFUNCTION("""COMPUTED_VALUE"""),266.92)</f>
        <v>266.92</v>
      </c>
      <c r="F2937" s="2">
        <f>IFERROR(__xludf.DUMMYFUNCTION("""COMPUTED_VALUE"""),4.5107425E7)</f>
        <v>45107425</v>
      </c>
    </row>
    <row r="2938">
      <c r="A2938" s="3">
        <f>IFERROR(__xludf.DUMMYFUNCTION("""COMPUTED_VALUE"""),44617.66666666667)</f>
        <v>44617.66667</v>
      </c>
      <c r="B2938" s="2">
        <f>IFERROR(__xludf.DUMMYFUNCTION("""COMPUTED_VALUE"""),269.74)</f>
        <v>269.74</v>
      </c>
      <c r="C2938" s="2">
        <f>IFERROR(__xludf.DUMMYFUNCTION("""COMPUTED_VALUE"""),273.17)</f>
        <v>273.17</v>
      </c>
      <c r="D2938" s="2">
        <f>IFERROR(__xludf.DUMMYFUNCTION("""COMPUTED_VALUE"""),260.8)</f>
        <v>260.8</v>
      </c>
      <c r="E2938" s="2">
        <f>IFERROR(__xludf.DUMMYFUNCTION("""COMPUTED_VALUE"""),269.96)</f>
        <v>269.96</v>
      </c>
      <c r="F2938" s="2">
        <f>IFERROR(__xludf.DUMMYFUNCTION("""COMPUTED_VALUE"""),2.5355921E7)</f>
        <v>25355921</v>
      </c>
    </row>
    <row r="2939">
      <c r="A2939" s="3">
        <f>IFERROR(__xludf.DUMMYFUNCTION("""COMPUTED_VALUE"""),44620.66666666667)</f>
        <v>44620.66667</v>
      </c>
      <c r="B2939" s="2">
        <f>IFERROR(__xludf.DUMMYFUNCTION("""COMPUTED_VALUE"""),271.67)</f>
        <v>271.67</v>
      </c>
      <c r="C2939" s="2">
        <f>IFERROR(__xludf.DUMMYFUNCTION("""COMPUTED_VALUE"""),292.29)</f>
        <v>292.29</v>
      </c>
      <c r="D2939" s="2">
        <f>IFERROR(__xludf.DUMMYFUNCTION("""COMPUTED_VALUE"""),271.57)</f>
        <v>271.57</v>
      </c>
      <c r="E2939" s="2">
        <f>IFERROR(__xludf.DUMMYFUNCTION("""COMPUTED_VALUE"""),290.14)</f>
        <v>290.14</v>
      </c>
      <c r="F2939" s="2">
        <f>IFERROR(__xludf.DUMMYFUNCTION("""COMPUTED_VALUE"""),3.3002289E7)</f>
        <v>33002289</v>
      </c>
    </row>
    <row r="2940">
      <c r="A2940" s="3">
        <f>IFERROR(__xludf.DUMMYFUNCTION("""COMPUTED_VALUE"""),44621.66666666667)</f>
        <v>44621.66667</v>
      </c>
      <c r="B2940" s="2">
        <f>IFERROR(__xludf.DUMMYFUNCTION("""COMPUTED_VALUE"""),289.89)</f>
        <v>289.89</v>
      </c>
      <c r="C2940" s="2">
        <f>IFERROR(__xludf.DUMMYFUNCTION("""COMPUTED_VALUE"""),296.63)</f>
        <v>296.63</v>
      </c>
      <c r="D2940" s="2">
        <f>IFERROR(__xludf.DUMMYFUNCTION("""COMPUTED_VALUE"""),284.59)</f>
        <v>284.59</v>
      </c>
      <c r="E2940" s="2">
        <f>IFERROR(__xludf.DUMMYFUNCTION("""COMPUTED_VALUE"""),288.12)</f>
        <v>288.12</v>
      </c>
      <c r="F2940" s="2">
        <f>IFERROR(__xludf.DUMMYFUNCTION("""COMPUTED_VALUE"""),2.4922287E7)</f>
        <v>24922287</v>
      </c>
    </row>
    <row r="2941">
      <c r="A2941" s="3">
        <f>IFERROR(__xludf.DUMMYFUNCTION("""COMPUTED_VALUE"""),44622.66666666667)</f>
        <v>44622.66667</v>
      </c>
      <c r="B2941" s="2">
        <f>IFERROR(__xludf.DUMMYFUNCTION("""COMPUTED_VALUE"""),290.71)</f>
        <v>290.71</v>
      </c>
      <c r="C2941" s="2">
        <f>IFERROR(__xludf.DUMMYFUNCTION("""COMPUTED_VALUE"""),295.49)</f>
        <v>295.49</v>
      </c>
      <c r="D2941" s="2">
        <f>IFERROR(__xludf.DUMMYFUNCTION("""COMPUTED_VALUE"""),281.42)</f>
        <v>281.42</v>
      </c>
      <c r="E2941" s="2">
        <f>IFERROR(__xludf.DUMMYFUNCTION("""COMPUTED_VALUE"""),293.3)</f>
        <v>293.3</v>
      </c>
      <c r="F2941" s="2">
        <f>IFERROR(__xludf.DUMMYFUNCTION("""COMPUTED_VALUE"""),2.4881146E7)</f>
        <v>24881146</v>
      </c>
    </row>
    <row r="2942">
      <c r="A2942" s="3">
        <f>IFERROR(__xludf.DUMMYFUNCTION("""COMPUTED_VALUE"""),44623.66666666667)</f>
        <v>44623.66667</v>
      </c>
      <c r="B2942" s="2">
        <f>IFERROR(__xludf.DUMMYFUNCTION("""COMPUTED_VALUE"""),292.92)</f>
        <v>292.92</v>
      </c>
      <c r="C2942" s="2">
        <f>IFERROR(__xludf.DUMMYFUNCTION("""COMPUTED_VALUE"""),295.48)</f>
        <v>295.48</v>
      </c>
      <c r="D2942" s="2">
        <f>IFERROR(__xludf.DUMMYFUNCTION("""COMPUTED_VALUE"""),277.53)</f>
        <v>277.53</v>
      </c>
      <c r="E2942" s="2">
        <f>IFERROR(__xludf.DUMMYFUNCTION("""COMPUTED_VALUE"""),279.76)</f>
        <v>279.76</v>
      </c>
      <c r="F2942" s="2">
        <f>IFERROR(__xludf.DUMMYFUNCTION("""COMPUTED_VALUE"""),2.0541169E7)</f>
        <v>20541169</v>
      </c>
    </row>
    <row r="2943">
      <c r="A2943" s="3">
        <f>IFERROR(__xludf.DUMMYFUNCTION("""COMPUTED_VALUE"""),44624.66666666667)</f>
        <v>44624.66667</v>
      </c>
      <c r="B2943" s="2">
        <f>IFERROR(__xludf.DUMMYFUNCTION("""COMPUTED_VALUE"""),283.03)</f>
        <v>283.03</v>
      </c>
      <c r="C2943" s="2">
        <f>IFERROR(__xludf.DUMMYFUNCTION("""COMPUTED_VALUE"""),285.22)</f>
        <v>285.22</v>
      </c>
      <c r="D2943" s="2">
        <f>IFERROR(__xludf.DUMMYFUNCTION("""COMPUTED_VALUE"""),275.05)</f>
        <v>275.05</v>
      </c>
      <c r="E2943" s="2">
        <f>IFERROR(__xludf.DUMMYFUNCTION("""COMPUTED_VALUE"""),279.43)</f>
        <v>279.43</v>
      </c>
      <c r="F2943" s="2">
        <f>IFERROR(__xludf.DUMMYFUNCTION("""COMPUTED_VALUE"""),2.2393287E7)</f>
        <v>22393287</v>
      </c>
    </row>
    <row r="2944">
      <c r="A2944" s="3">
        <f>IFERROR(__xludf.DUMMYFUNCTION("""COMPUTED_VALUE"""),44627.66666666667)</f>
        <v>44627.66667</v>
      </c>
      <c r="B2944" s="2">
        <f>IFERROR(__xludf.DUMMYFUNCTION("""COMPUTED_VALUE"""),285.43)</f>
        <v>285.43</v>
      </c>
      <c r="C2944" s="2">
        <f>IFERROR(__xludf.DUMMYFUNCTION("""COMPUTED_VALUE"""),288.71)</f>
        <v>288.71</v>
      </c>
      <c r="D2944" s="2">
        <f>IFERROR(__xludf.DUMMYFUNCTION("""COMPUTED_VALUE"""),268.19)</f>
        <v>268.19</v>
      </c>
      <c r="E2944" s="2">
        <f>IFERROR(__xludf.DUMMYFUNCTION("""COMPUTED_VALUE"""),268.19)</f>
        <v>268.19</v>
      </c>
      <c r="F2944" s="2">
        <f>IFERROR(__xludf.DUMMYFUNCTION("""COMPUTED_VALUE"""),2.4164724E7)</f>
        <v>24164724</v>
      </c>
    </row>
    <row r="2945">
      <c r="A2945" s="3">
        <f>IFERROR(__xludf.DUMMYFUNCTION("""COMPUTED_VALUE"""),44628.66666666667)</f>
        <v>44628.66667</v>
      </c>
      <c r="B2945" s="2">
        <f>IFERROR(__xludf.DUMMYFUNCTION("""COMPUTED_VALUE"""),265.18)</f>
        <v>265.18</v>
      </c>
      <c r="C2945" s="2">
        <f>IFERROR(__xludf.DUMMYFUNCTION("""COMPUTED_VALUE"""),283.33)</f>
        <v>283.33</v>
      </c>
      <c r="D2945" s="2">
        <f>IFERROR(__xludf.DUMMYFUNCTION("""COMPUTED_VALUE"""),260.72)</f>
        <v>260.72</v>
      </c>
      <c r="E2945" s="2">
        <f>IFERROR(__xludf.DUMMYFUNCTION("""COMPUTED_VALUE"""),274.8)</f>
        <v>274.8</v>
      </c>
      <c r="F2945" s="2">
        <f>IFERROR(__xludf.DUMMYFUNCTION("""COMPUTED_VALUE"""),2.6799702E7)</f>
        <v>26799702</v>
      </c>
    </row>
    <row r="2946">
      <c r="A2946" s="3">
        <f>IFERROR(__xludf.DUMMYFUNCTION("""COMPUTED_VALUE"""),44629.66666666667)</f>
        <v>44629.66667</v>
      </c>
      <c r="B2946" s="2">
        <f>IFERROR(__xludf.DUMMYFUNCTION("""COMPUTED_VALUE"""),279.83)</f>
        <v>279.83</v>
      </c>
      <c r="C2946" s="2">
        <f>IFERROR(__xludf.DUMMYFUNCTION("""COMPUTED_VALUE"""),286.85)</f>
        <v>286.85</v>
      </c>
      <c r="D2946" s="2">
        <f>IFERROR(__xludf.DUMMYFUNCTION("""COMPUTED_VALUE"""),277.34)</f>
        <v>277.34</v>
      </c>
      <c r="E2946" s="2">
        <f>IFERROR(__xludf.DUMMYFUNCTION("""COMPUTED_VALUE"""),286.32)</f>
        <v>286.32</v>
      </c>
      <c r="F2946" s="2">
        <f>IFERROR(__xludf.DUMMYFUNCTION("""COMPUTED_VALUE"""),1.9727993E7)</f>
        <v>19727993</v>
      </c>
    </row>
    <row r="2947">
      <c r="A2947" s="3">
        <f>IFERROR(__xludf.DUMMYFUNCTION("""COMPUTED_VALUE"""),44630.66666666667)</f>
        <v>44630.66667</v>
      </c>
      <c r="B2947" s="2">
        <f>IFERROR(__xludf.DUMMYFUNCTION("""COMPUTED_VALUE"""),283.82)</f>
        <v>283.82</v>
      </c>
      <c r="C2947" s="2">
        <f>IFERROR(__xludf.DUMMYFUNCTION("""COMPUTED_VALUE"""),284.82)</f>
        <v>284.82</v>
      </c>
      <c r="D2947" s="2">
        <f>IFERROR(__xludf.DUMMYFUNCTION("""COMPUTED_VALUE"""),270.12)</f>
        <v>270.12</v>
      </c>
      <c r="E2947" s="2">
        <f>IFERROR(__xludf.DUMMYFUNCTION("""COMPUTED_VALUE"""),279.43)</f>
        <v>279.43</v>
      </c>
      <c r="F2947" s="2">
        <f>IFERROR(__xludf.DUMMYFUNCTION("""COMPUTED_VALUE"""),1.9549548E7)</f>
        <v>19549548</v>
      </c>
    </row>
    <row r="2948">
      <c r="A2948" s="3">
        <f>IFERROR(__xludf.DUMMYFUNCTION("""COMPUTED_VALUE"""),44631.66666666667)</f>
        <v>44631.66667</v>
      </c>
      <c r="B2948" s="2">
        <f>IFERROR(__xludf.DUMMYFUNCTION("""COMPUTED_VALUE"""),280.07)</f>
        <v>280.07</v>
      </c>
      <c r="C2948" s="2">
        <f>IFERROR(__xludf.DUMMYFUNCTION("""COMPUTED_VALUE"""),281.27)</f>
        <v>281.27</v>
      </c>
      <c r="D2948" s="2">
        <f>IFERROR(__xludf.DUMMYFUNCTION("""COMPUTED_VALUE"""),264.59)</f>
        <v>264.59</v>
      </c>
      <c r="E2948" s="2">
        <f>IFERROR(__xludf.DUMMYFUNCTION("""COMPUTED_VALUE"""),265.12)</f>
        <v>265.12</v>
      </c>
      <c r="F2948" s="2">
        <f>IFERROR(__xludf.DUMMYFUNCTION("""COMPUTED_VALUE"""),2.2345722E7)</f>
        <v>22345722</v>
      </c>
    </row>
    <row r="2949">
      <c r="A2949" s="3">
        <f>IFERROR(__xludf.DUMMYFUNCTION("""COMPUTED_VALUE"""),44634.66666666667)</f>
        <v>44634.66667</v>
      </c>
      <c r="B2949" s="2">
        <f>IFERROR(__xludf.DUMMYFUNCTION("""COMPUTED_VALUE"""),260.2)</f>
        <v>260.2</v>
      </c>
      <c r="C2949" s="2">
        <f>IFERROR(__xludf.DUMMYFUNCTION("""COMPUTED_VALUE"""),266.9)</f>
        <v>266.9</v>
      </c>
      <c r="D2949" s="2">
        <f>IFERROR(__xludf.DUMMYFUNCTION("""COMPUTED_VALUE"""),252.01)</f>
        <v>252.01</v>
      </c>
      <c r="E2949" s="2">
        <f>IFERROR(__xludf.DUMMYFUNCTION("""COMPUTED_VALUE"""),255.46)</f>
        <v>255.46</v>
      </c>
      <c r="F2949" s="2">
        <f>IFERROR(__xludf.DUMMYFUNCTION("""COMPUTED_VALUE"""),2.3717421E7)</f>
        <v>23717421</v>
      </c>
    </row>
    <row r="2950">
      <c r="A2950" s="3">
        <f>IFERROR(__xludf.DUMMYFUNCTION("""COMPUTED_VALUE"""),44635.66666666667)</f>
        <v>44635.66667</v>
      </c>
      <c r="B2950" s="2">
        <f>IFERROR(__xludf.DUMMYFUNCTION("""COMPUTED_VALUE"""),258.42)</f>
        <v>258.42</v>
      </c>
      <c r="C2950" s="2">
        <f>IFERROR(__xludf.DUMMYFUNCTION("""COMPUTED_VALUE"""),268.52)</f>
        <v>268.52</v>
      </c>
      <c r="D2950" s="2">
        <f>IFERROR(__xludf.DUMMYFUNCTION("""COMPUTED_VALUE"""),252.19)</f>
        <v>252.19</v>
      </c>
      <c r="E2950" s="2">
        <f>IFERROR(__xludf.DUMMYFUNCTION("""COMPUTED_VALUE"""),267.3)</f>
        <v>267.3</v>
      </c>
      <c r="F2950" s="2">
        <f>IFERROR(__xludf.DUMMYFUNCTION("""COMPUTED_VALUE"""),2.2280381E7)</f>
        <v>22280381</v>
      </c>
    </row>
    <row r="2951">
      <c r="A2951" s="3">
        <f>IFERROR(__xludf.DUMMYFUNCTION("""COMPUTED_VALUE"""),44636.66666666667)</f>
        <v>44636.66667</v>
      </c>
      <c r="B2951" s="2">
        <f>IFERROR(__xludf.DUMMYFUNCTION("""COMPUTED_VALUE"""),269.67)</f>
        <v>269.67</v>
      </c>
      <c r="C2951" s="2">
        <f>IFERROR(__xludf.DUMMYFUNCTION("""COMPUTED_VALUE"""),280.67)</f>
        <v>280.67</v>
      </c>
      <c r="D2951" s="2">
        <f>IFERROR(__xludf.DUMMYFUNCTION("""COMPUTED_VALUE"""),267.42)</f>
        <v>267.42</v>
      </c>
      <c r="E2951" s="2">
        <f>IFERROR(__xludf.DUMMYFUNCTION("""COMPUTED_VALUE"""),280.08)</f>
        <v>280.08</v>
      </c>
      <c r="F2951" s="2">
        <f>IFERROR(__xludf.DUMMYFUNCTION("""COMPUTED_VALUE"""),2.8009607E7)</f>
        <v>28009607</v>
      </c>
    </row>
    <row r="2952">
      <c r="A2952" s="3">
        <f>IFERROR(__xludf.DUMMYFUNCTION("""COMPUTED_VALUE"""),44637.66666666667)</f>
        <v>44637.66667</v>
      </c>
      <c r="B2952" s="2">
        <f>IFERROR(__xludf.DUMMYFUNCTION("""COMPUTED_VALUE"""),277.0)</f>
        <v>277</v>
      </c>
      <c r="C2952" s="2">
        <f>IFERROR(__xludf.DUMMYFUNCTION("""COMPUTED_VALUE"""),291.67)</f>
        <v>291.67</v>
      </c>
      <c r="D2952" s="2">
        <f>IFERROR(__xludf.DUMMYFUNCTION("""COMPUTED_VALUE"""),275.24)</f>
        <v>275.24</v>
      </c>
      <c r="E2952" s="2">
        <f>IFERROR(__xludf.DUMMYFUNCTION("""COMPUTED_VALUE"""),290.53)</f>
        <v>290.53</v>
      </c>
      <c r="F2952" s="2">
        <f>IFERROR(__xludf.DUMMYFUNCTION("""COMPUTED_VALUE"""),2.2194324E7)</f>
        <v>22194324</v>
      </c>
    </row>
    <row r="2953">
      <c r="A2953" s="3">
        <f>IFERROR(__xludf.DUMMYFUNCTION("""COMPUTED_VALUE"""),44638.66666666667)</f>
        <v>44638.66667</v>
      </c>
      <c r="B2953" s="2">
        <f>IFERROR(__xludf.DUMMYFUNCTION("""COMPUTED_VALUE"""),291.5)</f>
        <v>291.5</v>
      </c>
      <c r="C2953" s="2">
        <f>IFERROR(__xludf.DUMMYFUNCTION("""COMPUTED_VALUE"""),302.62)</f>
        <v>302.62</v>
      </c>
      <c r="D2953" s="2">
        <f>IFERROR(__xludf.DUMMYFUNCTION("""COMPUTED_VALUE"""),289.13)</f>
        <v>289.13</v>
      </c>
      <c r="E2953" s="2">
        <f>IFERROR(__xludf.DUMMYFUNCTION("""COMPUTED_VALUE"""),301.8)</f>
        <v>301.8</v>
      </c>
      <c r="F2953" s="2">
        <f>IFERROR(__xludf.DUMMYFUNCTION("""COMPUTED_VALUE"""),3.3471397E7)</f>
        <v>33471397</v>
      </c>
    </row>
    <row r="2954">
      <c r="A2954" s="3">
        <f>IFERROR(__xludf.DUMMYFUNCTION("""COMPUTED_VALUE"""),44641.66666666667)</f>
        <v>44641.66667</v>
      </c>
      <c r="B2954" s="2">
        <f>IFERROR(__xludf.DUMMYFUNCTION("""COMPUTED_VALUE"""),304.99)</f>
        <v>304.99</v>
      </c>
      <c r="C2954" s="2">
        <f>IFERROR(__xludf.DUMMYFUNCTION("""COMPUTED_VALUE"""),314.28)</f>
        <v>314.28</v>
      </c>
      <c r="D2954" s="2">
        <f>IFERROR(__xludf.DUMMYFUNCTION("""COMPUTED_VALUE"""),302.36)</f>
        <v>302.36</v>
      </c>
      <c r="E2954" s="2">
        <f>IFERROR(__xludf.DUMMYFUNCTION("""COMPUTED_VALUE"""),307.05)</f>
        <v>307.05</v>
      </c>
      <c r="F2954" s="2">
        <f>IFERROR(__xludf.DUMMYFUNCTION("""COMPUTED_VALUE"""),2.7327216E7)</f>
        <v>27327216</v>
      </c>
    </row>
    <row r="2955">
      <c r="A2955" s="3">
        <f>IFERROR(__xludf.DUMMYFUNCTION("""COMPUTED_VALUE"""),44642.66666666667)</f>
        <v>44642.66667</v>
      </c>
      <c r="B2955" s="2">
        <f>IFERROR(__xludf.DUMMYFUNCTION("""COMPUTED_VALUE"""),310.0)</f>
        <v>310</v>
      </c>
      <c r="C2955" s="2">
        <f>IFERROR(__xludf.DUMMYFUNCTION("""COMPUTED_VALUE"""),332.62)</f>
        <v>332.62</v>
      </c>
      <c r="D2955" s="2">
        <f>IFERROR(__xludf.DUMMYFUNCTION("""COMPUTED_VALUE"""),307.25)</f>
        <v>307.25</v>
      </c>
      <c r="E2955" s="2">
        <f>IFERROR(__xludf.DUMMYFUNCTION("""COMPUTED_VALUE"""),331.33)</f>
        <v>331.33</v>
      </c>
      <c r="F2955" s="2">
        <f>IFERROR(__xludf.DUMMYFUNCTION("""COMPUTED_VALUE"""),3.5289519E7)</f>
        <v>35289519</v>
      </c>
    </row>
    <row r="2956">
      <c r="A2956" s="3">
        <f>IFERROR(__xludf.DUMMYFUNCTION("""COMPUTED_VALUE"""),44643.66666666667)</f>
        <v>44643.66667</v>
      </c>
      <c r="B2956" s="2">
        <f>IFERROR(__xludf.DUMMYFUNCTION("""COMPUTED_VALUE"""),326.65)</f>
        <v>326.65</v>
      </c>
      <c r="C2956" s="2">
        <f>IFERROR(__xludf.DUMMYFUNCTION("""COMPUTED_VALUE"""),346.9)</f>
        <v>346.9</v>
      </c>
      <c r="D2956" s="2">
        <f>IFERROR(__xludf.DUMMYFUNCTION("""COMPUTED_VALUE"""),325.47)</f>
        <v>325.47</v>
      </c>
      <c r="E2956" s="2">
        <f>IFERROR(__xludf.DUMMYFUNCTION("""COMPUTED_VALUE"""),333.04)</f>
        <v>333.04</v>
      </c>
      <c r="F2956" s="2">
        <f>IFERROR(__xludf.DUMMYFUNCTION("""COMPUTED_VALUE"""),4.0225383E7)</f>
        <v>40225383</v>
      </c>
    </row>
    <row r="2957">
      <c r="A2957" s="3">
        <f>IFERROR(__xludf.DUMMYFUNCTION("""COMPUTED_VALUE"""),44644.66666666667)</f>
        <v>44644.66667</v>
      </c>
      <c r="B2957" s="2">
        <f>IFERROR(__xludf.DUMMYFUNCTION("""COMPUTED_VALUE"""),336.58)</f>
        <v>336.58</v>
      </c>
      <c r="C2957" s="2">
        <f>IFERROR(__xludf.DUMMYFUNCTION("""COMPUTED_VALUE"""),341.5)</f>
        <v>341.5</v>
      </c>
      <c r="D2957" s="2">
        <f>IFERROR(__xludf.DUMMYFUNCTION("""COMPUTED_VALUE"""),329.6)</f>
        <v>329.6</v>
      </c>
      <c r="E2957" s="2">
        <f>IFERROR(__xludf.DUMMYFUNCTION("""COMPUTED_VALUE"""),337.97)</f>
        <v>337.97</v>
      </c>
      <c r="F2957" s="2">
        <f>IFERROR(__xludf.DUMMYFUNCTION("""COMPUTED_VALUE"""),2.2973626E7)</f>
        <v>22973626</v>
      </c>
    </row>
    <row r="2958">
      <c r="A2958" s="3">
        <f>IFERROR(__xludf.DUMMYFUNCTION("""COMPUTED_VALUE"""),44645.66666666667)</f>
        <v>44645.66667</v>
      </c>
      <c r="B2958" s="2">
        <f>IFERROR(__xludf.DUMMYFUNCTION("""COMPUTED_VALUE"""),336.0)</f>
        <v>336</v>
      </c>
      <c r="C2958" s="2">
        <f>IFERROR(__xludf.DUMMYFUNCTION("""COMPUTED_VALUE"""),340.6)</f>
        <v>340.6</v>
      </c>
      <c r="D2958" s="2">
        <f>IFERROR(__xludf.DUMMYFUNCTION("""COMPUTED_VALUE"""),332.44)</f>
        <v>332.44</v>
      </c>
      <c r="E2958" s="2">
        <f>IFERROR(__xludf.DUMMYFUNCTION("""COMPUTED_VALUE"""),336.88)</f>
        <v>336.88</v>
      </c>
      <c r="F2958" s="2">
        <f>IFERROR(__xludf.DUMMYFUNCTION("""COMPUTED_VALUE"""),2.0677182E7)</f>
        <v>20677182</v>
      </c>
    </row>
    <row r="2959">
      <c r="A2959" s="3">
        <f>IFERROR(__xludf.DUMMYFUNCTION("""COMPUTED_VALUE"""),44648.66666666667)</f>
        <v>44648.66667</v>
      </c>
      <c r="B2959" s="2">
        <f>IFERROR(__xludf.DUMMYFUNCTION("""COMPUTED_VALUE"""),355.03)</f>
        <v>355.03</v>
      </c>
      <c r="C2959" s="2">
        <f>IFERROR(__xludf.DUMMYFUNCTION("""COMPUTED_VALUE"""),365.96)</f>
        <v>365.96</v>
      </c>
      <c r="D2959" s="2">
        <f>IFERROR(__xludf.DUMMYFUNCTION("""COMPUTED_VALUE"""),351.2)</f>
        <v>351.2</v>
      </c>
      <c r="E2959" s="2">
        <f>IFERROR(__xludf.DUMMYFUNCTION("""COMPUTED_VALUE"""),363.95)</f>
        <v>363.95</v>
      </c>
      <c r="F2959" s="2">
        <f>IFERROR(__xludf.DUMMYFUNCTION("""COMPUTED_VALUE"""),3.4168693E7)</f>
        <v>34168693</v>
      </c>
    </row>
    <row r="2960">
      <c r="A2960" s="3">
        <f>IFERROR(__xludf.DUMMYFUNCTION("""COMPUTED_VALUE"""),44649.66666666667)</f>
        <v>44649.66667</v>
      </c>
      <c r="B2960" s="2">
        <f>IFERROR(__xludf.DUMMYFUNCTION("""COMPUTED_VALUE"""),369.33)</f>
        <v>369.33</v>
      </c>
      <c r="C2960" s="2">
        <f>IFERROR(__xludf.DUMMYFUNCTION("""COMPUTED_VALUE"""),371.59)</f>
        <v>371.59</v>
      </c>
      <c r="D2960" s="2">
        <f>IFERROR(__xludf.DUMMYFUNCTION("""COMPUTED_VALUE"""),357.7)</f>
        <v>357.7</v>
      </c>
      <c r="E2960" s="2">
        <f>IFERROR(__xludf.DUMMYFUNCTION("""COMPUTED_VALUE"""),366.52)</f>
        <v>366.52</v>
      </c>
      <c r="F2960" s="2">
        <f>IFERROR(__xludf.DUMMYFUNCTION("""COMPUTED_VALUE"""),2.4538273E7)</f>
        <v>24538273</v>
      </c>
    </row>
    <row r="2961">
      <c r="A2961" s="3">
        <f>IFERROR(__xludf.DUMMYFUNCTION("""COMPUTED_VALUE"""),44650.66666666667)</f>
        <v>44650.66667</v>
      </c>
      <c r="B2961" s="2">
        <f>IFERROR(__xludf.DUMMYFUNCTION("""COMPUTED_VALUE"""),363.72)</f>
        <v>363.72</v>
      </c>
      <c r="C2961" s="2">
        <f>IFERROR(__xludf.DUMMYFUNCTION("""COMPUTED_VALUE"""),371.32)</f>
        <v>371.32</v>
      </c>
      <c r="D2961" s="2">
        <f>IFERROR(__xludf.DUMMYFUNCTION("""COMPUTED_VALUE"""),361.33)</f>
        <v>361.33</v>
      </c>
      <c r="E2961" s="2">
        <f>IFERROR(__xludf.DUMMYFUNCTION("""COMPUTED_VALUE"""),364.66)</f>
        <v>364.66</v>
      </c>
      <c r="F2961" s="2">
        <f>IFERROR(__xludf.DUMMYFUNCTION("""COMPUTED_VALUE"""),1.9955002E7)</f>
        <v>19955002</v>
      </c>
    </row>
    <row r="2962">
      <c r="A2962" s="3">
        <f>IFERROR(__xludf.DUMMYFUNCTION("""COMPUTED_VALUE"""),44651.66666666667)</f>
        <v>44651.66667</v>
      </c>
      <c r="B2962" s="2">
        <f>IFERROR(__xludf.DUMMYFUNCTION("""COMPUTED_VALUE"""),364.86)</f>
        <v>364.86</v>
      </c>
      <c r="C2962" s="2">
        <f>IFERROR(__xludf.DUMMYFUNCTION("""COMPUTED_VALUE"""),367.71)</f>
        <v>367.71</v>
      </c>
      <c r="D2962" s="2">
        <f>IFERROR(__xludf.DUMMYFUNCTION("""COMPUTED_VALUE"""),358.88)</f>
        <v>358.88</v>
      </c>
      <c r="E2962" s="2">
        <f>IFERROR(__xludf.DUMMYFUNCTION("""COMPUTED_VALUE"""),359.2)</f>
        <v>359.2</v>
      </c>
      <c r="F2962" s="2">
        <f>IFERROR(__xludf.DUMMYFUNCTION("""COMPUTED_VALUE"""),1.6330919E7)</f>
        <v>16330919</v>
      </c>
    </row>
    <row r="2963">
      <c r="A2963" s="3">
        <f>IFERROR(__xludf.DUMMYFUNCTION("""COMPUTED_VALUE"""),44652.66666666667)</f>
        <v>44652.66667</v>
      </c>
      <c r="B2963" s="2">
        <f>IFERROR(__xludf.DUMMYFUNCTION("""COMPUTED_VALUE"""),360.38)</f>
        <v>360.38</v>
      </c>
      <c r="C2963" s="2">
        <f>IFERROR(__xludf.DUMMYFUNCTION("""COMPUTED_VALUE"""),364.92)</f>
        <v>364.92</v>
      </c>
      <c r="D2963" s="2">
        <f>IFERROR(__xludf.DUMMYFUNCTION("""COMPUTED_VALUE"""),355.55)</f>
        <v>355.55</v>
      </c>
      <c r="E2963" s="2">
        <f>IFERROR(__xludf.DUMMYFUNCTION("""COMPUTED_VALUE"""),361.53)</f>
        <v>361.53</v>
      </c>
      <c r="F2963" s="2">
        <f>IFERROR(__xludf.DUMMYFUNCTION("""COMPUTED_VALUE"""),1.8087741E7)</f>
        <v>18087741</v>
      </c>
    </row>
    <row r="2964">
      <c r="A2964" s="3">
        <f>IFERROR(__xludf.DUMMYFUNCTION("""COMPUTED_VALUE"""),44655.66666666667)</f>
        <v>44655.66667</v>
      </c>
      <c r="B2964" s="2">
        <f>IFERROR(__xludf.DUMMYFUNCTION("""COMPUTED_VALUE"""),363.13)</f>
        <v>363.13</v>
      </c>
      <c r="C2964" s="2">
        <f>IFERROR(__xludf.DUMMYFUNCTION("""COMPUTED_VALUE"""),383.3)</f>
        <v>383.3</v>
      </c>
      <c r="D2964" s="2">
        <f>IFERROR(__xludf.DUMMYFUNCTION("""COMPUTED_VALUE"""),357.51)</f>
        <v>357.51</v>
      </c>
      <c r="E2964" s="2">
        <f>IFERROR(__xludf.DUMMYFUNCTION("""COMPUTED_VALUE"""),381.82)</f>
        <v>381.82</v>
      </c>
      <c r="F2964" s="2">
        <f>IFERROR(__xludf.DUMMYFUNCTION("""COMPUTED_VALUE"""),2.7392567E7)</f>
        <v>27392567</v>
      </c>
    </row>
    <row r="2965">
      <c r="A2965" s="3">
        <f>IFERROR(__xludf.DUMMYFUNCTION("""COMPUTED_VALUE"""),44656.66666666667)</f>
        <v>44656.66667</v>
      </c>
      <c r="B2965" s="2">
        <f>IFERROR(__xludf.DUMMYFUNCTION("""COMPUTED_VALUE"""),378.77)</f>
        <v>378.77</v>
      </c>
      <c r="C2965" s="2">
        <f>IFERROR(__xludf.DUMMYFUNCTION("""COMPUTED_VALUE"""),384.29)</f>
        <v>384.29</v>
      </c>
      <c r="D2965" s="2">
        <f>IFERROR(__xludf.DUMMYFUNCTION("""COMPUTED_VALUE"""),362.43)</f>
        <v>362.43</v>
      </c>
      <c r="E2965" s="2">
        <f>IFERROR(__xludf.DUMMYFUNCTION("""COMPUTED_VALUE"""),363.75)</f>
        <v>363.75</v>
      </c>
      <c r="F2965" s="2">
        <f>IFERROR(__xludf.DUMMYFUNCTION("""COMPUTED_VALUE"""),2.6691673E7)</f>
        <v>26691673</v>
      </c>
    </row>
    <row r="2966">
      <c r="A2966" s="3">
        <f>IFERROR(__xludf.DUMMYFUNCTION("""COMPUTED_VALUE"""),44657.66666666667)</f>
        <v>44657.66667</v>
      </c>
      <c r="B2966" s="2">
        <f>IFERROR(__xludf.DUMMYFUNCTION("""COMPUTED_VALUE"""),357.82)</f>
        <v>357.82</v>
      </c>
      <c r="C2966" s="2">
        <f>IFERROR(__xludf.DUMMYFUNCTION("""COMPUTED_VALUE"""),359.67)</f>
        <v>359.67</v>
      </c>
      <c r="D2966" s="2">
        <f>IFERROR(__xludf.DUMMYFUNCTION("""COMPUTED_VALUE"""),342.57)</f>
        <v>342.57</v>
      </c>
      <c r="E2966" s="2">
        <f>IFERROR(__xludf.DUMMYFUNCTION("""COMPUTED_VALUE"""),348.59)</f>
        <v>348.59</v>
      </c>
      <c r="F2966" s="2">
        <f>IFERROR(__xludf.DUMMYFUNCTION("""COMPUTED_VALUE"""),2.9782845E7)</f>
        <v>29782845</v>
      </c>
    </row>
    <row r="2967">
      <c r="A2967" s="3">
        <f>IFERROR(__xludf.DUMMYFUNCTION("""COMPUTED_VALUE"""),44658.66666666667)</f>
        <v>44658.66667</v>
      </c>
      <c r="B2967" s="2">
        <f>IFERROR(__xludf.DUMMYFUNCTION("""COMPUTED_VALUE"""),350.8)</f>
        <v>350.8</v>
      </c>
      <c r="C2967" s="2">
        <f>IFERROR(__xludf.DUMMYFUNCTION("""COMPUTED_VALUE"""),358.86)</f>
        <v>358.86</v>
      </c>
      <c r="D2967" s="2">
        <f>IFERROR(__xludf.DUMMYFUNCTION("""COMPUTED_VALUE"""),340.51)</f>
        <v>340.51</v>
      </c>
      <c r="E2967" s="2">
        <f>IFERROR(__xludf.DUMMYFUNCTION("""COMPUTED_VALUE"""),352.42)</f>
        <v>352.42</v>
      </c>
      <c r="F2967" s="2">
        <f>IFERROR(__xludf.DUMMYFUNCTION("""COMPUTED_VALUE"""),2.6482353E7)</f>
        <v>26482353</v>
      </c>
    </row>
    <row r="2968">
      <c r="A2968" s="3">
        <f>IFERROR(__xludf.DUMMYFUNCTION("""COMPUTED_VALUE"""),44659.66666666667)</f>
        <v>44659.66667</v>
      </c>
      <c r="B2968" s="2">
        <f>IFERROR(__xludf.DUMMYFUNCTION("""COMPUTED_VALUE"""),347.74)</f>
        <v>347.74</v>
      </c>
      <c r="C2968" s="2">
        <f>IFERROR(__xludf.DUMMYFUNCTION("""COMPUTED_VALUE"""),349.48)</f>
        <v>349.48</v>
      </c>
      <c r="D2968" s="2">
        <f>IFERROR(__xludf.DUMMYFUNCTION("""COMPUTED_VALUE"""),340.81)</f>
        <v>340.81</v>
      </c>
      <c r="E2968" s="2">
        <f>IFERROR(__xludf.DUMMYFUNCTION("""COMPUTED_VALUE"""),341.83)</f>
        <v>341.83</v>
      </c>
      <c r="F2968" s="2">
        <f>IFERROR(__xludf.DUMMYFUNCTION("""COMPUTED_VALUE"""),1.8337896E7)</f>
        <v>18337896</v>
      </c>
    </row>
    <row r="2969">
      <c r="A2969" s="3">
        <f>IFERROR(__xludf.DUMMYFUNCTION("""COMPUTED_VALUE"""),44662.66666666667)</f>
        <v>44662.66667</v>
      </c>
      <c r="B2969" s="2">
        <f>IFERROR(__xludf.DUMMYFUNCTION("""COMPUTED_VALUE"""),326.8)</f>
        <v>326.8</v>
      </c>
      <c r="C2969" s="2">
        <f>IFERROR(__xludf.DUMMYFUNCTION("""COMPUTED_VALUE"""),336.16)</f>
        <v>336.16</v>
      </c>
      <c r="D2969" s="2">
        <f>IFERROR(__xludf.DUMMYFUNCTION("""COMPUTED_VALUE"""),324.88)</f>
        <v>324.88</v>
      </c>
      <c r="E2969" s="2">
        <f>IFERROR(__xludf.DUMMYFUNCTION("""COMPUTED_VALUE"""),325.31)</f>
        <v>325.31</v>
      </c>
      <c r="F2969" s="2">
        <f>IFERROR(__xludf.DUMMYFUNCTION("""COMPUTED_VALUE"""),1.9785735E7)</f>
        <v>19785735</v>
      </c>
    </row>
    <row r="2970">
      <c r="A2970" s="3">
        <f>IFERROR(__xludf.DUMMYFUNCTION("""COMPUTED_VALUE"""),44663.66666666667)</f>
        <v>44663.66667</v>
      </c>
      <c r="B2970" s="2">
        <f>IFERROR(__xludf.DUMMYFUNCTION("""COMPUTED_VALUE"""),332.55)</f>
        <v>332.55</v>
      </c>
      <c r="C2970" s="2">
        <f>IFERROR(__xludf.DUMMYFUNCTION("""COMPUTED_VALUE"""),340.4)</f>
        <v>340.4</v>
      </c>
      <c r="D2970" s="2">
        <f>IFERROR(__xludf.DUMMYFUNCTION("""COMPUTED_VALUE"""),325.53)</f>
        <v>325.53</v>
      </c>
      <c r="E2970" s="2">
        <f>IFERROR(__xludf.DUMMYFUNCTION("""COMPUTED_VALUE"""),328.98)</f>
        <v>328.98</v>
      </c>
      <c r="F2970" s="2">
        <f>IFERROR(__xludf.DUMMYFUNCTION("""COMPUTED_VALUE"""),2.1992032E7)</f>
        <v>21992032</v>
      </c>
    </row>
    <row r="2971">
      <c r="A2971" s="3">
        <f>IFERROR(__xludf.DUMMYFUNCTION("""COMPUTED_VALUE"""),44664.66666666667)</f>
        <v>44664.66667</v>
      </c>
      <c r="B2971" s="2">
        <f>IFERROR(__xludf.DUMMYFUNCTION("""COMPUTED_VALUE"""),327.02)</f>
        <v>327.02</v>
      </c>
      <c r="C2971" s="2">
        <f>IFERROR(__xludf.DUMMYFUNCTION("""COMPUTED_VALUE"""),342.08)</f>
        <v>342.08</v>
      </c>
      <c r="D2971" s="2">
        <f>IFERROR(__xludf.DUMMYFUNCTION("""COMPUTED_VALUE"""),324.37)</f>
        <v>324.37</v>
      </c>
      <c r="E2971" s="2">
        <f>IFERROR(__xludf.DUMMYFUNCTION("""COMPUTED_VALUE"""),340.79)</f>
        <v>340.79</v>
      </c>
      <c r="F2971" s="2">
        <f>IFERROR(__xludf.DUMMYFUNCTION("""COMPUTED_VALUE"""),1.8373737E7)</f>
        <v>18373737</v>
      </c>
    </row>
    <row r="2972">
      <c r="A2972" s="3">
        <f>IFERROR(__xludf.DUMMYFUNCTION("""COMPUTED_VALUE"""),44665.66666666667)</f>
        <v>44665.66667</v>
      </c>
      <c r="B2972" s="2">
        <f>IFERROR(__xludf.DUMMYFUNCTION("""COMPUTED_VALUE"""),333.1)</f>
        <v>333.1</v>
      </c>
      <c r="C2972" s="2">
        <f>IFERROR(__xludf.DUMMYFUNCTION("""COMPUTED_VALUE"""),337.57)</f>
        <v>337.57</v>
      </c>
      <c r="D2972" s="2">
        <f>IFERROR(__xludf.DUMMYFUNCTION("""COMPUTED_VALUE"""),327.4)</f>
        <v>327.4</v>
      </c>
      <c r="E2972" s="2">
        <f>IFERROR(__xludf.DUMMYFUNCTION("""COMPUTED_VALUE"""),328.33)</f>
        <v>328.33</v>
      </c>
      <c r="F2972" s="2">
        <f>IFERROR(__xludf.DUMMYFUNCTION("""COMPUTED_VALUE"""),1.9474135E7)</f>
        <v>19474135</v>
      </c>
    </row>
    <row r="2973">
      <c r="A2973" s="3">
        <f>IFERROR(__xludf.DUMMYFUNCTION("""COMPUTED_VALUE"""),44669.66666666667)</f>
        <v>44669.66667</v>
      </c>
      <c r="B2973" s="2">
        <f>IFERROR(__xludf.DUMMYFUNCTION("""COMPUTED_VALUE"""),329.68)</f>
        <v>329.68</v>
      </c>
      <c r="C2973" s="2">
        <f>IFERROR(__xludf.DUMMYFUNCTION("""COMPUTED_VALUE"""),338.31)</f>
        <v>338.31</v>
      </c>
      <c r="D2973" s="2">
        <f>IFERROR(__xludf.DUMMYFUNCTION("""COMPUTED_VALUE"""),324.47)</f>
        <v>324.47</v>
      </c>
      <c r="E2973" s="2">
        <f>IFERROR(__xludf.DUMMYFUNCTION("""COMPUTED_VALUE"""),334.76)</f>
        <v>334.76</v>
      </c>
      <c r="F2973" s="2">
        <f>IFERROR(__xludf.DUMMYFUNCTION("""COMPUTED_VALUE"""),1.7238407E7)</f>
        <v>17238407</v>
      </c>
    </row>
    <row r="2974">
      <c r="A2974" s="3">
        <f>IFERROR(__xludf.DUMMYFUNCTION("""COMPUTED_VALUE"""),44670.66666666667)</f>
        <v>44670.66667</v>
      </c>
      <c r="B2974" s="2">
        <f>IFERROR(__xludf.DUMMYFUNCTION("""COMPUTED_VALUE"""),335.02)</f>
        <v>335.02</v>
      </c>
      <c r="C2974" s="2">
        <f>IFERROR(__xludf.DUMMYFUNCTION("""COMPUTED_VALUE"""),344.98)</f>
        <v>344.98</v>
      </c>
      <c r="D2974" s="2">
        <f>IFERROR(__xludf.DUMMYFUNCTION("""COMPUTED_VALUE"""),331.78)</f>
        <v>331.78</v>
      </c>
      <c r="E2974" s="2">
        <f>IFERROR(__xludf.DUMMYFUNCTION("""COMPUTED_VALUE"""),342.72)</f>
        <v>342.72</v>
      </c>
      <c r="F2974" s="2">
        <f>IFERROR(__xludf.DUMMYFUNCTION("""COMPUTED_VALUE"""),1.6615944E7)</f>
        <v>16615944</v>
      </c>
    </row>
    <row r="2975">
      <c r="A2975" s="3">
        <f>IFERROR(__xludf.DUMMYFUNCTION("""COMPUTED_VALUE"""),44671.66666666667)</f>
        <v>44671.66667</v>
      </c>
      <c r="B2975" s="2">
        <f>IFERROR(__xludf.DUMMYFUNCTION("""COMPUTED_VALUE"""),343.33)</f>
        <v>343.33</v>
      </c>
      <c r="C2975" s="2">
        <f>IFERROR(__xludf.DUMMYFUNCTION("""COMPUTED_VALUE"""),344.67)</f>
        <v>344.67</v>
      </c>
      <c r="D2975" s="2">
        <f>IFERROR(__xludf.DUMMYFUNCTION("""COMPUTED_VALUE"""),325.08)</f>
        <v>325.08</v>
      </c>
      <c r="E2975" s="2">
        <f>IFERROR(__xludf.DUMMYFUNCTION("""COMPUTED_VALUE"""),325.73)</f>
        <v>325.73</v>
      </c>
      <c r="F2975" s="2">
        <f>IFERROR(__xludf.DUMMYFUNCTION("""COMPUTED_VALUE"""),2.3570442E7)</f>
        <v>23570442</v>
      </c>
    </row>
    <row r="2976">
      <c r="A2976" s="3">
        <f>IFERROR(__xludf.DUMMYFUNCTION("""COMPUTED_VALUE"""),44672.66666666667)</f>
        <v>44672.66667</v>
      </c>
      <c r="B2976" s="2">
        <f>IFERROR(__xludf.DUMMYFUNCTION("""COMPUTED_VALUE"""),358.24)</f>
        <v>358.24</v>
      </c>
      <c r="C2976" s="2">
        <f>IFERROR(__xludf.DUMMYFUNCTION("""COMPUTED_VALUE"""),364.07)</f>
        <v>364.07</v>
      </c>
      <c r="D2976" s="2">
        <f>IFERROR(__xludf.DUMMYFUNCTION("""COMPUTED_VALUE"""),332.14)</f>
        <v>332.14</v>
      </c>
      <c r="E2976" s="2">
        <f>IFERROR(__xludf.DUMMYFUNCTION("""COMPUTED_VALUE"""),336.26)</f>
        <v>336.26</v>
      </c>
      <c r="F2976" s="2">
        <f>IFERROR(__xludf.DUMMYFUNCTION("""COMPUTED_VALUE"""),3.5138779E7)</f>
        <v>35138779</v>
      </c>
    </row>
    <row r="2977">
      <c r="A2977" s="3">
        <f>IFERROR(__xludf.DUMMYFUNCTION("""COMPUTED_VALUE"""),44673.66666666667)</f>
        <v>44673.66667</v>
      </c>
      <c r="B2977" s="2">
        <f>IFERROR(__xludf.DUMMYFUNCTION("""COMPUTED_VALUE"""),338.3)</f>
        <v>338.3</v>
      </c>
      <c r="C2977" s="2">
        <f>IFERROR(__xludf.DUMMYFUNCTION("""COMPUTED_VALUE"""),344.95)</f>
        <v>344.95</v>
      </c>
      <c r="D2977" s="2">
        <f>IFERROR(__xludf.DUMMYFUNCTION("""COMPUTED_VALUE"""),331.33)</f>
        <v>331.33</v>
      </c>
      <c r="E2977" s="2">
        <f>IFERROR(__xludf.DUMMYFUNCTION("""COMPUTED_VALUE"""),335.02)</f>
        <v>335.02</v>
      </c>
      <c r="F2977" s="2">
        <f>IFERROR(__xludf.DUMMYFUNCTION("""COMPUTED_VALUE"""),2.3232186E7)</f>
        <v>23232186</v>
      </c>
    </row>
    <row r="2978">
      <c r="A2978" s="3">
        <f>IFERROR(__xludf.DUMMYFUNCTION("""COMPUTED_VALUE"""),44676.66666666667)</f>
        <v>44676.66667</v>
      </c>
      <c r="B2978" s="2">
        <f>IFERROR(__xludf.DUMMYFUNCTION("""COMPUTED_VALUE"""),326.32)</f>
        <v>326.32</v>
      </c>
      <c r="C2978" s="2">
        <f>IFERROR(__xludf.DUMMYFUNCTION("""COMPUTED_VALUE"""),336.21)</f>
        <v>336.21</v>
      </c>
      <c r="D2978" s="2">
        <f>IFERROR(__xludf.DUMMYFUNCTION("""COMPUTED_VALUE"""),325.1)</f>
        <v>325.1</v>
      </c>
      <c r="E2978" s="2">
        <f>IFERROR(__xludf.DUMMYFUNCTION("""COMPUTED_VALUE"""),332.67)</f>
        <v>332.67</v>
      </c>
      <c r="F2978" s="2">
        <f>IFERROR(__xludf.DUMMYFUNCTION("""COMPUTED_VALUE"""),2.2780445E7)</f>
        <v>22780445</v>
      </c>
    </row>
    <row r="2979">
      <c r="A2979" s="3">
        <f>IFERROR(__xludf.DUMMYFUNCTION("""COMPUTED_VALUE"""),44677.66666666667)</f>
        <v>44677.66667</v>
      </c>
      <c r="B2979" s="2">
        <f>IFERROR(__xludf.DUMMYFUNCTION("""COMPUTED_VALUE"""),331.81)</f>
        <v>331.81</v>
      </c>
      <c r="C2979" s="2">
        <f>IFERROR(__xludf.DUMMYFUNCTION("""COMPUTED_VALUE"""),333.33)</f>
        <v>333.33</v>
      </c>
      <c r="D2979" s="2">
        <f>IFERROR(__xludf.DUMMYFUNCTION("""COMPUTED_VALUE"""),291.67)</f>
        <v>291.67</v>
      </c>
      <c r="E2979" s="2">
        <f>IFERROR(__xludf.DUMMYFUNCTION("""COMPUTED_VALUE"""),292.14)</f>
        <v>292.14</v>
      </c>
      <c r="F2979" s="2">
        <f>IFERROR(__xludf.DUMMYFUNCTION("""COMPUTED_VALUE"""),4.5377889E7)</f>
        <v>45377889</v>
      </c>
    </row>
    <row r="2980">
      <c r="A2980" s="3">
        <f>IFERROR(__xludf.DUMMYFUNCTION("""COMPUTED_VALUE"""),44678.66666666667)</f>
        <v>44678.66667</v>
      </c>
      <c r="B2980" s="2">
        <f>IFERROR(__xludf.DUMMYFUNCTION("""COMPUTED_VALUE"""),299.53)</f>
        <v>299.53</v>
      </c>
      <c r="C2980" s="2">
        <f>IFERROR(__xludf.DUMMYFUNCTION("""COMPUTED_VALUE"""),306.0)</f>
        <v>306</v>
      </c>
      <c r="D2980" s="2">
        <f>IFERROR(__xludf.DUMMYFUNCTION("""COMPUTED_VALUE"""),292.45)</f>
        <v>292.45</v>
      </c>
      <c r="E2980" s="2">
        <f>IFERROR(__xludf.DUMMYFUNCTION("""COMPUTED_VALUE"""),293.84)</f>
        <v>293.84</v>
      </c>
      <c r="F2980" s="2">
        <f>IFERROR(__xludf.DUMMYFUNCTION("""COMPUTED_VALUE"""),2.5652132E7)</f>
        <v>25652132</v>
      </c>
    </row>
    <row r="2981">
      <c r="A2981" s="3">
        <f>IFERROR(__xludf.DUMMYFUNCTION("""COMPUTED_VALUE"""),44679.66666666667)</f>
        <v>44679.66667</v>
      </c>
      <c r="B2981" s="2">
        <f>IFERROR(__xludf.DUMMYFUNCTION("""COMPUTED_VALUE"""),299.99)</f>
        <v>299.99</v>
      </c>
      <c r="C2981" s="2">
        <f>IFERROR(__xludf.DUMMYFUNCTION("""COMPUTED_VALUE"""),300.0)</f>
        <v>300</v>
      </c>
      <c r="D2981" s="2">
        <f>IFERROR(__xludf.DUMMYFUNCTION("""COMPUTED_VALUE"""),273.9)</f>
        <v>273.9</v>
      </c>
      <c r="E2981" s="2">
        <f>IFERROR(__xludf.DUMMYFUNCTION("""COMPUTED_VALUE"""),292.5)</f>
        <v>292.5</v>
      </c>
      <c r="F2981" s="2">
        <f>IFERROR(__xludf.DUMMYFUNCTION("""COMPUTED_VALUE"""),4.1649509E7)</f>
        <v>41649509</v>
      </c>
    </row>
    <row r="2982">
      <c r="A2982" s="3">
        <f>IFERROR(__xludf.DUMMYFUNCTION("""COMPUTED_VALUE"""),44680.66666666667)</f>
        <v>44680.66667</v>
      </c>
      <c r="B2982" s="2">
        <f>IFERROR(__xludf.DUMMYFUNCTION("""COMPUTED_VALUE"""),300.75)</f>
        <v>300.75</v>
      </c>
      <c r="C2982" s="2">
        <f>IFERROR(__xludf.DUMMYFUNCTION("""COMPUTED_VALUE"""),311.47)</f>
        <v>311.47</v>
      </c>
      <c r="D2982" s="2">
        <f>IFERROR(__xludf.DUMMYFUNCTION("""COMPUTED_VALUE"""),290.0)</f>
        <v>290</v>
      </c>
      <c r="E2982" s="2">
        <f>IFERROR(__xludf.DUMMYFUNCTION("""COMPUTED_VALUE"""),290.25)</f>
        <v>290.25</v>
      </c>
      <c r="F2982" s="2">
        <f>IFERROR(__xludf.DUMMYFUNCTION("""COMPUTED_VALUE"""),2.9377665E7)</f>
        <v>29377665</v>
      </c>
    </row>
    <row r="2983">
      <c r="A2983" s="3">
        <f>IFERROR(__xludf.DUMMYFUNCTION("""COMPUTED_VALUE"""),44683.66666666667)</f>
        <v>44683.66667</v>
      </c>
      <c r="B2983" s="2">
        <f>IFERROR(__xludf.DUMMYFUNCTION("""COMPUTED_VALUE"""),286.92)</f>
        <v>286.92</v>
      </c>
      <c r="C2983" s="2">
        <f>IFERROR(__xludf.DUMMYFUNCTION("""COMPUTED_VALUE"""),302.12)</f>
        <v>302.12</v>
      </c>
      <c r="D2983" s="2">
        <f>IFERROR(__xludf.DUMMYFUNCTION("""COMPUTED_VALUE"""),282.68)</f>
        <v>282.68</v>
      </c>
      <c r="E2983" s="2">
        <f>IFERROR(__xludf.DUMMYFUNCTION("""COMPUTED_VALUE"""),300.98)</f>
        <v>300.98</v>
      </c>
      <c r="F2983" s="2">
        <f>IFERROR(__xludf.DUMMYFUNCTION("""COMPUTED_VALUE"""),2.5260457E7)</f>
        <v>25260457</v>
      </c>
    </row>
    <row r="2984">
      <c r="A2984" s="3">
        <f>IFERROR(__xludf.DUMMYFUNCTION("""COMPUTED_VALUE"""),44684.66666666667)</f>
        <v>44684.66667</v>
      </c>
      <c r="B2984" s="2">
        <f>IFERROR(__xludf.DUMMYFUNCTION("""COMPUTED_VALUE"""),301.06)</f>
        <v>301.06</v>
      </c>
      <c r="C2984" s="2">
        <f>IFERROR(__xludf.DUMMYFUNCTION("""COMPUTED_VALUE"""),308.03)</f>
        <v>308.03</v>
      </c>
      <c r="D2984" s="2">
        <f>IFERROR(__xludf.DUMMYFUNCTION("""COMPUTED_VALUE"""),296.2)</f>
        <v>296.2</v>
      </c>
      <c r="E2984" s="2">
        <f>IFERROR(__xludf.DUMMYFUNCTION("""COMPUTED_VALUE"""),303.08)</f>
        <v>303.08</v>
      </c>
      <c r="F2984" s="2">
        <f>IFERROR(__xludf.DUMMYFUNCTION("""COMPUTED_VALUE"""),2.1236525E7)</f>
        <v>21236525</v>
      </c>
    </row>
    <row r="2985">
      <c r="A2985" s="3">
        <f>IFERROR(__xludf.DUMMYFUNCTION("""COMPUTED_VALUE"""),44685.66666666667)</f>
        <v>44685.66667</v>
      </c>
      <c r="B2985" s="2">
        <f>IFERROR(__xludf.DUMMYFUNCTION("""COMPUTED_VALUE"""),301.31)</f>
        <v>301.31</v>
      </c>
      <c r="C2985" s="2">
        <f>IFERROR(__xludf.DUMMYFUNCTION("""COMPUTED_VALUE"""),318.5)</f>
        <v>318.5</v>
      </c>
      <c r="D2985" s="2">
        <f>IFERROR(__xludf.DUMMYFUNCTION("""COMPUTED_VALUE"""),295.09)</f>
        <v>295.09</v>
      </c>
      <c r="E2985" s="2">
        <f>IFERROR(__xludf.DUMMYFUNCTION("""COMPUTED_VALUE"""),317.54)</f>
        <v>317.54</v>
      </c>
      <c r="F2985" s="2">
        <f>IFERROR(__xludf.DUMMYFUNCTION("""COMPUTED_VALUE"""),2.7214568E7)</f>
        <v>27214568</v>
      </c>
    </row>
    <row r="2986">
      <c r="A2986" s="3">
        <f>IFERROR(__xludf.DUMMYFUNCTION("""COMPUTED_VALUE"""),44686.66666666667)</f>
        <v>44686.66667</v>
      </c>
      <c r="B2986" s="2">
        <f>IFERROR(__xludf.DUMMYFUNCTION("""COMPUTED_VALUE"""),313.07)</f>
        <v>313.07</v>
      </c>
      <c r="C2986" s="2">
        <f>IFERROR(__xludf.DUMMYFUNCTION("""COMPUTED_VALUE"""),315.2)</f>
        <v>315.2</v>
      </c>
      <c r="D2986" s="2">
        <f>IFERROR(__xludf.DUMMYFUNCTION("""COMPUTED_VALUE"""),285.9)</f>
        <v>285.9</v>
      </c>
      <c r="E2986" s="2">
        <f>IFERROR(__xludf.DUMMYFUNCTION("""COMPUTED_VALUE"""),291.09)</f>
        <v>291.09</v>
      </c>
      <c r="F2986" s="2">
        <f>IFERROR(__xludf.DUMMYFUNCTION("""COMPUTED_VALUE"""),3.0839731E7)</f>
        <v>30839731</v>
      </c>
    </row>
    <row r="2987">
      <c r="A2987" s="3">
        <f>IFERROR(__xludf.DUMMYFUNCTION("""COMPUTED_VALUE"""),44687.66666666667)</f>
        <v>44687.66667</v>
      </c>
      <c r="B2987" s="2">
        <f>IFERROR(__xludf.DUMMYFUNCTION("""COMPUTED_VALUE"""),295.67)</f>
        <v>295.67</v>
      </c>
      <c r="C2987" s="2">
        <f>IFERROR(__xludf.DUMMYFUNCTION("""COMPUTED_VALUE"""),296.0)</f>
        <v>296</v>
      </c>
      <c r="D2987" s="2">
        <f>IFERROR(__xludf.DUMMYFUNCTION("""COMPUTED_VALUE"""),281.04)</f>
        <v>281.04</v>
      </c>
      <c r="E2987" s="2">
        <f>IFERROR(__xludf.DUMMYFUNCTION("""COMPUTED_VALUE"""),288.55)</f>
        <v>288.55</v>
      </c>
      <c r="F2987" s="2">
        <f>IFERROR(__xludf.DUMMYFUNCTION("""COMPUTED_VALUE"""),2.4301037E7)</f>
        <v>24301037</v>
      </c>
    </row>
    <row r="2988">
      <c r="A2988" s="3">
        <f>IFERROR(__xludf.DUMMYFUNCTION("""COMPUTED_VALUE"""),44690.66666666667)</f>
        <v>44690.66667</v>
      </c>
      <c r="B2988" s="2">
        <f>IFERROR(__xludf.DUMMYFUNCTION("""COMPUTED_VALUE"""),278.82)</f>
        <v>278.82</v>
      </c>
      <c r="C2988" s="2">
        <f>IFERROR(__xludf.DUMMYFUNCTION("""COMPUTED_VALUE"""),281.88)</f>
        <v>281.88</v>
      </c>
      <c r="D2988" s="2">
        <f>IFERROR(__xludf.DUMMYFUNCTION("""COMPUTED_VALUE"""),260.38)</f>
        <v>260.38</v>
      </c>
      <c r="E2988" s="2">
        <f>IFERROR(__xludf.DUMMYFUNCTION("""COMPUTED_VALUE"""),262.37)</f>
        <v>262.37</v>
      </c>
      <c r="F2988" s="2">
        <f>IFERROR(__xludf.DUMMYFUNCTION("""COMPUTED_VALUE"""),3.0270074E7)</f>
        <v>30270074</v>
      </c>
    </row>
    <row r="2989">
      <c r="A2989" s="3">
        <f>IFERROR(__xludf.DUMMYFUNCTION("""COMPUTED_VALUE"""),44691.66666666667)</f>
        <v>44691.66667</v>
      </c>
      <c r="B2989" s="2">
        <f>IFERROR(__xludf.DUMMYFUNCTION("""COMPUTED_VALUE"""),273.1)</f>
        <v>273.1</v>
      </c>
      <c r="C2989" s="2">
        <f>IFERROR(__xludf.DUMMYFUNCTION("""COMPUTED_VALUE"""),275.12)</f>
        <v>275.12</v>
      </c>
      <c r="D2989" s="2">
        <f>IFERROR(__xludf.DUMMYFUNCTION("""COMPUTED_VALUE"""),258.08)</f>
        <v>258.08</v>
      </c>
      <c r="E2989" s="2">
        <f>IFERROR(__xludf.DUMMYFUNCTION("""COMPUTED_VALUE"""),266.68)</f>
        <v>266.68</v>
      </c>
      <c r="F2989" s="2">
        <f>IFERROR(__xludf.DUMMYFUNCTION("""COMPUTED_VALUE"""),2.8133877E7)</f>
        <v>28133877</v>
      </c>
    </row>
    <row r="2990">
      <c r="A2990" s="3">
        <f>IFERROR(__xludf.DUMMYFUNCTION("""COMPUTED_VALUE"""),44692.66666666667)</f>
        <v>44692.66667</v>
      </c>
      <c r="B2990" s="2">
        <f>IFERROR(__xludf.DUMMYFUNCTION("""COMPUTED_VALUE"""),265.0)</f>
        <v>265</v>
      </c>
      <c r="C2990" s="2">
        <f>IFERROR(__xludf.DUMMYFUNCTION("""COMPUTED_VALUE"""),269.92)</f>
        <v>269.92</v>
      </c>
      <c r="D2990" s="2">
        <f>IFERROR(__xludf.DUMMYFUNCTION("""COMPUTED_VALUE"""),242.4)</f>
        <v>242.4</v>
      </c>
      <c r="E2990" s="2">
        <f>IFERROR(__xludf.DUMMYFUNCTION("""COMPUTED_VALUE"""),244.67)</f>
        <v>244.67</v>
      </c>
      <c r="F2990" s="2">
        <f>IFERROR(__xludf.DUMMYFUNCTION("""COMPUTED_VALUE"""),3.2408153E7)</f>
        <v>32408153</v>
      </c>
    </row>
    <row r="2991">
      <c r="A2991" s="3">
        <f>IFERROR(__xludf.DUMMYFUNCTION("""COMPUTED_VALUE"""),44693.66666666667)</f>
        <v>44693.66667</v>
      </c>
      <c r="B2991" s="2">
        <f>IFERROR(__xludf.DUMMYFUNCTION("""COMPUTED_VALUE"""),233.67)</f>
        <v>233.67</v>
      </c>
      <c r="C2991" s="2">
        <f>IFERROR(__xludf.DUMMYFUNCTION("""COMPUTED_VALUE"""),253.22)</f>
        <v>253.22</v>
      </c>
      <c r="D2991" s="2">
        <f>IFERROR(__xludf.DUMMYFUNCTION("""COMPUTED_VALUE"""),226.67)</f>
        <v>226.67</v>
      </c>
      <c r="E2991" s="2">
        <f>IFERROR(__xludf.DUMMYFUNCTION("""COMPUTED_VALUE"""),242.67)</f>
        <v>242.67</v>
      </c>
      <c r="F2991" s="2">
        <f>IFERROR(__xludf.DUMMYFUNCTION("""COMPUTED_VALUE"""),4.6770954E7)</f>
        <v>46770954</v>
      </c>
    </row>
    <row r="2992">
      <c r="A2992" s="3">
        <f>IFERROR(__xludf.DUMMYFUNCTION("""COMPUTED_VALUE"""),44694.66666666667)</f>
        <v>44694.66667</v>
      </c>
      <c r="B2992" s="2">
        <f>IFERROR(__xludf.DUMMYFUNCTION("""COMPUTED_VALUE"""),257.83)</f>
        <v>257.83</v>
      </c>
      <c r="C2992" s="2">
        <f>IFERROR(__xludf.DUMMYFUNCTION("""COMPUTED_VALUE"""),262.45)</f>
        <v>262.45</v>
      </c>
      <c r="D2992" s="2">
        <f>IFERROR(__xludf.DUMMYFUNCTION("""COMPUTED_VALUE"""),250.52)</f>
        <v>250.52</v>
      </c>
      <c r="E2992" s="2">
        <f>IFERROR(__xludf.DUMMYFUNCTION("""COMPUTED_VALUE"""),256.53)</f>
        <v>256.53</v>
      </c>
      <c r="F2992" s="2">
        <f>IFERROR(__xludf.DUMMYFUNCTION("""COMPUTED_VALUE"""),3.0716908E7)</f>
        <v>30716908</v>
      </c>
    </row>
    <row r="2993">
      <c r="A2993" s="3">
        <f>IFERROR(__xludf.DUMMYFUNCTION("""COMPUTED_VALUE"""),44697.66666666667)</f>
        <v>44697.66667</v>
      </c>
      <c r="B2993" s="2">
        <f>IFERROR(__xludf.DUMMYFUNCTION("""COMPUTED_VALUE"""),255.72)</f>
        <v>255.72</v>
      </c>
      <c r="C2993" s="2">
        <f>IFERROR(__xludf.DUMMYFUNCTION("""COMPUTED_VALUE"""),256.59)</f>
        <v>256.59</v>
      </c>
      <c r="D2993" s="2">
        <f>IFERROR(__xludf.DUMMYFUNCTION("""COMPUTED_VALUE"""),239.7)</f>
        <v>239.7</v>
      </c>
      <c r="E2993" s="2">
        <f>IFERROR(__xludf.DUMMYFUNCTION("""COMPUTED_VALUE"""),241.46)</f>
        <v>241.46</v>
      </c>
      <c r="F2993" s="2">
        <f>IFERROR(__xludf.DUMMYFUNCTION("""COMPUTED_VALUE"""),2.8699513E7)</f>
        <v>28699513</v>
      </c>
    </row>
    <row r="2994">
      <c r="A2994" s="3">
        <f>IFERROR(__xludf.DUMMYFUNCTION("""COMPUTED_VALUE"""),44698.66666666667)</f>
        <v>44698.66667</v>
      </c>
      <c r="B2994" s="2">
        <f>IFERROR(__xludf.DUMMYFUNCTION("""COMPUTED_VALUE"""),249.12)</f>
        <v>249.12</v>
      </c>
      <c r="C2994" s="2">
        <f>IFERROR(__xludf.DUMMYFUNCTION("""COMPUTED_VALUE"""),254.83)</f>
        <v>254.83</v>
      </c>
      <c r="D2994" s="2">
        <f>IFERROR(__xludf.DUMMYFUNCTION("""COMPUTED_VALUE"""),242.95)</f>
        <v>242.95</v>
      </c>
      <c r="E2994" s="2">
        <f>IFERROR(__xludf.DUMMYFUNCTION("""COMPUTED_VALUE"""),253.87)</f>
        <v>253.87</v>
      </c>
      <c r="F2994" s="2">
        <f>IFERROR(__xludf.DUMMYFUNCTION("""COMPUTED_VALUE"""),2.674537E7)</f>
        <v>26745370</v>
      </c>
    </row>
    <row r="2995">
      <c r="A2995" s="3">
        <f>IFERROR(__xludf.DUMMYFUNCTION("""COMPUTED_VALUE"""),44699.66666666667)</f>
        <v>44699.66667</v>
      </c>
      <c r="B2995" s="2">
        <f>IFERROR(__xludf.DUMMYFUNCTION("""COMPUTED_VALUE"""),248.17)</f>
        <v>248.17</v>
      </c>
      <c r="C2995" s="2">
        <f>IFERROR(__xludf.DUMMYFUNCTION("""COMPUTED_VALUE"""),253.5)</f>
        <v>253.5</v>
      </c>
      <c r="D2995" s="2">
        <f>IFERROR(__xludf.DUMMYFUNCTION("""COMPUTED_VALUE"""),233.6)</f>
        <v>233.6</v>
      </c>
      <c r="E2995" s="2">
        <f>IFERROR(__xludf.DUMMYFUNCTION("""COMPUTED_VALUE"""),236.6)</f>
        <v>236.6</v>
      </c>
      <c r="F2995" s="2">
        <f>IFERROR(__xludf.DUMMYFUNCTION("""COMPUTED_VALUE"""),2.9270604E7)</f>
        <v>29270604</v>
      </c>
    </row>
    <row r="2996">
      <c r="A2996" s="3">
        <f>IFERROR(__xludf.DUMMYFUNCTION("""COMPUTED_VALUE"""),44700.66666666667)</f>
        <v>44700.66667</v>
      </c>
      <c r="B2996" s="2">
        <f>IFERROR(__xludf.DUMMYFUNCTION("""COMPUTED_VALUE"""),235.67)</f>
        <v>235.67</v>
      </c>
      <c r="C2996" s="2">
        <f>IFERROR(__xludf.DUMMYFUNCTION("""COMPUTED_VALUE"""),244.67)</f>
        <v>244.67</v>
      </c>
      <c r="D2996" s="2">
        <f>IFERROR(__xludf.DUMMYFUNCTION("""COMPUTED_VALUE"""),231.37)</f>
        <v>231.37</v>
      </c>
      <c r="E2996" s="2">
        <f>IFERROR(__xludf.DUMMYFUNCTION("""COMPUTED_VALUE"""),236.47)</f>
        <v>236.47</v>
      </c>
      <c r="F2996" s="2">
        <f>IFERROR(__xludf.DUMMYFUNCTION("""COMPUTED_VALUE"""),3.0098891E7)</f>
        <v>30098891</v>
      </c>
    </row>
    <row r="2997">
      <c r="A2997" s="3">
        <f>IFERROR(__xludf.DUMMYFUNCTION("""COMPUTED_VALUE"""),44701.66666666667)</f>
        <v>44701.66667</v>
      </c>
      <c r="B2997" s="2">
        <f>IFERROR(__xludf.DUMMYFUNCTION("""COMPUTED_VALUE"""),238.0)</f>
        <v>238</v>
      </c>
      <c r="C2997" s="2">
        <f>IFERROR(__xludf.DUMMYFUNCTION("""COMPUTED_VALUE"""),240.53)</f>
        <v>240.53</v>
      </c>
      <c r="D2997" s="2">
        <f>IFERROR(__xludf.DUMMYFUNCTION("""COMPUTED_VALUE"""),211.0)</f>
        <v>211</v>
      </c>
      <c r="E2997" s="2">
        <f>IFERROR(__xludf.DUMMYFUNCTION("""COMPUTED_VALUE"""),221.3)</f>
        <v>221.3</v>
      </c>
      <c r="F2997" s="2">
        <f>IFERROR(__xludf.DUMMYFUNCTION("""COMPUTED_VALUE"""),4.8324435E7)</f>
        <v>48324435</v>
      </c>
    </row>
    <row r="2998">
      <c r="A2998" s="3">
        <f>IFERROR(__xludf.DUMMYFUNCTION("""COMPUTED_VALUE"""),44704.66666666667)</f>
        <v>44704.66667</v>
      </c>
      <c r="B2998" s="2">
        <f>IFERROR(__xludf.DUMMYFUNCTION("""COMPUTED_VALUE"""),218.34)</f>
        <v>218.34</v>
      </c>
      <c r="C2998" s="2">
        <f>IFERROR(__xludf.DUMMYFUNCTION("""COMPUTED_VALUE"""),226.65)</f>
        <v>226.65</v>
      </c>
      <c r="D2998" s="2">
        <f>IFERROR(__xludf.DUMMYFUNCTION("""COMPUTED_VALUE"""),212.69)</f>
        <v>212.69</v>
      </c>
      <c r="E2998" s="2">
        <f>IFERROR(__xludf.DUMMYFUNCTION("""COMPUTED_VALUE"""),224.97)</f>
        <v>224.97</v>
      </c>
      <c r="F2998" s="2">
        <f>IFERROR(__xludf.DUMMYFUNCTION("""COMPUTED_VALUE"""),2.9634546E7)</f>
        <v>29634546</v>
      </c>
    </row>
    <row r="2999">
      <c r="A2999" s="3">
        <f>IFERROR(__xludf.DUMMYFUNCTION("""COMPUTED_VALUE"""),44705.66666666667)</f>
        <v>44705.66667</v>
      </c>
      <c r="B2999" s="2">
        <f>IFERROR(__xludf.DUMMYFUNCTION("""COMPUTED_VALUE"""),217.84)</f>
        <v>217.84</v>
      </c>
      <c r="C2999" s="2">
        <f>IFERROR(__xludf.DUMMYFUNCTION("""COMPUTED_VALUE"""),217.97)</f>
        <v>217.97</v>
      </c>
      <c r="D2999" s="2">
        <f>IFERROR(__xludf.DUMMYFUNCTION("""COMPUTED_VALUE"""),206.86)</f>
        <v>206.86</v>
      </c>
      <c r="E2999" s="2">
        <f>IFERROR(__xludf.DUMMYFUNCTION("""COMPUTED_VALUE"""),209.39)</f>
        <v>209.39</v>
      </c>
      <c r="F2999" s="2">
        <f>IFERROR(__xludf.DUMMYFUNCTION("""COMPUTED_VALUE"""),2.9697505E7)</f>
        <v>29697505</v>
      </c>
    </row>
    <row r="3000">
      <c r="A3000" s="3">
        <f>IFERROR(__xludf.DUMMYFUNCTION("""COMPUTED_VALUE"""),44706.66666666667)</f>
        <v>44706.66667</v>
      </c>
      <c r="B3000" s="2">
        <f>IFERROR(__xludf.DUMMYFUNCTION("""COMPUTED_VALUE"""),207.95)</f>
        <v>207.95</v>
      </c>
      <c r="C3000" s="2">
        <f>IFERROR(__xludf.DUMMYFUNCTION("""COMPUTED_VALUE"""),223.11)</f>
        <v>223.11</v>
      </c>
      <c r="D3000" s="2">
        <f>IFERROR(__xludf.DUMMYFUNCTION("""COMPUTED_VALUE"""),207.67)</f>
        <v>207.67</v>
      </c>
      <c r="E3000" s="2">
        <f>IFERROR(__xludf.DUMMYFUNCTION("""COMPUTED_VALUE"""),219.6)</f>
        <v>219.6</v>
      </c>
      <c r="F3000" s="2">
        <f>IFERROR(__xludf.DUMMYFUNCTION("""COMPUTED_VALUE"""),3.0713108E7)</f>
        <v>30713108</v>
      </c>
    </row>
    <row r="3001">
      <c r="A3001" s="3">
        <f>IFERROR(__xludf.DUMMYFUNCTION("""COMPUTED_VALUE"""),44707.66666666667)</f>
        <v>44707.66667</v>
      </c>
      <c r="B3001" s="2">
        <f>IFERROR(__xludf.DUMMYFUNCTION("""COMPUTED_VALUE"""),220.47)</f>
        <v>220.47</v>
      </c>
      <c r="C3001" s="2">
        <f>IFERROR(__xludf.DUMMYFUNCTION("""COMPUTED_VALUE"""),239.56)</f>
        <v>239.56</v>
      </c>
      <c r="D3001" s="2">
        <f>IFERROR(__xludf.DUMMYFUNCTION("""COMPUTED_VALUE"""),217.89)</f>
        <v>217.89</v>
      </c>
      <c r="E3001" s="2">
        <f>IFERROR(__xludf.DUMMYFUNCTION("""COMPUTED_VALUE"""),235.91)</f>
        <v>235.91</v>
      </c>
      <c r="F3001" s="2">
        <f>IFERROR(__xludf.DUMMYFUNCTION("""COMPUTED_VALUE"""),3.5334448E7)</f>
        <v>35334448</v>
      </c>
    </row>
    <row r="3002">
      <c r="A3002" s="3">
        <f>IFERROR(__xludf.DUMMYFUNCTION("""COMPUTED_VALUE"""),44708.66666666667)</f>
        <v>44708.66667</v>
      </c>
      <c r="B3002" s="2">
        <f>IFERROR(__xludf.DUMMYFUNCTION("""COMPUTED_VALUE"""),241.08)</f>
        <v>241.08</v>
      </c>
      <c r="C3002" s="2">
        <f>IFERROR(__xludf.DUMMYFUNCTION("""COMPUTED_VALUE"""),253.27)</f>
        <v>253.27</v>
      </c>
      <c r="D3002" s="2">
        <f>IFERROR(__xludf.DUMMYFUNCTION("""COMPUTED_VALUE"""),240.18)</f>
        <v>240.18</v>
      </c>
      <c r="E3002" s="2">
        <f>IFERROR(__xludf.DUMMYFUNCTION("""COMPUTED_VALUE"""),253.21)</f>
        <v>253.21</v>
      </c>
      <c r="F3002" s="2">
        <f>IFERROR(__xludf.DUMMYFUNCTION("""COMPUTED_VALUE"""),2.9764994E7)</f>
        <v>29764994</v>
      </c>
    </row>
    <row r="3003">
      <c r="A3003" s="3">
        <f>IFERROR(__xludf.DUMMYFUNCTION("""COMPUTED_VALUE"""),44712.66666666667)</f>
        <v>44712.66667</v>
      </c>
      <c r="B3003" s="2">
        <f>IFERROR(__xludf.DUMMYFUNCTION("""COMPUTED_VALUE"""),257.95)</f>
        <v>257.95</v>
      </c>
      <c r="C3003" s="2">
        <f>IFERROR(__xludf.DUMMYFUNCTION("""COMPUTED_VALUE"""),259.6)</f>
        <v>259.6</v>
      </c>
      <c r="D3003" s="2">
        <f>IFERROR(__xludf.DUMMYFUNCTION("""COMPUTED_VALUE"""),244.74)</f>
        <v>244.74</v>
      </c>
      <c r="E3003" s="2">
        <f>IFERROR(__xludf.DUMMYFUNCTION("""COMPUTED_VALUE"""),252.75)</f>
        <v>252.75</v>
      </c>
      <c r="F3003" s="2">
        <f>IFERROR(__xludf.DUMMYFUNCTION("""COMPUTED_VALUE"""),3.3971457E7)</f>
        <v>33971457</v>
      </c>
    </row>
    <row r="3004">
      <c r="A3004" s="3">
        <f>IFERROR(__xludf.DUMMYFUNCTION("""COMPUTED_VALUE"""),44713.66666666667)</f>
        <v>44713.66667</v>
      </c>
      <c r="B3004" s="2">
        <f>IFERROR(__xludf.DUMMYFUNCTION("""COMPUTED_VALUE"""),251.72)</f>
        <v>251.72</v>
      </c>
      <c r="C3004" s="2">
        <f>IFERROR(__xludf.DUMMYFUNCTION("""COMPUTED_VALUE"""),257.33)</f>
        <v>257.33</v>
      </c>
      <c r="D3004" s="2">
        <f>IFERROR(__xludf.DUMMYFUNCTION("""COMPUTED_VALUE"""),243.64)</f>
        <v>243.64</v>
      </c>
      <c r="E3004" s="2">
        <f>IFERROR(__xludf.DUMMYFUNCTION("""COMPUTED_VALUE"""),246.79)</f>
        <v>246.79</v>
      </c>
      <c r="F3004" s="2">
        <f>IFERROR(__xludf.DUMMYFUNCTION("""COMPUTED_VALUE"""),2.5749321E7)</f>
        <v>25749321</v>
      </c>
    </row>
    <row r="3005">
      <c r="A3005" s="3">
        <f>IFERROR(__xludf.DUMMYFUNCTION("""COMPUTED_VALUE"""),44714.66666666667)</f>
        <v>44714.66667</v>
      </c>
      <c r="B3005" s="2">
        <f>IFERROR(__xludf.DUMMYFUNCTION("""COMPUTED_VALUE"""),244.16)</f>
        <v>244.16</v>
      </c>
      <c r="C3005" s="2">
        <f>IFERROR(__xludf.DUMMYFUNCTION("""COMPUTED_VALUE"""),264.21)</f>
        <v>264.21</v>
      </c>
      <c r="D3005" s="2">
        <f>IFERROR(__xludf.DUMMYFUNCTION("""COMPUTED_VALUE"""),242.07)</f>
        <v>242.07</v>
      </c>
      <c r="E3005" s="2">
        <f>IFERROR(__xludf.DUMMYFUNCTION("""COMPUTED_VALUE"""),258.33)</f>
        <v>258.33</v>
      </c>
      <c r="F3005" s="2">
        <f>IFERROR(__xludf.DUMMYFUNCTION("""COMPUTED_VALUE"""),3.1157706E7)</f>
        <v>31157706</v>
      </c>
    </row>
    <row r="3006">
      <c r="A3006" s="3">
        <f>IFERROR(__xludf.DUMMYFUNCTION("""COMPUTED_VALUE"""),44715.66666666667)</f>
        <v>44715.66667</v>
      </c>
      <c r="B3006" s="2">
        <f>IFERROR(__xludf.DUMMYFUNCTION("""COMPUTED_VALUE"""),243.23)</f>
        <v>243.23</v>
      </c>
      <c r="C3006" s="2">
        <f>IFERROR(__xludf.DUMMYFUNCTION("""COMPUTED_VALUE"""),247.8)</f>
        <v>247.8</v>
      </c>
      <c r="D3006" s="2">
        <f>IFERROR(__xludf.DUMMYFUNCTION("""COMPUTED_VALUE"""),233.42)</f>
        <v>233.42</v>
      </c>
      <c r="E3006" s="2">
        <f>IFERROR(__xludf.DUMMYFUNCTION("""COMPUTED_VALUE"""),234.52)</f>
        <v>234.52</v>
      </c>
      <c r="F3006" s="2">
        <f>IFERROR(__xludf.DUMMYFUNCTION("""COMPUTED_VALUE"""),3.7464579E7)</f>
        <v>37464579</v>
      </c>
    </row>
    <row r="3007">
      <c r="A3007" s="3">
        <f>IFERROR(__xludf.DUMMYFUNCTION("""COMPUTED_VALUE"""),44718.66666666667)</f>
        <v>44718.66667</v>
      </c>
      <c r="B3007" s="2">
        <f>IFERROR(__xludf.DUMMYFUNCTION("""COMPUTED_VALUE"""),244.35)</f>
        <v>244.35</v>
      </c>
      <c r="C3007" s="2">
        <f>IFERROR(__xludf.DUMMYFUNCTION("""COMPUTED_VALUE"""),244.87)</f>
        <v>244.87</v>
      </c>
      <c r="D3007" s="2">
        <f>IFERROR(__xludf.DUMMYFUNCTION("""COMPUTED_VALUE"""),234.35)</f>
        <v>234.35</v>
      </c>
      <c r="E3007" s="2">
        <f>IFERROR(__xludf.DUMMYFUNCTION("""COMPUTED_VALUE"""),238.28)</f>
        <v>238.28</v>
      </c>
      <c r="F3007" s="2">
        <f>IFERROR(__xludf.DUMMYFUNCTION("""COMPUTED_VALUE"""),2.8068174E7)</f>
        <v>28068174</v>
      </c>
    </row>
    <row r="3008">
      <c r="A3008" s="3">
        <f>IFERROR(__xludf.DUMMYFUNCTION("""COMPUTED_VALUE"""),44719.66666666667)</f>
        <v>44719.66667</v>
      </c>
      <c r="B3008" s="2">
        <f>IFERROR(__xludf.DUMMYFUNCTION("""COMPUTED_VALUE"""),234.0)</f>
        <v>234</v>
      </c>
      <c r="C3008" s="2">
        <f>IFERROR(__xludf.DUMMYFUNCTION("""COMPUTED_VALUE"""),240.0)</f>
        <v>240</v>
      </c>
      <c r="D3008" s="2">
        <f>IFERROR(__xludf.DUMMYFUNCTION("""COMPUTED_VALUE"""),230.09)</f>
        <v>230.09</v>
      </c>
      <c r="E3008" s="2">
        <f>IFERROR(__xludf.DUMMYFUNCTION("""COMPUTED_VALUE"""),238.89)</f>
        <v>238.89</v>
      </c>
      <c r="F3008" s="2">
        <f>IFERROR(__xludf.DUMMYFUNCTION("""COMPUTED_VALUE"""),2.4269534E7)</f>
        <v>24269534</v>
      </c>
    </row>
    <row r="3009">
      <c r="A3009" s="3">
        <f>IFERROR(__xludf.DUMMYFUNCTION("""COMPUTED_VALUE"""),44720.66666666667)</f>
        <v>44720.66667</v>
      </c>
      <c r="B3009" s="2">
        <f>IFERROR(__xludf.DUMMYFUNCTION("""COMPUTED_VALUE"""),240.09)</f>
        <v>240.09</v>
      </c>
      <c r="C3009" s="2">
        <f>IFERROR(__xludf.DUMMYFUNCTION("""COMPUTED_VALUE"""),249.96)</f>
        <v>249.96</v>
      </c>
      <c r="D3009" s="2">
        <f>IFERROR(__xludf.DUMMYFUNCTION("""COMPUTED_VALUE"""),239.18)</f>
        <v>239.18</v>
      </c>
      <c r="E3009" s="2">
        <f>IFERROR(__xludf.DUMMYFUNCTION("""COMPUTED_VALUE"""),241.87)</f>
        <v>241.87</v>
      </c>
      <c r="F3009" s="2">
        <f>IFERROR(__xludf.DUMMYFUNCTION("""COMPUTED_VALUE"""),2.540354E7)</f>
        <v>25403540</v>
      </c>
    </row>
    <row r="3010">
      <c r="A3010" s="3">
        <f>IFERROR(__xludf.DUMMYFUNCTION("""COMPUTED_VALUE"""),44721.66666666667)</f>
        <v>44721.66667</v>
      </c>
      <c r="B3010" s="2">
        <f>IFERROR(__xludf.DUMMYFUNCTION("""COMPUTED_VALUE"""),249.34)</f>
        <v>249.34</v>
      </c>
      <c r="C3010" s="2">
        <f>IFERROR(__xludf.DUMMYFUNCTION("""COMPUTED_VALUE"""),255.55)</f>
        <v>255.55</v>
      </c>
      <c r="D3010" s="2">
        <f>IFERROR(__xludf.DUMMYFUNCTION("""COMPUTED_VALUE"""),239.33)</f>
        <v>239.33</v>
      </c>
      <c r="E3010" s="2">
        <f>IFERROR(__xludf.DUMMYFUNCTION("""COMPUTED_VALUE"""),239.71)</f>
        <v>239.71</v>
      </c>
      <c r="F3010" s="2">
        <f>IFERROR(__xludf.DUMMYFUNCTION("""COMPUTED_VALUE"""),3.2163769E7)</f>
        <v>32163769</v>
      </c>
    </row>
    <row r="3011">
      <c r="A3011" s="3">
        <f>IFERROR(__xludf.DUMMYFUNCTION("""COMPUTED_VALUE"""),44722.66666666667)</f>
        <v>44722.66667</v>
      </c>
      <c r="B3011" s="2">
        <f>IFERROR(__xludf.DUMMYFUNCTION("""COMPUTED_VALUE"""),235.16)</f>
        <v>235.16</v>
      </c>
      <c r="C3011" s="2">
        <f>IFERROR(__xludf.DUMMYFUNCTION("""COMPUTED_VALUE"""),239.5)</f>
        <v>239.5</v>
      </c>
      <c r="D3011" s="2">
        <f>IFERROR(__xludf.DUMMYFUNCTION("""COMPUTED_VALUE"""),227.91)</f>
        <v>227.91</v>
      </c>
      <c r="E3011" s="2">
        <f>IFERROR(__xludf.DUMMYFUNCTION("""COMPUTED_VALUE"""),232.23)</f>
        <v>232.23</v>
      </c>
      <c r="F3011" s="2">
        <f>IFERROR(__xludf.DUMMYFUNCTION("""COMPUTED_VALUE"""),3.2696966E7)</f>
        <v>32696966</v>
      </c>
    </row>
    <row r="3012">
      <c r="A3012" s="3">
        <f>IFERROR(__xludf.DUMMYFUNCTION("""COMPUTED_VALUE"""),44725.66666666667)</f>
        <v>44725.66667</v>
      </c>
      <c r="B3012" s="2">
        <f>IFERROR(__xludf.DUMMYFUNCTION("""COMPUTED_VALUE"""),223.17)</f>
        <v>223.17</v>
      </c>
      <c r="C3012" s="2">
        <f>IFERROR(__xludf.DUMMYFUNCTION("""COMPUTED_VALUE"""),226.63)</f>
        <v>226.63</v>
      </c>
      <c r="D3012" s="2">
        <f>IFERROR(__xludf.DUMMYFUNCTION("""COMPUTED_VALUE"""),214.68)</f>
        <v>214.68</v>
      </c>
      <c r="E3012" s="2">
        <f>IFERROR(__xludf.DUMMYFUNCTION("""COMPUTED_VALUE"""),215.74)</f>
        <v>215.74</v>
      </c>
      <c r="F3012" s="2">
        <f>IFERROR(__xludf.DUMMYFUNCTION("""COMPUTED_VALUE"""),3.4255754E7)</f>
        <v>34255754</v>
      </c>
    </row>
    <row r="3013">
      <c r="A3013" s="3">
        <f>IFERROR(__xludf.DUMMYFUNCTION("""COMPUTED_VALUE"""),44726.66666666667)</f>
        <v>44726.66667</v>
      </c>
      <c r="B3013" s="2">
        <f>IFERROR(__xludf.DUMMYFUNCTION("""COMPUTED_VALUE"""),218.29)</f>
        <v>218.29</v>
      </c>
      <c r="C3013" s="2">
        <f>IFERROR(__xludf.DUMMYFUNCTION("""COMPUTED_VALUE"""),226.33)</f>
        <v>226.33</v>
      </c>
      <c r="D3013" s="2">
        <f>IFERROR(__xludf.DUMMYFUNCTION("""COMPUTED_VALUE"""),211.74)</f>
        <v>211.74</v>
      </c>
      <c r="E3013" s="2">
        <f>IFERROR(__xludf.DUMMYFUNCTION("""COMPUTED_VALUE"""),220.89)</f>
        <v>220.89</v>
      </c>
      <c r="F3013" s="2">
        <f>IFERROR(__xludf.DUMMYFUNCTION("""COMPUTED_VALUE"""),3.2662932E7)</f>
        <v>32662932</v>
      </c>
    </row>
    <row r="3014">
      <c r="A3014" s="3">
        <f>IFERROR(__xludf.DUMMYFUNCTION("""COMPUTED_VALUE"""),44727.66666666667)</f>
        <v>44727.66667</v>
      </c>
      <c r="B3014" s="2">
        <f>IFERROR(__xludf.DUMMYFUNCTION("""COMPUTED_VALUE"""),220.92)</f>
        <v>220.92</v>
      </c>
      <c r="C3014" s="2">
        <f>IFERROR(__xludf.DUMMYFUNCTION("""COMPUTED_VALUE"""),235.66)</f>
        <v>235.66</v>
      </c>
      <c r="D3014" s="2">
        <f>IFERROR(__xludf.DUMMYFUNCTION("""COMPUTED_VALUE"""),218.15)</f>
        <v>218.15</v>
      </c>
      <c r="E3014" s="2">
        <f>IFERROR(__xludf.DUMMYFUNCTION("""COMPUTED_VALUE"""),233.0)</f>
        <v>233</v>
      </c>
      <c r="F3014" s="2">
        <f>IFERROR(__xludf.DUMMYFUNCTION("""COMPUTED_VALUE"""),3.9710645E7)</f>
        <v>39710645</v>
      </c>
    </row>
    <row r="3015">
      <c r="A3015" s="3">
        <f>IFERROR(__xludf.DUMMYFUNCTION("""COMPUTED_VALUE"""),44728.66666666667)</f>
        <v>44728.66667</v>
      </c>
      <c r="B3015" s="2">
        <f>IFERROR(__xludf.DUMMYFUNCTION("""COMPUTED_VALUE"""),222.74)</f>
        <v>222.74</v>
      </c>
      <c r="C3015" s="2">
        <f>IFERROR(__xludf.DUMMYFUNCTION("""COMPUTED_VALUE"""),225.17)</f>
        <v>225.17</v>
      </c>
      <c r="D3015" s="2">
        <f>IFERROR(__xludf.DUMMYFUNCTION("""COMPUTED_VALUE"""),208.69)</f>
        <v>208.69</v>
      </c>
      <c r="E3015" s="2">
        <f>IFERROR(__xludf.DUMMYFUNCTION("""COMPUTED_VALUE"""),213.1)</f>
        <v>213.1</v>
      </c>
      <c r="F3015" s="2">
        <f>IFERROR(__xludf.DUMMYFUNCTION("""COMPUTED_VALUE"""),3.57969E7)</f>
        <v>35796900</v>
      </c>
    </row>
    <row r="3016">
      <c r="A3016" s="3">
        <f>IFERROR(__xludf.DUMMYFUNCTION("""COMPUTED_VALUE"""),44729.66666666667)</f>
        <v>44729.66667</v>
      </c>
      <c r="B3016" s="2">
        <f>IFERROR(__xludf.DUMMYFUNCTION("""COMPUTED_VALUE"""),213.43)</f>
        <v>213.43</v>
      </c>
      <c r="C3016" s="2">
        <f>IFERROR(__xludf.DUMMYFUNCTION("""COMPUTED_VALUE"""),220.97)</f>
        <v>220.97</v>
      </c>
      <c r="D3016" s="2">
        <f>IFERROR(__xludf.DUMMYFUNCTION("""COMPUTED_VALUE"""),213.2)</f>
        <v>213.2</v>
      </c>
      <c r="E3016" s="2">
        <f>IFERROR(__xludf.DUMMYFUNCTION("""COMPUTED_VALUE"""),216.76)</f>
        <v>216.76</v>
      </c>
      <c r="F3016" s="2">
        <f>IFERROR(__xludf.DUMMYFUNCTION("""COMPUTED_VALUE"""),3.088059E7)</f>
        <v>30880590</v>
      </c>
    </row>
    <row r="3017">
      <c r="A3017" s="3">
        <f>IFERROR(__xludf.DUMMYFUNCTION("""COMPUTED_VALUE"""),44733.66666666667)</f>
        <v>44733.66667</v>
      </c>
      <c r="B3017" s="2">
        <f>IFERROR(__xludf.DUMMYFUNCTION("""COMPUTED_VALUE"""),224.6)</f>
        <v>224.6</v>
      </c>
      <c r="C3017" s="2">
        <f>IFERROR(__xludf.DUMMYFUNCTION("""COMPUTED_VALUE"""),243.58)</f>
        <v>243.58</v>
      </c>
      <c r="D3017" s="2">
        <f>IFERROR(__xludf.DUMMYFUNCTION("""COMPUTED_VALUE"""),224.33)</f>
        <v>224.33</v>
      </c>
      <c r="E3017" s="2">
        <f>IFERROR(__xludf.DUMMYFUNCTION("""COMPUTED_VALUE"""),237.04)</f>
        <v>237.04</v>
      </c>
      <c r="F3017" s="2">
        <f>IFERROR(__xludf.DUMMYFUNCTION("""COMPUTED_VALUE"""),4.0930985E7)</f>
        <v>40930985</v>
      </c>
    </row>
    <row r="3018">
      <c r="A3018" s="3">
        <f>IFERROR(__xludf.DUMMYFUNCTION("""COMPUTED_VALUE"""),44734.66666666667)</f>
        <v>44734.66667</v>
      </c>
      <c r="B3018" s="2">
        <f>IFERROR(__xludf.DUMMYFUNCTION("""COMPUTED_VALUE"""),234.5)</f>
        <v>234.5</v>
      </c>
      <c r="C3018" s="2">
        <f>IFERROR(__xludf.DUMMYFUNCTION("""COMPUTED_VALUE"""),246.83)</f>
        <v>246.83</v>
      </c>
      <c r="D3018" s="2">
        <f>IFERROR(__xludf.DUMMYFUNCTION("""COMPUTED_VALUE"""),233.83)</f>
        <v>233.83</v>
      </c>
      <c r="E3018" s="2">
        <f>IFERROR(__xludf.DUMMYFUNCTION("""COMPUTED_VALUE"""),236.09)</f>
        <v>236.09</v>
      </c>
      <c r="F3018" s="2">
        <f>IFERROR(__xludf.DUMMYFUNCTION("""COMPUTED_VALUE"""),3.384242E7)</f>
        <v>33842420</v>
      </c>
    </row>
    <row r="3019">
      <c r="A3019" s="3">
        <f>IFERROR(__xludf.DUMMYFUNCTION("""COMPUTED_VALUE"""),44735.66666666667)</f>
        <v>44735.66667</v>
      </c>
      <c r="B3019" s="2">
        <f>IFERROR(__xludf.DUMMYFUNCTION("""COMPUTED_VALUE"""),237.91)</f>
        <v>237.91</v>
      </c>
      <c r="C3019" s="2">
        <f>IFERROR(__xludf.DUMMYFUNCTION("""COMPUTED_VALUE"""),239.32)</f>
        <v>239.32</v>
      </c>
      <c r="D3019" s="2">
        <f>IFERROR(__xludf.DUMMYFUNCTION("""COMPUTED_VALUE"""),228.64)</f>
        <v>228.64</v>
      </c>
      <c r="E3019" s="2">
        <f>IFERROR(__xludf.DUMMYFUNCTION("""COMPUTED_VALUE"""),235.07)</f>
        <v>235.07</v>
      </c>
      <c r="F3019" s="2">
        <f>IFERROR(__xludf.DUMMYFUNCTION("""COMPUTED_VALUE"""),3.4734226E7)</f>
        <v>34734226</v>
      </c>
    </row>
    <row r="3020">
      <c r="A3020" s="3">
        <f>IFERROR(__xludf.DUMMYFUNCTION("""COMPUTED_VALUE"""),44736.66666666667)</f>
        <v>44736.66667</v>
      </c>
      <c r="B3020" s="2">
        <f>IFERROR(__xludf.DUMMYFUNCTION("""COMPUTED_VALUE"""),237.47)</f>
        <v>237.47</v>
      </c>
      <c r="C3020" s="2">
        <f>IFERROR(__xludf.DUMMYFUNCTION("""COMPUTED_VALUE"""),246.07)</f>
        <v>246.07</v>
      </c>
      <c r="D3020" s="2">
        <f>IFERROR(__xludf.DUMMYFUNCTION("""COMPUTED_VALUE"""),236.09)</f>
        <v>236.09</v>
      </c>
      <c r="E3020" s="2">
        <f>IFERROR(__xludf.DUMMYFUNCTION("""COMPUTED_VALUE"""),245.71)</f>
        <v>245.71</v>
      </c>
      <c r="F3020" s="2">
        <f>IFERROR(__xludf.DUMMYFUNCTION("""COMPUTED_VALUE"""),3.1923565E7)</f>
        <v>31923565</v>
      </c>
    </row>
    <row r="3021">
      <c r="A3021" s="3">
        <f>IFERROR(__xludf.DUMMYFUNCTION("""COMPUTED_VALUE"""),44739.66666666667)</f>
        <v>44739.66667</v>
      </c>
      <c r="B3021" s="2">
        <f>IFERROR(__xludf.DUMMYFUNCTION("""COMPUTED_VALUE"""),249.37)</f>
        <v>249.37</v>
      </c>
      <c r="C3021" s="2">
        <f>IFERROR(__xludf.DUMMYFUNCTION("""COMPUTED_VALUE"""),252.07)</f>
        <v>252.07</v>
      </c>
      <c r="D3021" s="2">
        <f>IFERROR(__xludf.DUMMYFUNCTION("""COMPUTED_VALUE"""),242.57)</f>
        <v>242.57</v>
      </c>
      <c r="E3021" s="2">
        <f>IFERROR(__xludf.DUMMYFUNCTION("""COMPUTED_VALUE"""),244.92)</f>
        <v>244.92</v>
      </c>
      <c r="F3021" s="2">
        <f>IFERROR(__xludf.DUMMYFUNCTION("""COMPUTED_VALUE"""),2.9726104E7)</f>
        <v>29726104</v>
      </c>
    </row>
    <row r="3022">
      <c r="A3022" s="3">
        <f>IFERROR(__xludf.DUMMYFUNCTION("""COMPUTED_VALUE"""),44740.66666666667)</f>
        <v>44740.66667</v>
      </c>
      <c r="B3022" s="2">
        <f>IFERROR(__xludf.DUMMYFUNCTION("""COMPUTED_VALUE"""),244.48)</f>
        <v>244.48</v>
      </c>
      <c r="C3022" s="2">
        <f>IFERROR(__xludf.DUMMYFUNCTION("""COMPUTED_VALUE"""),249.97)</f>
        <v>249.97</v>
      </c>
      <c r="D3022" s="2">
        <f>IFERROR(__xludf.DUMMYFUNCTION("""COMPUTED_VALUE"""),232.34)</f>
        <v>232.34</v>
      </c>
      <c r="E3022" s="2">
        <f>IFERROR(__xludf.DUMMYFUNCTION("""COMPUTED_VALUE"""),232.66)</f>
        <v>232.66</v>
      </c>
      <c r="F3022" s="2">
        <f>IFERROR(__xludf.DUMMYFUNCTION("""COMPUTED_VALUE"""),3.0222167E7)</f>
        <v>30222167</v>
      </c>
    </row>
    <row r="3023">
      <c r="A3023" s="3">
        <f>IFERROR(__xludf.DUMMYFUNCTION("""COMPUTED_VALUE"""),44741.66666666667)</f>
        <v>44741.66667</v>
      </c>
      <c r="B3023" s="2">
        <f>IFERROR(__xludf.DUMMYFUNCTION("""COMPUTED_VALUE"""),230.5)</f>
        <v>230.5</v>
      </c>
      <c r="C3023" s="2">
        <f>IFERROR(__xludf.DUMMYFUNCTION("""COMPUTED_VALUE"""),231.17)</f>
        <v>231.17</v>
      </c>
      <c r="D3023" s="2">
        <f>IFERROR(__xludf.DUMMYFUNCTION("""COMPUTED_VALUE"""),222.27)</f>
        <v>222.27</v>
      </c>
      <c r="E3023" s="2">
        <f>IFERROR(__xludf.DUMMYFUNCTION("""COMPUTED_VALUE"""),228.49)</f>
        <v>228.49</v>
      </c>
      <c r="F3023" s="2">
        <f>IFERROR(__xludf.DUMMYFUNCTION("""COMPUTED_VALUE"""),2.7632418E7)</f>
        <v>27632418</v>
      </c>
    </row>
    <row r="3024">
      <c r="A3024" s="3">
        <f>IFERROR(__xludf.DUMMYFUNCTION("""COMPUTED_VALUE"""),44742.66666666667)</f>
        <v>44742.66667</v>
      </c>
      <c r="B3024" s="2">
        <f>IFERROR(__xludf.DUMMYFUNCTION("""COMPUTED_VALUE"""),224.51)</f>
        <v>224.51</v>
      </c>
      <c r="C3024" s="2">
        <f>IFERROR(__xludf.DUMMYFUNCTION("""COMPUTED_VALUE"""),229.46)</f>
        <v>229.46</v>
      </c>
      <c r="D3024" s="2">
        <f>IFERROR(__xludf.DUMMYFUNCTION("""COMPUTED_VALUE"""),218.86)</f>
        <v>218.86</v>
      </c>
      <c r="E3024" s="2">
        <f>IFERROR(__xludf.DUMMYFUNCTION("""COMPUTED_VALUE"""),224.47)</f>
        <v>224.47</v>
      </c>
      <c r="F3024" s="2">
        <f>IFERROR(__xludf.DUMMYFUNCTION("""COMPUTED_VALUE"""),3.1533484E7)</f>
        <v>31533484</v>
      </c>
    </row>
    <row r="3025">
      <c r="A3025" s="3">
        <f>IFERROR(__xludf.DUMMYFUNCTION("""COMPUTED_VALUE"""),44743.66666666667)</f>
        <v>44743.66667</v>
      </c>
      <c r="B3025" s="2">
        <f>IFERROR(__xludf.DUMMYFUNCTION("""COMPUTED_VALUE"""),227.0)</f>
        <v>227</v>
      </c>
      <c r="C3025" s="2">
        <f>IFERROR(__xludf.DUMMYFUNCTION("""COMPUTED_VALUE"""),230.23)</f>
        <v>230.23</v>
      </c>
      <c r="D3025" s="2">
        <f>IFERROR(__xludf.DUMMYFUNCTION("""COMPUTED_VALUE"""),222.12)</f>
        <v>222.12</v>
      </c>
      <c r="E3025" s="2">
        <f>IFERROR(__xludf.DUMMYFUNCTION("""COMPUTED_VALUE"""),227.26)</f>
        <v>227.26</v>
      </c>
      <c r="F3025" s="2">
        <f>IFERROR(__xludf.DUMMYFUNCTION("""COMPUTED_VALUE"""),2.4820148E7)</f>
        <v>24820148</v>
      </c>
    </row>
    <row r="3026">
      <c r="A3026" s="3">
        <f>IFERROR(__xludf.DUMMYFUNCTION("""COMPUTED_VALUE"""),44747.66666666667)</f>
        <v>44747.66667</v>
      </c>
      <c r="B3026" s="2">
        <f>IFERROR(__xludf.DUMMYFUNCTION("""COMPUTED_VALUE"""),223.0)</f>
        <v>223</v>
      </c>
      <c r="C3026" s="2">
        <f>IFERROR(__xludf.DUMMYFUNCTION("""COMPUTED_VALUE"""),233.15)</f>
        <v>233.15</v>
      </c>
      <c r="D3026" s="2">
        <f>IFERROR(__xludf.DUMMYFUNCTION("""COMPUTED_VALUE"""),216.17)</f>
        <v>216.17</v>
      </c>
      <c r="E3026" s="2">
        <f>IFERROR(__xludf.DUMMYFUNCTION("""COMPUTED_VALUE"""),233.07)</f>
        <v>233.07</v>
      </c>
      <c r="F3026" s="2">
        <f>IFERROR(__xludf.DUMMYFUNCTION("""COMPUTED_VALUE"""),2.8259704E7)</f>
        <v>28259704</v>
      </c>
    </row>
    <row r="3027">
      <c r="A3027" s="3">
        <f>IFERROR(__xludf.DUMMYFUNCTION("""COMPUTED_VALUE"""),44748.66666666667)</f>
        <v>44748.66667</v>
      </c>
      <c r="B3027" s="2">
        <f>IFERROR(__xludf.DUMMYFUNCTION("""COMPUTED_VALUE"""),230.78)</f>
        <v>230.78</v>
      </c>
      <c r="C3027" s="2">
        <f>IFERROR(__xludf.DUMMYFUNCTION("""COMPUTED_VALUE"""),234.56)</f>
        <v>234.56</v>
      </c>
      <c r="D3027" s="2">
        <f>IFERROR(__xludf.DUMMYFUNCTION("""COMPUTED_VALUE"""),227.19)</f>
        <v>227.19</v>
      </c>
      <c r="E3027" s="2">
        <f>IFERROR(__xludf.DUMMYFUNCTION("""COMPUTED_VALUE"""),231.73)</f>
        <v>231.73</v>
      </c>
      <c r="F3027" s="2">
        <f>IFERROR(__xludf.DUMMYFUNCTION("""COMPUTED_VALUE"""),2.395121E7)</f>
        <v>23951210</v>
      </c>
    </row>
    <row r="3028">
      <c r="A3028" s="3">
        <f>IFERROR(__xludf.DUMMYFUNCTION("""COMPUTED_VALUE"""),44749.66666666667)</f>
        <v>44749.66667</v>
      </c>
      <c r="B3028" s="2">
        <f>IFERROR(__xludf.DUMMYFUNCTION("""COMPUTED_VALUE"""),233.92)</f>
        <v>233.92</v>
      </c>
      <c r="C3028" s="2">
        <f>IFERROR(__xludf.DUMMYFUNCTION("""COMPUTED_VALUE"""),245.36)</f>
        <v>245.36</v>
      </c>
      <c r="D3028" s="2">
        <f>IFERROR(__xludf.DUMMYFUNCTION("""COMPUTED_VALUE"""),232.21)</f>
        <v>232.21</v>
      </c>
      <c r="E3028" s="2">
        <f>IFERROR(__xludf.DUMMYFUNCTION("""COMPUTED_VALUE"""),244.54)</f>
        <v>244.54</v>
      </c>
      <c r="F3028" s="2">
        <f>IFERROR(__xludf.DUMMYFUNCTION("""COMPUTED_VALUE"""),2.731023E7)</f>
        <v>27310230</v>
      </c>
    </row>
    <row r="3029">
      <c r="A3029" s="3">
        <f>IFERROR(__xludf.DUMMYFUNCTION("""COMPUTED_VALUE"""),44750.66666666667)</f>
        <v>44750.66667</v>
      </c>
      <c r="B3029" s="2">
        <f>IFERROR(__xludf.DUMMYFUNCTION("""COMPUTED_VALUE"""),242.33)</f>
        <v>242.33</v>
      </c>
      <c r="C3029" s="2">
        <f>IFERROR(__xludf.DUMMYFUNCTION("""COMPUTED_VALUE"""),254.98)</f>
        <v>254.98</v>
      </c>
      <c r="D3029" s="2">
        <f>IFERROR(__xludf.DUMMYFUNCTION("""COMPUTED_VALUE"""),241.16)</f>
        <v>241.16</v>
      </c>
      <c r="E3029" s="2">
        <f>IFERROR(__xludf.DUMMYFUNCTION("""COMPUTED_VALUE"""),250.76)</f>
        <v>250.76</v>
      </c>
      <c r="F3029" s="2">
        <f>IFERROR(__xludf.DUMMYFUNCTION("""COMPUTED_VALUE"""),3.3951362E7)</f>
        <v>33951362</v>
      </c>
    </row>
    <row r="3030">
      <c r="A3030" s="3">
        <f>IFERROR(__xludf.DUMMYFUNCTION("""COMPUTED_VALUE"""),44753.66666666667)</f>
        <v>44753.66667</v>
      </c>
      <c r="B3030" s="2">
        <f>IFERROR(__xludf.DUMMYFUNCTION("""COMPUTED_VALUE"""),252.1)</f>
        <v>252.1</v>
      </c>
      <c r="C3030" s="2">
        <f>IFERROR(__xludf.DUMMYFUNCTION("""COMPUTED_VALUE"""),253.06)</f>
        <v>253.06</v>
      </c>
      <c r="D3030" s="2">
        <f>IFERROR(__xludf.DUMMYFUNCTION("""COMPUTED_VALUE"""),233.63)</f>
        <v>233.63</v>
      </c>
      <c r="E3030" s="2">
        <f>IFERROR(__xludf.DUMMYFUNCTION("""COMPUTED_VALUE"""),234.34)</f>
        <v>234.34</v>
      </c>
      <c r="F3030" s="2">
        <f>IFERROR(__xludf.DUMMYFUNCTION("""COMPUTED_VALUE"""),3.316974E7)</f>
        <v>33169740</v>
      </c>
    </row>
    <row r="3031">
      <c r="A3031" s="3">
        <f>IFERROR(__xludf.DUMMYFUNCTION("""COMPUTED_VALUE"""),44754.66666666667)</f>
        <v>44754.66667</v>
      </c>
      <c r="B3031" s="2">
        <f>IFERROR(__xludf.DUMMYFUNCTION("""COMPUTED_VALUE"""),236.85)</f>
        <v>236.85</v>
      </c>
      <c r="C3031" s="2">
        <f>IFERROR(__xludf.DUMMYFUNCTION("""COMPUTED_VALUE"""),239.77)</f>
        <v>239.77</v>
      </c>
      <c r="D3031" s="2">
        <f>IFERROR(__xludf.DUMMYFUNCTION("""COMPUTED_VALUE"""),228.37)</f>
        <v>228.37</v>
      </c>
      <c r="E3031" s="2">
        <f>IFERROR(__xludf.DUMMYFUNCTION("""COMPUTED_VALUE"""),233.07)</f>
        <v>233.07</v>
      </c>
      <c r="F3031" s="2">
        <f>IFERROR(__xludf.DUMMYFUNCTION("""COMPUTED_VALUE"""),2.931032E7)</f>
        <v>29310320</v>
      </c>
    </row>
    <row r="3032">
      <c r="A3032" s="3">
        <f>IFERROR(__xludf.DUMMYFUNCTION("""COMPUTED_VALUE"""),44755.66666666667)</f>
        <v>44755.66667</v>
      </c>
      <c r="B3032" s="2">
        <f>IFERROR(__xludf.DUMMYFUNCTION("""COMPUTED_VALUE"""),225.5)</f>
        <v>225.5</v>
      </c>
      <c r="C3032" s="2">
        <f>IFERROR(__xludf.DUMMYFUNCTION("""COMPUTED_VALUE"""),242.06)</f>
        <v>242.06</v>
      </c>
      <c r="D3032" s="2">
        <f>IFERROR(__xludf.DUMMYFUNCTION("""COMPUTED_VALUE"""),225.03)</f>
        <v>225.03</v>
      </c>
      <c r="E3032" s="2">
        <f>IFERROR(__xludf.DUMMYFUNCTION("""COMPUTED_VALUE"""),237.04)</f>
        <v>237.04</v>
      </c>
      <c r="F3032" s="2">
        <f>IFERROR(__xludf.DUMMYFUNCTION("""COMPUTED_VALUE"""),3.2651499E7)</f>
        <v>32651499</v>
      </c>
    </row>
    <row r="3033">
      <c r="A3033" s="3">
        <f>IFERROR(__xludf.DUMMYFUNCTION("""COMPUTED_VALUE"""),44756.66666666667)</f>
        <v>44756.66667</v>
      </c>
      <c r="B3033" s="2">
        <f>IFERROR(__xludf.DUMMYFUNCTION("""COMPUTED_VALUE"""),234.9)</f>
        <v>234.9</v>
      </c>
      <c r="C3033" s="2">
        <f>IFERROR(__xludf.DUMMYFUNCTION("""COMPUTED_VALUE"""),238.65)</f>
        <v>238.65</v>
      </c>
      <c r="D3033" s="2">
        <f>IFERROR(__xludf.DUMMYFUNCTION("""COMPUTED_VALUE"""),229.33)</f>
        <v>229.33</v>
      </c>
      <c r="E3033" s="2">
        <f>IFERROR(__xludf.DUMMYFUNCTION("""COMPUTED_VALUE"""),238.31)</f>
        <v>238.31</v>
      </c>
      <c r="F3033" s="2">
        <f>IFERROR(__xludf.DUMMYFUNCTION("""COMPUTED_VALUE"""),2.6185833E7)</f>
        <v>26185833</v>
      </c>
    </row>
    <row r="3034">
      <c r="A3034" s="3">
        <f>IFERROR(__xludf.DUMMYFUNCTION("""COMPUTED_VALUE"""),44757.66666666667)</f>
        <v>44757.66667</v>
      </c>
      <c r="B3034" s="2">
        <f>IFERROR(__xludf.DUMMYFUNCTION("""COMPUTED_VALUE"""),240.0)</f>
        <v>240</v>
      </c>
      <c r="C3034" s="2">
        <f>IFERROR(__xludf.DUMMYFUNCTION("""COMPUTED_VALUE"""),243.62)</f>
        <v>243.62</v>
      </c>
      <c r="D3034" s="2">
        <f>IFERROR(__xludf.DUMMYFUNCTION("""COMPUTED_VALUE"""),236.89)</f>
        <v>236.89</v>
      </c>
      <c r="E3034" s="2">
        <f>IFERROR(__xludf.DUMMYFUNCTION("""COMPUTED_VALUE"""),240.07)</f>
        <v>240.07</v>
      </c>
      <c r="F3034" s="2">
        <f>IFERROR(__xludf.DUMMYFUNCTION("""COMPUTED_VALUE"""),2.3227673E7)</f>
        <v>23227673</v>
      </c>
    </row>
    <row r="3035">
      <c r="A3035" s="3">
        <f>IFERROR(__xludf.DUMMYFUNCTION("""COMPUTED_VALUE"""),44760.66666666667)</f>
        <v>44760.66667</v>
      </c>
      <c r="B3035" s="2">
        <f>IFERROR(__xludf.DUMMYFUNCTION("""COMPUTED_VALUE"""),244.94)</f>
        <v>244.94</v>
      </c>
      <c r="C3035" s="2">
        <f>IFERROR(__xludf.DUMMYFUNCTION("""COMPUTED_VALUE"""),250.52)</f>
        <v>250.52</v>
      </c>
      <c r="D3035" s="2">
        <f>IFERROR(__xludf.DUMMYFUNCTION("""COMPUTED_VALUE"""),239.6)</f>
        <v>239.6</v>
      </c>
      <c r="E3035" s="2">
        <f>IFERROR(__xludf.DUMMYFUNCTION("""COMPUTED_VALUE"""),240.55)</f>
        <v>240.55</v>
      </c>
      <c r="F3035" s="2">
        <f>IFERROR(__xludf.DUMMYFUNCTION("""COMPUTED_VALUE"""),2.7512476E7)</f>
        <v>27512476</v>
      </c>
    </row>
    <row r="3036">
      <c r="A3036" s="3">
        <f>IFERROR(__xludf.DUMMYFUNCTION("""COMPUTED_VALUE"""),44761.66666666667)</f>
        <v>44761.66667</v>
      </c>
      <c r="B3036" s="2">
        <f>IFERROR(__xludf.DUMMYFUNCTION("""COMPUTED_VALUE"""),245.0)</f>
        <v>245</v>
      </c>
      <c r="C3036" s="2">
        <f>IFERROR(__xludf.DUMMYFUNCTION("""COMPUTED_VALUE"""),247.14)</f>
        <v>247.14</v>
      </c>
      <c r="D3036" s="2">
        <f>IFERROR(__xludf.DUMMYFUNCTION("""COMPUTED_VALUE"""),236.98)</f>
        <v>236.98</v>
      </c>
      <c r="E3036" s="2">
        <f>IFERROR(__xludf.DUMMYFUNCTION("""COMPUTED_VALUE"""),245.53)</f>
        <v>245.53</v>
      </c>
      <c r="F3036" s="2">
        <f>IFERROR(__xludf.DUMMYFUNCTION("""COMPUTED_VALUE"""),2.696337E7)</f>
        <v>26963370</v>
      </c>
    </row>
    <row r="3037">
      <c r="A3037" s="3">
        <f>IFERROR(__xludf.DUMMYFUNCTION("""COMPUTED_VALUE"""),44762.66666666667)</f>
        <v>44762.66667</v>
      </c>
      <c r="B3037" s="2">
        <f>IFERROR(__xludf.DUMMYFUNCTION("""COMPUTED_VALUE"""),246.78)</f>
        <v>246.78</v>
      </c>
      <c r="C3037" s="2">
        <f>IFERROR(__xludf.DUMMYFUNCTION("""COMPUTED_VALUE"""),250.66)</f>
        <v>250.66</v>
      </c>
      <c r="D3037" s="2">
        <f>IFERROR(__xludf.DUMMYFUNCTION("""COMPUTED_VALUE"""),243.48)</f>
        <v>243.48</v>
      </c>
      <c r="E3037" s="2">
        <f>IFERROR(__xludf.DUMMYFUNCTION("""COMPUTED_VALUE"""),247.5)</f>
        <v>247.5</v>
      </c>
      <c r="F3037" s="2">
        <f>IFERROR(__xludf.DUMMYFUNCTION("""COMPUTED_VALUE"""),2.9621363E7)</f>
        <v>29621363</v>
      </c>
    </row>
    <row r="3038">
      <c r="A3038" s="3">
        <f>IFERROR(__xludf.DUMMYFUNCTION("""COMPUTED_VALUE"""),44763.66666666667)</f>
        <v>44763.66667</v>
      </c>
      <c r="B3038" s="2">
        <f>IFERROR(__xludf.DUMMYFUNCTION("""COMPUTED_VALUE"""),255.11)</f>
        <v>255.11</v>
      </c>
      <c r="C3038" s="2">
        <f>IFERROR(__xludf.DUMMYFUNCTION("""COMPUTED_VALUE"""),273.27)</f>
        <v>273.27</v>
      </c>
      <c r="D3038" s="2">
        <f>IFERROR(__xludf.DUMMYFUNCTION("""COMPUTED_VALUE"""),254.87)</f>
        <v>254.87</v>
      </c>
      <c r="E3038" s="2">
        <f>IFERROR(__xludf.DUMMYFUNCTION("""COMPUTED_VALUE"""),271.71)</f>
        <v>271.71</v>
      </c>
      <c r="F3038" s="2">
        <f>IFERROR(__xludf.DUMMYFUNCTION("""COMPUTED_VALUE"""),4.7344059E7)</f>
        <v>47344059</v>
      </c>
    </row>
    <row r="3039">
      <c r="A3039" s="3">
        <f>IFERROR(__xludf.DUMMYFUNCTION("""COMPUTED_VALUE"""),44764.66666666667)</f>
        <v>44764.66667</v>
      </c>
      <c r="B3039" s="2">
        <f>IFERROR(__xludf.DUMMYFUNCTION("""COMPUTED_VALUE"""),276.22)</f>
        <v>276.22</v>
      </c>
      <c r="C3039" s="2">
        <f>IFERROR(__xludf.DUMMYFUNCTION("""COMPUTED_VALUE"""),280.79)</f>
        <v>280.79</v>
      </c>
      <c r="D3039" s="2">
        <f>IFERROR(__xludf.DUMMYFUNCTION("""COMPUTED_VALUE"""),270.71)</f>
        <v>270.71</v>
      </c>
      <c r="E3039" s="2">
        <f>IFERROR(__xludf.DUMMYFUNCTION("""COMPUTED_VALUE"""),272.24)</f>
        <v>272.24</v>
      </c>
      <c r="F3039" s="2">
        <f>IFERROR(__xludf.DUMMYFUNCTION("""COMPUTED_VALUE"""),3.4490949E7)</f>
        <v>34490949</v>
      </c>
    </row>
    <row r="3040">
      <c r="A3040" s="3">
        <f>IFERROR(__xludf.DUMMYFUNCTION("""COMPUTED_VALUE"""),44767.66666666667)</f>
        <v>44767.66667</v>
      </c>
      <c r="B3040" s="2">
        <f>IFERROR(__xludf.DUMMYFUNCTION("""COMPUTED_VALUE"""),272.22)</f>
        <v>272.22</v>
      </c>
      <c r="C3040" s="2">
        <f>IFERROR(__xludf.DUMMYFUNCTION("""COMPUTED_VALUE"""),274.15)</f>
        <v>274.15</v>
      </c>
      <c r="D3040" s="2">
        <f>IFERROR(__xludf.DUMMYFUNCTION("""COMPUTED_VALUE"""),267.4)</f>
        <v>267.4</v>
      </c>
      <c r="E3040" s="2">
        <f>IFERROR(__xludf.DUMMYFUNCTION("""COMPUTED_VALUE"""),268.43)</f>
        <v>268.43</v>
      </c>
      <c r="F3040" s="2">
        <f>IFERROR(__xludf.DUMMYFUNCTION("""COMPUTED_VALUE"""),2.1357835E7)</f>
        <v>21357835</v>
      </c>
    </row>
    <row r="3041">
      <c r="A3041" s="3">
        <f>IFERROR(__xludf.DUMMYFUNCTION("""COMPUTED_VALUE"""),44768.66666666667)</f>
        <v>44768.66667</v>
      </c>
      <c r="B3041" s="2">
        <f>IFERROR(__xludf.DUMMYFUNCTION("""COMPUTED_VALUE"""),266.51)</f>
        <v>266.51</v>
      </c>
      <c r="C3041" s="2">
        <f>IFERROR(__xludf.DUMMYFUNCTION("""COMPUTED_VALUE"""),267.31)</f>
        <v>267.31</v>
      </c>
      <c r="D3041" s="2">
        <f>IFERROR(__xludf.DUMMYFUNCTION("""COMPUTED_VALUE"""),256.26)</f>
        <v>256.26</v>
      </c>
      <c r="E3041" s="2">
        <f>IFERROR(__xludf.DUMMYFUNCTION("""COMPUTED_VALUE"""),258.86)</f>
        <v>258.86</v>
      </c>
      <c r="F3041" s="2">
        <f>IFERROR(__xludf.DUMMYFUNCTION("""COMPUTED_VALUE"""),2.2273586E7)</f>
        <v>22273586</v>
      </c>
    </row>
    <row r="3042">
      <c r="A3042" s="3">
        <f>IFERROR(__xludf.DUMMYFUNCTION("""COMPUTED_VALUE"""),44769.66666666667)</f>
        <v>44769.66667</v>
      </c>
      <c r="B3042" s="2">
        <f>IFERROR(__xludf.DUMMYFUNCTION("""COMPUTED_VALUE"""),263.81)</f>
        <v>263.81</v>
      </c>
      <c r="C3042" s="2">
        <f>IFERROR(__xludf.DUMMYFUNCTION("""COMPUTED_VALUE"""),275.93)</f>
        <v>275.93</v>
      </c>
      <c r="D3042" s="2">
        <f>IFERROR(__xludf.DUMMYFUNCTION("""COMPUTED_VALUE"""),261.79)</f>
        <v>261.79</v>
      </c>
      <c r="E3042" s="2">
        <f>IFERROR(__xludf.DUMMYFUNCTION("""COMPUTED_VALUE"""),274.82)</f>
        <v>274.82</v>
      </c>
      <c r="F3042" s="2">
        <f>IFERROR(__xludf.DUMMYFUNCTION("""COMPUTED_VALUE"""),2.9369996E7)</f>
        <v>29369996</v>
      </c>
    </row>
    <row r="3043">
      <c r="A3043" s="3">
        <f>IFERROR(__xludf.DUMMYFUNCTION("""COMPUTED_VALUE"""),44770.66666666667)</f>
        <v>44770.66667</v>
      </c>
      <c r="B3043" s="2">
        <f>IFERROR(__xludf.DUMMYFUNCTION("""COMPUTED_VALUE"""),280.07)</f>
        <v>280.07</v>
      </c>
      <c r="C3043" s="2">
        <f>IFERROR(__xludf.DUMMYFUNCTION("""COMPUTED_VALUE"""),283.3)</f>
        <v>283.3</v>
      </c>
      <c r="D3043" s="2">
        <f>IFERROR(__xludf.DUMMYFUNCTION("""COMPUTED_VALUE"""),272.8)</f>
        <v>272.8</v>
      </c>
      <c r="E3043" s="2">
        <f>IFERROR(__xludf.DUMMYFUNCTION("""COMPUTED_VALUE"""),280.9)</f>
        <v>280.9</v>
      </c>
      <c r="F3043" s="2">
        <f>IFERROR(__xludf.DUMMYFUNCTION("""COMPUTED_VALUE"""),2.8240997E7)</f>
        <v>28240997</v>
      </c>
    </row>
    <row r="3044">
      <c r="A3044" s="3">
        <f>IFERROR(__xludf.DUMMYFUNCTION("""COMPUTED_VALUE"""),44771.66666666667)</f>
        <v>44771.66667</v>
      </c>
      <c r="B3044" s="2">
        <f>IFERROR(__xludf.DUMMYFUNCTION("""COMPUTED_VALUE"""),280.7)</f>
        <v>280.7</v>
      </c>
      <c r="C3044" s="2">
        <f>IFERROR(__xludf.DUMMYFUNCTION("""COMPUTED_VALUE"""),298.32)</f>
        <v>298.32</v>
      </c>
      <c r="D3044" s="2">
        <f>IFERROR(__xludf.DUMMYFUNCTION("""COMPUTED_VALUE"""),279.1)</f>
        <v>279.1</v>
      </c>
      <c r="E3044" s="2">
        <f>IFERROR(__xludf.DUMMYFUNCTION("""COMPUTED_VALUE"""),297.15)</f>
        <v>297.15</v>
      </c>
      <c r="F3044" s="2">
        <f>IFERROR(__xludf.DUMMYFUNCTION("""COMPUTED_VALUE"""),3.1770961E7)</f>
        <v>31770961</v>
      </c>
    </row>
    <row r="3045">
      <c r="A3045" s="3">
        <f>IFERROR(__xludf.DUMMYFUNCTION("""COMPUTED_VALUE"""),44774.66666666667)</f>
        <v>44774.66667</v>
      </c>
      <c r="B3045" s="2">
        <f>IFERROR(__xludf.DUMMYFUNCTION("""COMPUTED_VALUE"""),301.27)</f>
        <v>301.27</v>
      </c>
      <c r="C3045" s="2">
        <f>IFERROR(__xludf.DUMMYFUNCTION("""COMPUTED_VALUE"""),311.88)</f>
        <v>311.88</v>
      </c>
      <c r="D3045" s="2">
        <f>IFERROR(__xludf.DUMMYFUNCTION("""COMPUTED_VALUE"""),295.0)</f>
        <v>295</v>
      </c>
      <c r="E3045" s="2">
        <f>IFERROR(__xludf.DUMMYFUNCTION("""COMPUTED_VALUE"""),297.28)</f>
        <v>297.28</v>
      </c>
      <c r="F3045" s="2">
        <f>IFERROR(__xludf.DUMMYFUNCTION("""COMPUTED_VALUE"""),3.9014296E7)</f>
        <v>39014296</v>
      </c>
    </row>
    <row r="3046">
      <c r="A3046" s="3">
        <f>IFERROR(__xludf.DUMMYFUNCTION("""COMPUTED_VALUE"""),44775.66666666667)</f>
        <v>44775.66667</v>
      </c>
      <c r="B3046" s="2">
        <f>IFERROR(__xludf.DUMMYFUNCTION("""COMPUTED_VALUE"""),294.0)</f>
        <v>294</v>
      </c>
      <c r="C3046" s="2">
        <f>IFERROR(__xludf.DUMMYFUNCTION("""COMPUTED_VALUE"""),307.83)</f>
        <v>307.83</v>
      </c>
      <c r="D3046" s="2">
        <f>IFERROR(__xludf.DUMMYFUNCTION("""COMPUTED_VALUE"""),292.67)</f>
        <v>292.67</v>
      </c>
      <c r="E3046" s="2">
        <f>IFERROR(__xludf.DUMMYFUNCTION("""COMPUTED_VALUE"""),300.59)</f>
        <v>300.59</v>
      </c>
      <c r="F3046" s="2">
        <f>IFERROR(__xludf.DUMMYFUNCTION("""COMPUTED_VALUE"""),3.1859156E7)</f>
        <v>31859156</v>
      </c>
    </row>
    <row r="3047">
      <c r="A3047" s="3">
        <f>IFERROR(__xludf.DUMMYFUNCTION("""COMPUTED_VALUE"""),44776.66666666667)</f>
        <v>44776.66667</v>
      </c>
      <c r="B3047" s="2">
        <f>IFERROR(__xludf.DUMMYFUNCTION("""COMPUTED_VALUE"""),305.0)</f>
        <v>305</v>
      </c>
      <c r="C3047" s="2">
        <f>IFERROR(__xludf.DUMMYFUNCTION("""COMPUTED_VALUE"""),309.55)</f>
        <v>309.55</v>
      </c>
      <c r="D3047" s="2">
        <f>IFERROR(__xludf.DUMMYFUNCTION("""COMPUTED_VALUE"""),301.15)</f>
        <v>301.15</v>
      </c>
      <c r="E3047" s="2">
        <f>IFERROR(__xludf.DUMMYFUNCTION("""COMPUTED_VALUE"""),307.4)</f>
        <v>307.4</v>
      </c>
      <c r="F3047" s="2">
        <f>IFERROR(__xludf.DUMMYFUNCTION("""COMPUTED_VALUE"""),2.6697035E7)</f>
        <v>26697035</v>
      </c>
    </row>
    <row r="3048">
      <c r="A3048" s="3">
        <f>IFERROR(__xludf.DUMMYFUNCTION("""COMPUTED_VALUE"""),44777.66666666667)</f>
        <v>44777.66667</v>
      </c>
      <c r="B3048" s="2">
        <f>IFERROR(__xludf.DUMMYFUNCTION("""COMPUTED_VALUE"""),311.0)</f>
        <v>311</v>
      </c>
      <c r="C3048" s="2">
        <f>IFERROR(__xludf.DUMMYFUNCTION("""COMPUTED_VALUE"""),313.61)</f>
        <v>313.61</v>
      </c>
      <c r="D3048" s="2">
        <f>IFERROR(__xludf.DUMMYFUNCTION("""COMPUTED_VALUE"""),305.0)</f>
        <v>305</v>
      </c>
      <c r="E3048" s="2">
        <f>IFERROR(__xludf.DUMMYFUNCTION("""COMPUTED_VALUE"""),308.63)</f>
        <v>308.63</v>
      </c>
      <c r="F3048" s="2">
        <f>IFERROR(__xludf.DUMMYFUNCTION("""COMPUTED_VALUE"""),2.4085439E7)</f>
        <v>24085439</v>
      </c>
    </row>
    <row r="3049">
      <c r="A3049" s="3">
        <f>IFERROR(__xludf.DUMMYFUNCTION("""COMPUTED_VALUE"""),44778.66666666667)</f>
        <v>44778.66667</v>
      </c>
      <c r="B3049" s="2">
        <f>IFERROR(__xludf.DUMMYFUNCTION("""COMPUTED_VALUE"""),302.67)</f>
        <v>302.67</v>
      </c>
      <c r="C3049" s="2">
        <f>IFERROR(__xludf.DUMMYFUNCTION("""COMPUTED_VALUE"""),304.61)</f>
        <v>304.61</v>
      </c>
      <c r="D3049" s="2">
        <f>IFERROR(__xludf.DUMMYFUNCTION("""COMPUTED_VALUE"""),285.54)</f>
        <v>285.54</v>
      </c>
      <c r="E3049" s="2">
        <f>IFERROR(__xludf.DUMMYFUNCTION("""COMPUTED_VALUE"""),288.17)</f>
        <v>288.17</v>
      </c>
      <c r="F3049" s="2">
        <f>IFERROR(__xludf.DUMMYFUNCTION("""COMPUTED_VALUE"""),3.7724299E7)</f>
        <v>37724299</v>
      </c>
    </row>
    <row r="3050">
      <c r="A3050" s="3">
        <f>IFERROR(__xludf.DUMMYFUNCTION("""COMPUTED_VALUE"""),44781.66666666667)</f>
        <v>44781.66667</v>
      </c>
      <c r="B3050" s="2">
        <f>IFERROR(__xludf.DUMMYFUNCTION("""COMPUTED_VALUE"""),295.0)</f>
        <v>295</v>
      </c>
      <c r="C3050" s="2">
        <f>IFERROR(__xludf.DUMMYFUNCTION("""COMPUTED_VALUE"""),305.2)</f>
        <v>305.2</v>
      </c>
      <c r="D3050" s="2">
        <f>IFERROR(__xludf.DUMMYFUNCTION("""COMPUTED_VALUE"""),289.09)</f>
        <v>289.09</v>
      </c>
      <c r="E3050" s="2">
        <f>IFERROR(__xludf.DUMMYFUNCTION("""COMPUTED_VALUE"""),290.42)</f>
        <v>290.42</v>
      </c>
      <c r="F3050" s="2">
        <f>IFERROR(__xludf.DUMMYFUNCTION("""COMPUTED_VALUE"""),3.3121758E7)</f>
        <v>33121758</v>
      </c>
    </row>
    <row r="3051">
      <c r="A3051" s="3">
        <f>IFERROR(__xludf.DUMMYFUNCTION("""COMPUTED_VALUE"""),44782.66666666667)</f>
        <v>44782.66667</v>
      </c>
      <c r="B3051" s="2">
        <f>IFERROR(__xludf.DUMMYFUNCTION("""COMPUTED_VALUE"""),290.29)</f>
        <v>290.29</v>
      </c>
      <c r="C3051" s="2">
        <f>IFERROR(__xludf.DUMMYFUNCTION("""COMPUTED_VALUE"""),292.4)</f>
        <v>292.4</v>
      </c>
      <c r="D3051" s="2">
        <f>IFERROR(__xludf.DUMMYFUNCTION("""COMPUTED_VALUE"""),279.35)</f>
        <v>279.35</v>
      </c>
      <c r="E3051" s="2">
        <f>IFERROR(__xludf.DUMMYFUNCTION("""COMPUTED_VALUE"""),283.33)</f>
        <v>283.33</v>
      </c>
      <c r="F3051" s="2">
        <f>IFERROR(__xludf.DUMMYFUNCTION("""COMPUTED_VALUE"""),2.8748227E7)</f>
        <v>28748227</v>
      </c>
    </row>
    <row r="3052">
      <c r="A3052" s="3">
        <f>IFERROR(__xludf.DUMMYFUNCTION("""COMPUTED_VALUE"""),44783.66666666667)</f>
        <v>44783.66667</v>
      </c>
      <c r="B3052" s="2">
        <f>IFERROR(__xludf.DUMMYFUNCTION("""COMPUTED_VALUE"""),297.07)</f>
        <v>297.07</v>
      </c>
      <c r="C3052" s="2">
        <f>IFERROR(__xludf.DUMMYFUNCTION("""COMPUTED_VALUE"""),297.51)</f>
        <v>297.51</v>
      </c>
      <c r="D3052" s="2">
        <f>IFERROR(__xludf.DUMMYFUNCTION("""COMPUTED_VALUE"""),283.37)</f>
        <v>283.37</v>
      </c>
      <c r="E3052" s="2">
        <f>IFERROR(__xludf.DUMMYFUNCTION("""COMPUTED_VALUE"""),294.36)</f>
        <v>294.36</v>
      </c>
      <c r="F3052" s="2">
        <f>IFERROR(__xludf.DUMMYFUNCTION("""COMPUTED_VALUE"""),3.1639624E7)</f>
        <v>31639624</v>
      </c>
    </row>
    <row r="3053">
      <c r="A3053" s="3">
        <f>IFERROR(__xludf.DUMMYFUNCTION("""COMPUTED_VALUE"""),44784.66666666667)</f>
        <v>44784.66667</v>
      </c>
      <c r="B3053" s="2">
        <f>IFERROR(__xludf.DUMMYFUNCTION("""COMPUTED_VALUE"""),296.51)</f>
        <v>296.51</v>
      </c>
      <c r="C3053" s="2">
        <f>IFERROR(__xludf.DUMMYFUNCTION("""COMPUTED_VALUE"""),298.24)</f>
        <v>298.24</v>
      </c>
      <c r="D3053" s="2">
        <f>IFERROR(__xludf.DUMMYFUNCTION("""COMPUTED_VALUE"""),285.83)</f>
        <v>285.83</v>
      </c>
      <c r="E3053" s="2">
        <f>IFERROR(__xludf.DUMMYFUNCTION("""COMPUTED_VALUE"""),286.63)</f>
        <v>286.63</v>
      </c>
      <c r="F3053" s="2">
        <f>IFERROR(__xludf.DUMMYFUNCTION("""COMPUTED_VALUE"""),2.3385015E7)</f>
        <v>23385015</v>
      </c>
    </row>
    <row r="3054">
      <c r="A3054" s="3">
        <f>IFERROR(__xludf.DUMMYFUNCTION("""COMPUTED_VALUE"""),44785.66666666667)</f>
        <v>44785.66667</v>
      </c>
      <c r="B3054" s="2">
        <f>IFERROR(__xludf.DUMMYFUNCTION("""COMPUTED_VALUE"""),289.42)</f>
        <v>289.42</v>
      </c>
      <c r="C3054" s="2">
        <f>IFERROR(__xludf.DUMMYFUNCTION("""COMPUTED_VALUE"""),300.16)</f>
        <v>300.16</v>
      </c>
      <c r="D3054" s="2">
        <f>IFERROR(__xludf.DUMMYFUNCTION("""COMPUTED_VALUE"""),285.03)</f>
        <v>285.03</v>
      </c>
      <c r="E3054" s="2">
        <f>IFERROR(__xludf.DUMMYFUNCTION("""COMPUTED_VALUE"""),300.03)</f>
        <v>300.03</v>
      </c>
      <c r="F3054" s="2">
        <f>IFERROR(__xludf.DUMMYFUNCTION("""COMPUTED_VALUE"""),2.6552429E7)</f>
        <v>26552429</v>
      </c>
    </row>
    <row r="3055">
      <c r="A3055" s="3">
        <f>IFERROR(__xludf.DUMMYFUNCTION("""COMPUTED_VALUE"""),44788.66666666667)</f>
        <v>44788.66667</v>
      </c>
      <c r="B3055" s="2">
        <f>IFERROR(__xludf.DUMMYFUNCTION("""COMPUTED_VALUE"""),301.79)</f>
        <v>301.79</v>
      </c>
      <c r="C3055" s="2">
        <f>IFERROR(__xludf.DUMMYFUNCTION("""COMPUTED_VALUE"""),313.13)</f>
        <v>313.13</v>
      </c>
      <c r="D3055" s="2">
        <f>IFERROR(__xludf.DUMMYFUNCTION("""COMPUTED_VALUE"""),301.23)</f>
        <v>301.23</v>
      </c>
      <c r="E3055" s="2">
        <f>IFERROR(__xludf.DUMMYFUNCTION("""COMPUTED_VALUE"""),309.32)</f>
        <v>309.32</v>
      </c>
      <c r="F3055" s="2">
        <f>IFERROR(__xludf.DUMMYFUNCTION("""COMPUTED_VALUE"""),2.9786389E7)</f>
        <v>29786389</v>
      </c>
    </row>
    <row r="3056">
      <c r="A3056" s="3">
        <f>IFERROR(__xludf.DUMMYFUNCTION("""COMPUTED_VALUE"""),44789.66666666667)</f>
        <v>44789.66667</v>
      </c>
      <c r="B3056" s="2">
        <f>IFERROR(__xludf.DUMMYFUNCTION("""COMPUTED_VALUE"""),311.67)</f>
        <v>311.67</v>
      </c>
      <c r="C3056" s="2">
        <f>IFERROR(__xludf.DUMMYFUNCTION("""COMPUTED_VALUE"""),314.67)</f>
        <v>314.67</v>
      </c>
      <c r="D3056" s="2">
        <f>IFERROR(__xludf.DUMMYFUNCTION("""COMPUTED_VALUE"""),302.88)</f>
        <v>302.88</v>
      </c>
      <c r="E3056" s="2">
        <f>IFERROR(__xludf.DUMMYFUNCTION("""COMPUTED_VALUE"""),306.56)</f>
        <v>306.56</v>
      </c>
      <c r="F3056" s="2">
        <f>IFERROR(__xludf.DUMMYFUNCTION("""COMPUTED_VALUE"""),2.9378774E7)</f>
        <v>29378774</v>
      </c>
    </row>
    <row r="3057">
      <c r="A3057" s="3">
        <f>IFERROR(__xludf.DUMMYFUNCTION("""COMPUTED_VALUE"""),44790.66666666667)</f>
        <v>44790.66667</v>
      </c>
      <c r="B3057" s="2">
        <f>IFERROR(__xludf.DUMMYFUNCTION("""COMPUTED_VALUE"""),303.4)</f>
        <v>303.4</v>
      </c>
      <c r="C3057" s="2">
        <f>IFERROR(__xludf.DUMMYFUNCTION("""COMPUTED_VALUE"""),309.66)</f>
        <v>309.66</v>
      </c>
      <c r="D3057" s="2">
        <f>IFERROR(__xludf.DUMMYFUNCTION("""COMPUTED_VALUE"""),300.03)</f>
        <v>300.03</v>
      </c>
      <c r="E3057" s="2">
        <f>IFERROR(__xludf.DUMMYFUNCTION("""COMPUTED_VALUE"""),304.0)</f>
        <v>304</v>
      </c>
      <c r="F3057" s="2">
        <f>IFERROR(__xludf.DUMMYFUNCTION("""COMPUTED_VALUE"""),2.292199E7)</f>
        <v>22921990</v>
      </c>
    </row>
    <row r="3058">
      <c r="A3058" s="3">
        <f>IFERROR(__xludf.DUMMYFUNCTION("""COMPUTED_VALUE"""),44791.66666666667)</f>
        <v>44791.66667</v>
      </c>
      <c r="B3058" s="2">
        <f>IFERROR(__xludf.DUMMYFUNCTION("""COMPUTED_VALUE"""),306.0)</f>
        <v>306</v>
      </c>
      <c r="C3058" s="2">
        <f>IFERROR(__xludf.DUMMYFUNCTION("""COMPUTED_VALUE"""),306.5)</f>
        <v>306.5</v>
      </c>
      <c r="D3058" s="2">
        <f>IFERROR(__xludf.DUMMYFUNCTION("""COMPUTED_VALUE"""),301.85)</f>
        <v>301.85</v>
      </c>
      <c r="E3058" s="2">
        <f>IFERROR(__xludf.DUMMYFUNCTION("""COMPUTED_VALUE"""),302.87)</f>
        <v>302.87</v>
      </c>
      <c r="F3058" s="2">
        <f>IFERROR(__xludf.DUMMYFUNCTION("""COMPUTED_VALUE"""),1.5833512E7)</f>
        <v>15833512</v>
      </c>
    </row>
    <row r="3059">
      <c r="A3059" s="3">
        <f>IFERROR(__xludf.DUMMYFUNCTION("""COMPUTED_VALUE"""),44792.66666666667)</f>
        <v>44792.66667</v>
      </c>
      <c r="B3059" s="2">
        <f>IFERROR(__xludf.DUMMYFUNCTION("""COMPUTED_VALUE"""),299.0)</f>
        <v>299</v>
      </c>
      <c r="C3059" s="2">
        <f>IFERROR(__xludf.DUMMYFUNCTION("""COMPUTED_VALUE"""),300.36)</f>
        <v>300.36</v>
      </c>
      <c r="D3059" s="2">
        <f>IFERROR(__xludf.DUMMYFUNCTION("""COMPUTED_VALUE"""),292.5)</f>
        <v>292.5</v>
      </c>
      <c r="E3059" s="2">
        <f>IFERROR(__xludf.DUMMYFUNCTION("""COMPUTED_VALUE"""),296.67)</f>
        <v>296.67</v>
      </c>
      <c r="F3059" s="2">
        <f>IFERROR(__xludf.DUMMYFUNCTION("""COMPUTED_VALUE"""),2.0465129E7)</f>
        <v>20465129</v>
      </c>
    </row>
    <row r="3060">
      <c r="A3060" s="3">
        <f>IFERROR(__xludf.DUMMYFUNCTION("""COMPUTED_VALUE"""),44795.66666666667)</f>
        <v>44795.66667</v>
      </c>
      <c r="B3060" s="2">
        <f>IFERROR(__xludf.DUMMYFUNCTION("""COMPUTED_VALUE"""),291.91)</f>
        <v>291.91</v>
      </c>
      <c r="C3060" s="2">
        <f>IFERROR(__xludf.DUMMYFUNCTION("""COMPUTED_VALUE"""),292.4)</f>
        <v>292.4</v>
      </c>
      <c r="D3060" s="2">
        <f>IFERROR(__xludf.DUMMYFUNCTION("""COMPUTED_VALUE"""),286.3)</f>
        <v>286.3</v>
      </c>
      <c r="E3060" s="2">
        <f>IFERROR(__xludf.DUMMYFUNCTION("""COMPUTED_VALUE"""),289.91)</f>
        <v>289.91</v>
      </c>
      <c r="F3060" s="2">
        <f>IFERROR(__xludf.DUMMYFUNCTION("""COMPUTED_VALUE"""),1.8614449E7)</f>
        <v>18614449</v>
      </c>
    </row>
    <row r="3061">
      <c r="A3061" s="3">
        <f>IFERROR(__xludf.DUMMYFUNCTION("""COMPUTED_VALUE"""),44796.66666666667)</f>
        <v>44796.66667</v>
      </c>
      <c r="B3061" s="2">
        <f>IFERROR(__xludf.DUMMYFUNCTION("""COMPUTED_VALUE"""),291.45)</f>
        <v>291.45</v>
      </c>
      <c r="C3061" s="2">
        <f>IFERROR(__xludf.DUMMYFUNCTION("""COMPUTED_VALUE"""),298.83)</f>
        <v>298.83</v>
      </c>
      <c r="D3061" s="2">
        <f>IFERROR(__xludf.DUMMYFUNCTION("""COMPUTED_VALUE"""),287.92)</f>
        <v>287.92</v>
      </c>
      <c r="E3061" s="2">
        <f>IFERROR(__xludf.DUMMYFUNCTION("""COMPUTED_VALUE"""),296.45)</f>
        <v>296.45</v>
      </c>
      <c r="F3061" s="2">
        <f>IFERROR(__xludf.DUMMYFUNCTION("""COMPUTED_VALUE"""),2.1328348E7)</f>
        <v>21328348</v>
      </c>
    </row>
    <row r="3062">
      <c r="A3062" s="3">
        <f>IFERROR(__xludf.DUMMYFUNCTION("""COMPUTED_VALUE"""),44797.66666666667)</f>
        <v>44797.66667</v>
      </c>
      <c r="B3062" s="2">
        <f>IFERROR(__xludf.DUMMYFUNCTION("""COMPUTED_VALUE"""),297.56)</f>
        <v>297.56</v>
      </c>
      <c r="C3062" s="2">
        <f>IFERROR(__xludf.DUMMYFUNCTION("""COMPUTED_VALUE"""),303.65)</f>
        <v>303.65</v>
      </c>
      <c r="D3062" s="2">
        <f>IFERROR(__xludf.DUMMYFUNCTION("""COMPUTED_VALUE"""),296.5)</f>
        <v>296.5</v>
      </c>
      <c r="E3062" s="2">
        <f>IFERROR(__xludf.DUMMYFUNCTION("""COMPUTED_VALUE"""),297.1)</f>
        <v>297.1</v>
      </c>
      <c r="F3062" s="2">
        <f>IFERROR(__xludf.DUMMYFUNCTION("""COMPUTED_VALUE"""),1.9086572E7)</f>
        <v>19086572</v>
      </c>
    </row>
    <row r="3063">
      <c r="A3063" s="3">
        <f>IFERROR(__xludf.DUMMYFUNCTION("""COMPUTED_VALUE"""),44798.66666666667)</f>
        <v>44798.66667</v>
      </c>
      <c r="B3063" s="2">
        <f>IFERROR(__xludf.DUMMYFUNCTION("""COMPUTED_VALUE"""),302.36)</f>
        <v>302.36</v>
      </c>
      <c r="C3063" s="2">
        <f>IFERROR(__xludf.DUMMYFUNCTION("""COMPUTED_VALUE"""),302.96)</f>
        <v>302.96</v>
      </c>
      <c r="D3063" s="2">
        <f>IFERROR(__xludf.DUMMYFUNCTION("""COMPUTED_VALUE"""),291.6)</f>
        <v>291.6</v>
      </c>
      <c r="E3063" s="2">
        <f>IFERROR(__xludf.DUMMYFUNCTION("""COMPUTED_VALUE"""),296.07)</f>
        <v>296.07</v>
      </c>
      <c r="F3063" s="2">
        <f>IFERROR(__xludf.DUMMYFUNCTION("""COMPUTED_VALUE"""),5.3230013E7)</f>
        <v>53230013</v>
      </c>
    </row>
    <row r="3064">
      <c r="A3064" s="3">
        <f>IFERROR(__xludf.DUMMYFUNCTION("""COMPUTED_VALUE"""),44799.66666666667)</f>
        <v>44799.66667</v>
      </c>
      <c r="B3064" s="2">
        <f>IFERROR(__xludf.DUMMYFUNCTION("""COMPUTED_VALUE"""),297.43)</f>
        <v>297.43</v>
      </c>
      <c r="C3064" s="2">
        <f>IFERROR(__xludf.DUMMYFUNCTION("""COMPUTED_VALUE"""),302.0)</f>
        <v>302</v>
      </c>
      <c r="D3064" s="2">
        <f>IFERROR(__xludf.DUMMYFUNCTION("""COMPUTED_VALUE"""),287.47)</f>
        <v>287.47</v>
      </c>
      <c r="E3064" s="2">
        <f>IFERROR(__xludf.DUMMYFUNCTION("""COMPUTED_VALUE"""),288.09)</f>
        <v>288.09</v>
      </c>
      <c r="F3064" s="2">
        <f>IFERROR(__xludf.DUMMYFUNCTION("""COMPUTED_VALUE"""),5.7163947E7)</f>
        <v>57163947</v>
      </c>
    </row>
    <row r="3065">
      <c r="A3065" s="3">
        <f>IFERROR(__xludf.DUMMYFUNCTION("""COMPUTED_VALUE"""),44802.66666666667)</f>
        <v>44802.66667</v>
      </c>
      <c r="B3065" s="2">
        <f>IFERROR(__xludf.DUMMYFUNCTION("""COMPUTED_VALUE"""),282.83)</f>
        <v>282.83</v>
      </c>
      <c r="C3065" s="2">
        <f>IFERROR(__xludf.DUMMYFUNCTION("""COMPUTED_VALUE"""),287.74)</f>
        <v>287.74</v>
      </c>
      <c r="D3065" s="2">
        <f>IFERROR(__xludf.DUMMYFUNCTION("""COMPUTED_VALUE"""),280.7)</f>
        <v>280.7</v>
      </c>
      <c r="E3065" s="2">
        <f>IFERROR(__xludf.DUMMYFUNCTION("""COMPUTED_VALUE"""),284.82)</f>
        <v>284.82</v>
      </c>
      <c r="F3065" s="2">
        <f>IFERROR(__xludf.DUMMYFUNCTION("""COMPUTED_VALUE"""),4.1864742E7)</f>
        <v>41864742</v>
      </c>
    </row>
    <row r="3066">
      <c r="A3066" s="3">
        <f>IFERROR(__xludf.DUMMYFUNCTION("""COMPUTED_VALUE"""),44803.66666666667)</f>
        <v>44803.66667</v>
      </c>
      <c r="B3066" s="2">
        <f>IFERROR(__xludf.DUMMYFUNCTION("""COMPUTED_VALUE"""),287.87)</f>
        <v>287.87</v>
      </c>
      <c r="C3066" s="2">
        <f>IFERROR(__xludf.DUMMYFUNCTION("""COMPUTED_VALUE"""),288.48)</f>
        <v>288.48</v>
      </c>
      <c r="D3066" s="2">
        <f>IFERROR(__xludf.DUMMYFUNCTION("""COMPUTED_VALUE"""),272.65)</f>
        <v>272.65</v>
      </c>
      <c r="E3066" s="2">
        <f>IFERROR(__xludf.DUMMYFUNCTION("""COMPUTED_VALUE"""),277.7)</f>
        <v>277.7</v>
      </c>
      <c r="F3066" s="2">
        <f>IFERROR(__xludf.DUMMYFUNCTION("""COMPUTED_VALUE"""),5.0541759E7)</f>
        <v>50541759</v>
      </c>
    </row>
    <row r="3067">
      <c r="A3067" s="3">
        <f>IFERROR(__xludf.DUMMYFUNCTION("""COMPUTED_VALUE"""),44804.66666666667)</f>
        <v>44804.66667</v>
      </c>
      <c r="B3067" s="2">
        <f>IFERROR(__xludf.DUMMYFUNCTION("""COMPUTED_VALUE"""),280.62)</f>
        <v>280.62</v>
      </c>
      <c r="C3067" s="2">
        <f>IFERROR(__xludf.DUMMYFUNCTION("""COMPUTED_VALUE"""),281.25)</f>
        <v>281.25</v>
      </c>
      <c r="D3067" s="2">
        <f>IFERROR(__xludf.DUMMYFUNCTION("""COMPUTED_VALUE"""),271.81)</f>
        <v>271.81</v>
      </c>
      <c r="E3067" s="2">
        <f>IFERROR(__xludf.DUMMYFUNCTION("""COMPUTED_VALUE"""),275.61)</f>
        <v>275.61</v>
      </c>
      <c r="F3067" s="2">
        <f>IFERROR(__xludf.DUMMYFUNCTION("""COMPUTED_VALUE"""),5.2107337E7)</f>
        <v>52107337</v>
      </c>
    </row>
    <row r="3068">
      <c r="A3068" s="3">
        <f>IFERROR(__xludf.DUMMYFUNCTION("""COMPUTED_VALUE"""),44805.66666666667)</f>
        <v>44805.66667</v>
      </c>
      <c r="B3068" s="2">
        <f>IFERROR(__xludf.DUMMYFUNCTION("""COMPUTED_VALUE"""),272.58)</f>
        <v>272.58</v>
      </c>
      <c r="C3068" s="2">
        <f>IFERROR(__xludf.DUMMYFUNCTION("""COMPUTED_VALUE"""),277.58)</f>
        <v>277.58</v>
      </c>
      <c r="D3068" s="2">
        <f>IFERROR(__xludf.DUMMYFUNCTION("""COMPUTED_VALUE"""),266.15)</f>
        <v>266.15</v>
      </c>
      <c r="E3068" s="2">
        <f>IFERROR(__xludf.DUMMYFUNCTION("""COMPUTED_VALUE"""),277.16)</f>
        <v>277.16</v>
      </c>
      <c r="F3068" s="2">
        <f>IFERROR(__xludf.DUMMYFUNCTION("""COMPUTED_VALUE"""),5.4287024E7)</f>
        <v>54287024</v>
      </c>
    </row>
    <row r="3069">
      <c r="A3069" s="3">
        <f>IFERROR(__xludf.DUMMYFUNCTION("""COMPUTED_VALUE"""),44806.66666666667)</f>
        <v>44806.66667</v>
      </c>
      <c r="B3069" s="2">
        <f>IFERROR(__xludf.DUMMYFUNCTION("""COMPUTED_VALUE"""),281.07)</f>
        <v>281.07</v>
      </c>
      <c r="C3069" s="2">
        <f>IFERROR(__xludf.DUMMYFUNCTION("""COMPUTED_VALUE"""),282.35)</f>
        <v>282.35</v>
      </c>
      <c r="D3069" s="2">
        <f>IFERROR(__xludf.DUMMYFUNCTION("""COMPUTED_VALUE"""),269.08)</f>
        <v>269.08</v>
      </c>
      <c r="E3069" s="2">
        <f>IFERROR(__xludf.DUMMYFUNCTION("""COMPUTED_VALUE"""),270.21)</f>
        <v>270.21</v>
      </c>
      <c r="F3069" s="2">
        <f>IFERROR(__xludf.DUMMYFUNCTION("""COMPUTED_VALUE"""),5.089009E7)</f>
        <v>50890090</v>
      </c>
    </row>
    <row r="3070">
      <c r="A3070" s="3">
        <f>IFERROR(__xludf.DUMMYFUNCTION("""COMPUTED_VALUE"""),44810.66666666667)</f>
        <v>44810.66667</v>
      </c>
      <c r="B3070" s="2">
        <f>IFERROR(__xludf.DUMMYFUNCTION("""COMPUTED_VALUE"""),272.68)</f>
        <v>272.68</v>
      </c>
      <c r="C3070" s="2">
        <f>IFERROR(__xludf.DUMMYFUNCTION("""COMPUTED_VALUE"""),275.99)</f>
        <v>275.99</v>
      </c>
      <c r="D3070" s="2">
        <f>IFERROR(__xludf.DUMMYFUNCTION("""COMPUTED_VALUE"""),265.74)</f>
        <v>265.74</v>
      </c>
      <c r="E3070" s="2">
        <f>IFERROR(__xludf.DUMMYFUNCTION("""COMPUTED_VALUE"""),274.42)</f>
        <v>274.42</v>
      </c>
      <c r="F3070" s="2">
        <f>IFERROR(__xludf.DUMMYFUNCTION("""COMPUTED_VALUE"""),5.5859984E7)</f>
        <v>55859984</v>
      </c>
    </row>
    <row r="3071">
      <c r="A3071" s="3">
        <f>IFERROR(__xludf.DUMMYFUNCTION("""COMPUTED_VALUE"""),44811.66666666667)</f>
        <v>44811.66667</v>
      </c>
      <c r="B3071" s="2">
        <f>IFERROR(__xludf.DUMMYFUNCTION("""COMPUTED_VALUE"""),273.1)</f>
        <v>273.1</v>
      </c>
      <c r="C3071" s="2">
        <f>IFERROR(__xludf.DUMMYFUNCTION("""COMPUTED_VALUE"""),283.84)</f>
        <v>283.84</v>
      </c>
      <c r="D3071" s="2">
        <f>IFERROR(__xludf.DUMMYFUNCTION("""COMPUTED_VALUE"""),272.27)</f>
        <v>272.27</v>
      </c>
      <c r="E3071" s="2">
        <f>IFERROR(__xludf.DUMMYFUNCTION("""COMPUTED_VALUE"""),283.7)</f>
        <v>283.7</v>
      </c>
      <c r="F3071" s="2">
        <f>IFERROR(__xludf.DUMMYFUNCTION("""COMPUTED_VALUE"""),5.0028916E7)</f>
        <v>50028916</v>
      </c>
    </row>
    <row r="3072">
      <c r="A3072" s="3">
        <f>IFERROR(__xludf.DUMMYFUNCTION("""COMPUTED_VALUE"""),44812.66666666667)</f>
        <v>44812.66667</v>
      </c>
      <c r="B3072" s="2">
        <f>IFERROR(__xludf.DUMMYFUNCTION("""COMPUTED_VALUE"""),281.3)</f>
        <v>281.3</v>
      </c>
      <c r="C3072" s="2">
        <f>IFERROR(__xludf.DUMMYFUNCTION("""COMPUTED_VALUE"""),289.5)</f>
        <v>289.5</v>
      </c>
      <c r="D3072" s="2">
        <f>IFERROR(__xludf.DUMMYFUNCTION("""COMPUTED_VALUE"""),279.76)</f>
        <v>279.76</v>
      </c>
      <c r="E3072" s="2">
        <f>IFERROR(__xludf.DUMMYFUNCTION("""COMPUTED_VALUE"""),289.26)</f>
        <v>289.26</v>
      </c>
      <c r="F3072" s="2">
        <f>IFERROR(__xludf.DUMMYFUNCTION("""COMPUTED_VALUE"""),5.3713124E7)</f>
        <v>53713124</v>
      </c>
    </row>
    <row r="3073">
      <c r="A3073" s="3">
        <f>IFERROR(__xludf.DUMMYFUNCTION("""COMPUTED_VALUE"""),44813.66666666667)</f>
        <v>44813.66667</v>
      </c>
      <c r="B3073" s="2">
        <f>IFERROR(__xludf.DUMMYFUNCTION("""COMPUTED_VALUE"""),291.67)</f>
        <v>291.67</v>
      </c>
      <c r="C3073" s="2">
        <f>IFERROR(__xludf.DUMMYFUNCTION("""COMPUTED_VALUE"""),299.85)</f>
        <v>299.85</v>
      </c>
      <c r="D3073" s="2">
        <f>IFERROR(__xludf.DUMMYFUNCTION("""COMPUTED_VALUE"""),291.25)</f>
        <v>291.25</v>
      </c>
      <c r="E3073" s="2">
        <f>IFERROR(__xludf.DUMMYFUNCTION("""COMPUTED_VALUE"""),299.68)</f>
        <v>299.68</v>
      </c>
      <c r="F3073" s="2">
        <f>IFERROR(__xludf.DUMMYFUNCTION("""COMPUTED_VALUE"""),5.4470854E7)</f>
        <v>54470854</v>
      </c>
    </row>
    <row r="3074">
      <c r="A3074" s="3">
        <f>IFERROR(__xludf.DUMMYFUNCTION("""COMPUTED_VALUE"""),44816.66666666667)</f>
        <v>44816.66667</v>
      </c>
      <c r="B3074" s="2">
        <f>IFERROR(__xludf.DUMMYFUNCTION("""COMPUTED_VALUE"""),300.72)</f>
        <v>300.72</v>
      </c>
      <c r="C3074" s="2">
        <f>IFERROR(__xludf.DUMMYFUNCTION("""COMPUTED_VALUE"""),305.49)</f>
        <v>305.49</v>
      </c>
      <c r="D3074" s="2">
        <f>IFERROR(__xludf.DUMMYFUNCTION("""COMPUTED_VALUE"""),300.4)</f>
        <v>300.4</v>
      </c>
      <c r="E3074" s="2">
        <f>IFERROR(__xludf.DUMMYFUNCTION("""COMPUTED_VALUE"""),304.42)</f>
        <v>304.42</v>
      </c>
      <c r="F3074" s="2">
        <f>IFERROR(__xludf.DUMMYFUNCTION("""COMPUTED_VALUE"""),4.8674604E7)</f>
        <v>48674604</v>
      </c>
    </row>
    <row r="3075">
      <c r="A3075" s="3">
        <f>IFERROR(__xludf.DUMMYFUNCTION("""COMPUTED_VALUE"""),44817.66666666667)</f>
        <v>44817.66667</v>
      </c>
      <c r="B3075" s="2">
        <f>IFERROR(__xludf.DUMMYFUNCTION("""COMPUTED_VALUE"""),292.9)</f>
        <v>292.9</v>
      </c>
      <c r="C3075" s="2">
        <f>IFERROR(__xludf.DUMMYFUNCTION("""COMPUTED_VALUE"""),297.4)</f>
        <v>297.4</v>
      </c>
      <c r="D3075" s="2">
        <f>IFERROR(__xludf.DUMMYFUNCTION("""COMPUTED_VALUE"""),290.4)</f>
        <v>290.4</v>
      </c>
      <c r="E3075" s="2">
        <f>IFERROR(__xludf.DUMMYFUNCTION("""COMPUTED_VALUE"""),292.13)</f>
        <v>292.13</v>
      </c>
      <c r="F3075" s="2">
        <f>IFERROR(__xludf.DUMMYFUNCTION("""COMPUTED_VALUE"""),6.8229619E7)</f>
        <v>68229619</v>
      </c>
    </row>
    <row r="3076">
      <c r="A3076" s="3">
        <f>IFERROR(__xludf.DUMMYFUNCTION("""COMPUTED_VALUE"""),44818.66666666667)</f>
        <v>44818.66667</v>
      </c>
      <c r="B3076" s="2">
        <f>IFERROR(__xludf.DUMMYFUNCTION("""COMPUTED_VALUE"""),292.24)</f>
        <v>292.24</v>
      </c>
      <c r="C3076" s="2">
        <f>IFERROR(__xludf.DUMMYFUNCTION("""COMPUTED_VALUE"""),306.0)</f>
        <v>306</v>
      </c>
      <c r="D3076" s="2">
        <f>IFERROR(__xludf.DUMMYFUNCTION("""COMPUTED_VALUE"""),291.64)</f>
        <v>291.64</v>
      </c>
      <c r="E3076" s="2">
        <f>IFERROR(__xludf.DUMMYFUNCTION("""COMPUTED_VALUE"""),302.61)</f>
        <v>302.61</v>
      </c>
      <c r="F3076" s="2">
        <f>IFERROR(__xludf.DUMMYFUNCTION("""COMPUTED_VALUE"""),7.2628653E7)</f>
        <v>72628653</v>
      </c>
    </row>
    <row r="3077">
      <c r="A3077" s="3">
        <f>IFERROR(__xludf.DUMMYFUNCTION("""COMPUTED_VALUE"""),44819.66666666667)</f>
        <v>44819.66667</v>
      </c>
      <c r="B3077" s="2">
        <f>IFERROR(__xludf.DUMMYFUNCTION("""COMPUTED_VALUE"""),301.83)</f>
        <v>301.83</v>
      </c>
      <c r="C3077" s="2">
        <f>IFERROR(__xludf.DUMMYFUNCTION("""COMPUTED_VALUE"""),309.12)</f>
        <v>309.12</v>
      </c>
      <c r="D3077" s="2">
        <f>IFERROR(__xludf.DUMMYFUNCTION("""COMPUTED_VALUE"""),300.72)</f>
        <v>300.72</v>
      </c>
      <c r="E3077" s="2">
        <f>IFERROR(__xludf.DUMMYFUNCTION("""COMPUTED_VALUE"""),303.75)</f>
        <v>303.75</v>
      </c>
      <c r="F3077" s="2">
        <f>IFERROR(__xludf.DUMMYFUNCTION("""COMPUTED_VALUE"""),6.4795523E7)</f>
        <v>64795523</v>
      </c>
    </row>
    <row r="3078">
      <c r="A3078" s="3">
        <f>IFERROR(__xludf.DUMMYFUNCTION("""COMPUTED_VALUE"""),44820.66666666667)</f>
        <v>44820.66667</v>
      </c>
      <c r="B3078" s="2">
        <f>IFERROR(__xludf.DUMMYFUNCTION("""COMPUTED_VALUE"""),299.61)</f>
        <v>299.61</v>
      </c>
      <c r="C3078" s="2">
        <f>IFERROR(__xludf.DUMMYFUNCTION("""COMPUTED_VALUE"""),303.71)</f>
        <v>303.71</v>
      </c>
      <c r="D3078" s="2">
        <f>IFERROR(__xludf.DUMMYFUNCTION("""COMPUTED_VALUE"""),295.6)</f>
        <v>295.6</v>
      </c>
      <c r="E3078" s="2">
        <f>IFERROR(__xludf.DUMMYFUNCTION("""COMPUTED_VALUE"""),303.35)</f>
        <v>303.35</v>
      </c>
      <c r="F3078" s="2">
        <f>IFERROR(__xludf.DUMMYFUNCTION("""COMPUTED_VALUE"""),8.7087786E7)</f>
        <v>87087786</v>
      </c>
    </row>
    <row r="3079">
      <c r="A3079" s="3">
        <f>IFERROR(__xludf.DUMMYFUNCTION("""COMPUTED_VALUE"""),44823.66666666667)</f>
        <v>44823.66667</v>
      </c>
      <c r="B3079" s="2">
        <f>IFERROR(__xludf.DUMMYFUNCTION("""COMPUTED_VALUE"""),300.09)</f>
        <v>300.09</v>
      </c>
      <c r="C3079" s="2">
        <f>IFERROR(__xludf.DUMMYFUNCTION("""COMPUTED_VALUE"""),309.84)</f>
        <v>309.84</v>
      </c>
      <c r="D3079" s="2">
        <f>IFERROR(__xludf.DUMMYFUNCTION("""COMPUTED_VALUE"""),297.8)</f>
        <v>297.8</v>
      </c>
      <c r="E3079" s="2">
        <f>IFERROR(__xludf.DUMMYFUNCTION("""COMPUTED_VALUE"""),309.07)</f>
        <v>309.07</v>
      </c>
      <c r="F3079" s="2">
        <f>IFERROR(__xludf.DUMMYFUNCTION("""COMPUTED_VALUE"""),6.0231156E7)</f>
        <v>60231156</v>
      </c>
    </row>
    <row r="3080">
      <c r="A3080" s="3">
        <f>IFERROR(__xludf.DUMMYFUNCTION("""COMPUTED_VALUE"""),44824.66666666667)</f>
        <v>44824.66667</v>
      </c>
      <c r="B3080" s="2">
        <f>IFERROR(__xludf.DUMMYFUNCTION("""COMPUTED_VALUE"""),306.91)</f>
        <v>306.91</v>
      </c>
      <c r="C3080" s="2">
        <f>IFERROR(__xludf.DUMMYFUNCTION("""COMPUTED_VALUE"""),313.33)</f>
        <v>313.33</v>
      </c>
      <c r="D3080" s="2">
        <f>IFERROR(__xludf.DUMMYFUNCTION("""COMPUTED_VALUE"""),305.58)</f>
        <v>305.58</v>
      </c>
      <c r="E3080" s="2">
        <f>IFERROR(__xludf.DUMMYFUNCTION("""COMPUTED_VALUE"""),308.73)</f>
        <v>308.73</v>
      </c>
      <c r="F3080" s="2">
        <f>IFERROR(__xludf.DUMMYFUNCTION("""COMPUTED_VALUE"""),6.1642783E7)</f>
        <v>61642783</v>
      </c>
    </row>
    <row r="3081">
      <c r="A3081" s="3">
        <f>IFERROR(__xludf.DUMMYFUNCTION("""COMPUTED_VALUE"""),44825.66666666667)</f>
        <v>44825.66667</v>
      </c>
      <c r="B3081" s="2">
        <f>IFERROR(__xludf.DUMMYFUNCTION("""COMPUTED_VALUE"""),308.29)</f>
        <v>308.29</v>
      </c>
      <c r="C3081" s="2">
        <f>IFERROR(__xludf.DUMMYFUNCTION("""COMPUTED_VALUE"""),313.8)</f>
        <v>313.8</v>
      </c>
      <c r="D3081" s="2">
        <f>IFERROR(__xludf.DUMMYFUNCTION("""COMPUTED_VALUE"""),300.63)</f>
        <v>300.63</v>
      </c>
      <c r="E3081" s="2">
        <f>IFERROR(__xludf.DUMMYFUNCTION("""COMPUTED_VALUE"""),300.8)</f>
        <v>300.8</v>
      </c>
      <c r="F3081" s="2">
        <f>IFERROR(__xludf.DUMMYFUNCTION("""COMPUTED_VALUE"""),6.2555656E7)</f>
        <v>62555656</v>
      </c>
    </row>
    <row r="3082">
      <c r="A3082" s="3">
        <f>IFERROR(__xludf.DUMMYFUNCTION("""COMPUTED_VALUE"""),44826.66666666667)</f>
        <v>44826.66667</v>
      </c>
      <c r="B3082" s="2">
        <f>IFERROR(__xludf.DUMMYFUNCTION("""COMPUTED_VALUE"""),299.86)</f>
        <v>299.86</v>
      </c>
      <c r="C3082" s="2">
        <f>IFERROR(__xludf.DUMMYFUNCTION("""COMPUTED_VALUE"""),301.29)</f>
        <v>301.29</v>
      </c>
      <c r="D3082" s="2">
        <f>IFERROR(__xludf.DUMMYFUNCTION("""COMPUTED_VALUE"""),285.82)</f>
        <v>285.82</v>
      </c>
      <c r="E3082" s="2">
        <f>IFERROR(__xludf.DUMMYFUNCTION("""COMPUTED_VALUE"""),288.59)</f>
        <v>288.59</v>
      </c>
      <c r="F3082" s="2">
        <f>IFERROR(__xludf.DUMMYFUNCTION("""COMPUTED_VALUE"""),7.0545413E7)</f>
        <v>70545413</v>
      </c>
    </row>
    <row r="3083">
      <c r="A3083" s="3">
        <f>IFERROR(__xludf.DUMMYFUNCTION("""COMPUTED_VALUE"""),44827.66666666667)</f>
        <v>44827.66667</v>
      </c>
      <c r="B3083" s="2">
        <f>IFERROR(__xludf.DUMMYFUNCTION("""COMPUTED_VALUE"""),283.09)</f>
        <v>283.09</v>
      </c>
      <c r="C3083" s="2">
        <f>IFERROR(__xludf.DUMMYFUNCTION("""COMPUTED_VALUE"""),284.5)</f>
        <v>284.5</v>
      </c>
      <c r="D3083" s="2">
        <f>IFERROR(__xludf.DUMMYFUNCTION("""COMPUTED_VALUE"""),272.82)</f>
        <v>272.82</v>
      </c>
      <c r="E3083" s="2">
        <f>IFERROR(__xludf.DUMMYFUNCTION("""COMPUTED_VALUE"""),275.33)</f>
        <v>275.33</v>
      </c>
      <c r="F3083" s="2">
        <f>IFERROR(__xludf.DUMMYFUNCTION("""COMPUTED_VALUE"""),6.3748362E7)</f>
        <v>63748362</v>
      </c>
    </row>
    <row r="3084">
      <c r="A3084" s="3">
        <f>IFERROR(__xludf.DUMMYFUNCTION("""COMPUTED_VALUE"""),44830.66666666667)</f>
        <v>44830.66667</v>
      </c>
      <c r="B3084" s="2">
        <f>IFERROR(__xludf.DUMMYFUNCTION("""COMPUTED_VALUE"""),271.83)</f>
        <v>271.83</v>
      </c>
      <c r="C3084" s="2">
        <f>IFERROR(__xludf.DUMMYFUNCTION("""COMPUTED_VALUE"""),284.09)</f>
        <v>284.09</v>
      </c>
      <c r="D3084" s="2">
        <f>IFERROR(__xludf.DUMMYFUNCTION("""COMPUTED_VALUE"""),270.31)</f>
        <v>270.31</v>
      </c>
      <c r="E3084" s="2">
        <f>IFERROR(__xludf.DUMMYFUNCTION("""COMPUTED_VALUE"""),276.01)</f>
        <v>276.01</v>
      </c>
      <c r="F3084" s="2">
        <f>IFERROR(__xludf.DUMMYFUNCTION("""COMPUTED_VALUE"""),5.8076913E7)</f>
        <v>58076913</v>
      </c>
    </row>
    <row r="3085">
      <c r="A3085" s="3">
        <f>IFERROR(__xludf.DUMMYFUNCTION("""COMPUTED_VALUE"""),44831.66666666667)</f>
        <v>44831.66667</v>
      </c>
      <c r="B3085" s="2">
        <f>IFERROR(__xludf.DUMMYFUNCTION("""COMPUTED_VALUE"""),283.84)</f>
        <v>283.84</v>
      </c>
      <c r="C3085" s="2">
        <f>IFERROR(__xludf.DUMMYFUNCTION("""COMPUTED_VALUE"""),288.67)</f>
        <v>288.67</v>
      </c>
      <c r="D3085" s="2">
        <f>IFERROR(__xludf.DUMMYFUNCTION("""COMPUTED_VALUE"""),277.51)</f>
        <v>277.51</v>
      </c>
      <c r="E3085" s="2">
        <f>IFERROR(__xludf.DUMMYFUNCTION("""COMPUTED_VALUE"""),282.94)</f>
        <v>282.94</v>
      </c>
      <c r="F3085" s="2">
        <f>IFERROR(__xludf.DUMMYFUNCTION("""COMPUTED_VALUE"""),6.1925185E7)</f>
        <v>61925185</v>
      </c>
    </row>
    <row r="3086">
      <c r="A3086" s="3">
        <f>IFERROR(__xludf.DUMMYFUNCTION("""COMPUTED_VALUE"""),44832.66666666667)</f>
        <v>44832.66667</v>
      </c>
      <c r="B3086" s="2">
        <f>IFERROR(__xludf.DUMMYFUNCTION("""COMPUTED_VALUE"""),283.08)</f>
        <v>283.08</v>
      </c>
      <c r="C3086" s="2">
        <f>IFERROR(__xludf.DUMMYFUNCTION("""COMPUTED_VALUE"""),289.0)</f>
        <v>289</v>
      </c>
      <c r="D3086" s="2">
        <f>IFERROR(__xludf.DUMMYFUNCTION("""COMPUTED_VALUE"""),277.57)</f>
        <v>277.57</v>
      </c>
      <c r="E3086" s="2">
        <f>IFERROR(__xludf.DUMMYFUNCTION("""COMPUTED_VALUE"""),287.81)</f>
        <v>287.81</v>
      </c>
      <c r="F3086" s="2">
        <f>IFERROR(__xludf.DUMMYFUNCTION("""COMPUTED_VALUE"""),5.4664809E7)</f>
        <v>54664809</v>
      </c>
    </row>
    <row r="3087">
      <c r="A3087" s="3">
        <f>IFERROR(__xludf.DUMMYFUNCTION("""COMPUTED_VALUE"""),44833.66666666667)</f>
        <v>44833.66667</v>
      </c>
      <c r="B3087" s="2">
        <f>IFERROR(__xludf.DUMMYFUNCTION("""COMPUTED_VALUE"""),282.76)</f>
        <v>282.76</v>
      </c>
      <c r="C3087" s="2">
        <f>IFERROR(__xludf.DUMMYFUNCTION("""COMPUTED_VALUE"""),283.65)</f>
        <v>283.65</v>
      </c>
      <c r="D3087" s="2">
        <f>IFERROR(__xludf.DUMMYFUNCTION("""COMPUTED_VALUE"""),265.78)</f>
        <v>265.78</v>
      </c>
      <c r="E3087" s="2">
        <f>IFERROR(__xludf.DUMMYFUNCTION("""COMPUTED_VALUE"""),268.21)</f>
        <v>268.21</v>
      </c>
      <c r="F3087" s="2">
        <f>IFERROR(__xludf.DUMMYFUNCTION("""COMPUTED_VALUE"""),7.7620642E7)</f>
        <v>77620642</v>
      </c>
    </row>
    <row r="3088">
      <c r="A3088" s="3">
        <f>IFERROR(__xludf.DUMMYFUNCTION("""COMPUTED_VALUE"""),44834.66666666667)</f>
        <v>44834.66667</v>
      </c>
      <c r="B3088" s="2">
        <f>IFERROR(__xludf.DUMMYFUNCTION("""COMPUTED_VALUE"""),266.15)</f>
        <v>266.15</v>
      </c>
      <c r="C3088" s="2">
        <f>IFERROR(__xludf.DUMMYFUNCTION("""COMPUTED_VALUE"""),275.57)</f>
        <v>275.57</v>
      </c>
      <c r="D3088" s="2">
        <f>IFERROR(__xludf.DUMMYFUNCTION("""COMPUTED_VALUE"""),262.47)</f>
        <v>262.47</v>
      </c>
      <c r="E3088" s="2">
        <f>IFERROR(__xludf.DUMMYFUNCTION("""COMPUTED_VALUE"""),265.25)</f>
        <v>265.25</v>
      </c>
      <c r="F3088" s="2">
        <f>IFERROR(__xludf.DUMMYFUNCTION("""COMPUTED_VALUE"""),6.7726598E7)</f>
        <v>67726598</v>
      </c>
    </row>
    <row r="3089">
      <c r="A3089" s="3">
        <f>IFERROR(__xludf.DUMMYFUNCTION("""COMPUTED_VALUE"""),44837.66666666667)</f>
        <v>44837.66667</v>
      </c>
      <c r="B3089" s="2">
        <f>IFERROR(__xludf.DUMMYFUNCTION("""COMPUTED_VALUE"""),254.5)</f>
        <v>254.5</v>
      </c>
      <c r="C3089" s="2">
        <f>IFERROR(__xludf.DUMMYFUNCTION("""COMPUTED_VALUE"""),255.16)</f>
        <v>255.16</v>
      </c>
      <c r="D3089" s="2">
        <f>IFERROR(__xludf.DUMMYFUNCTION("""COMPUTED_VALUE"""),241.01)</f>
        <v>241.01</v>
      </c>
      <c r="E3089" s="2">
        <f>IFERROR(__xludf.DUMMYFUNCTION("""COMPUTED_VALUE"""),242.4)</f>
        <v>242.4</v>
      </c>
      <c r="F3089" s="2">
        <f>IFERROR(__xludf.DUMMYFUNCTION("""COMPUTED_VALUE"""),9.8363541E7)</f>
        <v>98363541</v>
      </c>
    </row>
    <row r="3090">
      <c r="A3090" s="3">
        <f>IFERROR(__xludf.DUMMYFUNCTION("""COMPUTED_VALUE"""),44838.66666666667)</f>
        <v>44838.66667</v>
      </c>
      <c r="B3090" s="2">
        <f>IFERROR(__xludf.DUMMYFUNCTION("""COMPUTED_VALUE"""),250.52)</f>
        <v>250.52</v>
      </c>
      <c r="C3090" s="2">
        <f>IFERROR(__xludf.DUMMYFUNCTION("""COMPUTED_VALUE"""),257.5)</f>
        <v>257.5</v>
      </c>
      <c r="D3090" s="2">
        <f>IFERROR(__xludf.DUMMYFUNCTION("""COMPUTED_VALUE"""),242.01)</f>
        <v>242.01</v>
      </c>
      <c r="E3090" s="2">
        <f>IFERROR(__xludf.DUMMYFUNCTION("""COMPUTED_VALUE"""),249.44)</f>
        <v>249.44</v>
      </c>
      <c r="F3090" s="2">
        <f>IFERROR(__xludf.DUMMYFUNCTION("""COMPUTED_VALUE"""),1.09578535E8)</f>
        <v>109578535</v>
      </c>
    </row>
    <row r="3091">
      <c r="A3091" s="3">
        <f>IFERROR(__xludf.DUMMYFUNCTION("""COMPUTED_VALUE"""),44839.66666666667)</f>
        <v>44839.66667</v>
      </c>
      <c r="B3091" s="2">
        <f>IFERROR(__xludf.DUMMYFUNCTION("""COMPUTED_VALUE"""),245.01)</f>
        <v>245.01</v>
      </c>
      <c r="C3091" s="2">
        <f>IFERROR(__xludf.DUMMYFUNCTION("""COMPUTED_VALUE"""),246.67)</f>
        <v>246.67</v>
      </c>
      <c r="D3091" s="2">
        <f>IFERROR(__xludf.DUMMYFUNCTION("""COMPUTED_VALUE"""),233.27)</f>
        <v>233.27</v>
      </c>
      <c r="E3091" s="2">
        <f>IFERROR(__xludf.DUMMYFUNCTION("""COMPUTED_VALUE"""),240.81)</f>
        <v>240.81</v>
      </c>
      <c r="F3091" s="2">
        <f>IFERROR(__xludf.DUMMYFUNCTION("""COMPUTED_VALUE"""),8.6982673E7)</f>
        <v>86982673</v>
      </c>
    </row>
    <row r="3092">
      <c r="A3092" s="3">
        <f>IFERROR(__xludf.DUMMYFUNCTION("""COMPUTED_VALUE"""),44840.66666666667)</f>
        <v>44840.66667</v>
      </c>
      <c r="B3092" s="2">
        <f>IFERROR(__xludf.DUMMYFUNCTION("""COMPUTED_VALUE"""),239.44)</f>
        <v>239.44</v>
      </c>
      <c r="C3092" s="2">
        <f>IFERROR(__xludf.DUMMYFUNCTION("""COMPUTED_VALUE"""),244.58)</f>
        <v>244.58</v>
      </c>
      <c r="D3092" s="2">
        <f>IFERROR(__xludf.DUMMYFUNCTION("""COMPUTED_VALUE"""),235.35)</f>
        <v>235.35</v>
      </c>
      <c r="E3092" s="2">
        <f>IFERROR(__xludf.DUMMYFUNCTION("""COMPUTED_VALUE"""),238.13)</f>
        <v>238.13</v>
      </c>
      <c r="F3092" s="2">
        <f>IFERROR(__xludf.DUMMYFUNCTION("""COMPUTED_VALUE"""),6.9298437E7)</f>
        <v>69298437</v>
      </c>
    </row>
    <row r="3093">
      <c r="A3093" s="3">
        <f>IFERROR(__xludf.DUMMYFUNCTION("""COMPUTED_VALUE"""),44841.66666666667)</f>
        <v>44841.66667</v>
      </c>
      <c r="B3093" s="2">
        <f>IFERROR(__xludf.DUMMYFUNCTION("""COMPUTED_VALUE"""),233.94)</f>
        <v>233.94</v>
      </c>
      <c r="C3093" s="2">
        <f>IFERROR(__xludf.DUMMYFUNCTION("""COMPUTED_VALUE"""),234.57)</f>
        <v>234.57</v>
      </c>
      <c r="D3093" s="2">
        <f>IFERROR(__xludf.DUMMYFUNCTION("""COMPUTED_VALUE"""),222.02)</f>
        <v>222.02</v>
      </c>
      <c r="E3093" s="2">
        <f>IFERROR(__xludf.DUMMYFUNCTION("""COMPUTED_VALUE"""),223.07)</f>
        <v>223.07</v>
      </c>
      <c r="F3093" s="2">
        <f>IFERROR(__xludf.DUMMYFUNCTION("""COMPUTED_VALUE"""),8.39168E7)</f>
        <v>83916800</v>
      </c>
    </row>
    <row r="3094">
      <c r="A3094" s="3">
        <f>IFERROR(__xludf.DUMMYFUNCTION("""COMPUTED_VALUE"""),44844.66666666667)</f>
        <v>44844.66667</v>
      </c>
      <c r="B3094" s="2">
        <f>IFERROR(__xludf.DUMMYFUNCTION("""COMPUTED_VALUE"""),223.93)</f>
        <v>223.93</v>
      </c>
      <c r="C3094" s="2">
        <f>IFERROR(__xludf.DUMMYFUNCTION("""COMPUTED_VALUE"""),226.99)</f>
        <v>226.99</v>
      </c>
      <c r="D3094" s="2">
        <f>IFERROR(__xludf.DUMMYFUNCTION("""COMPUTED_VALUE"""),218.36)</f>
        <v>218.36</v>
      </c>
      <c r="E3094" s="2">
        <f>IFERROR(__xludf.DUMMYFUNCTION("""COMPUTED_VALUE"""),222.96)</f>
        <v>222.96</v>
      </c>
      <c r="F3094" s="2">
        <f>IFERROR(__xludf.DUMMYFUNCTION("""COMPUTED_VALUE"""),6.7925018E7)</f>
        <v>67925018</v>
      </c>
    </row>
    <row r="3095">
      <c r="A3095" s="3">
        <f>IFERROR(__xludf.DUMMYFUNCTION("""COMPUTED_VALUE"""),44845.66666666667)</f>
        <v>44845.66667</v>
      </c>
      <c r="B3095" s="2">
        <f>IFERROR(__xludf.DUMMYFUNCTION("""COMPUTED_VALUE"""),220.95)</f>
        <v>220.95</v>
      </c>
      <c r="C3095" s="2">
        <f>IFERROR(__xludf.DUMMYFUNCTION("""COMPUTED_VALUE"""),225.75)</f>
        <v>225.75</v>
      </c>
      <c r="D3095" s="2">
        <f>IFERROR(__xludf.DUMMYFUNCTION("""COMPUTED_VALUE"""),215.0)</f>
        <v>215</v>
      </c>
      <c r="E3095" s="2">
        <f>IFERROR(__xludf.DUMMYFUNCTION("""COMPUTED_VALUE"""),216.5)</f>
        <v>216.5</v>
      </c>
      <c r="F3095" s="2">
        <f>IFERROR(__xludf.DUMMYFUNCTION("""COMPUTED_VALUE"""),7.7013202E7)</f>
        <v>77013202</v>
      </c>
    </row>
    <row r="3096">
      <c r="A3096" s="3">
        <f>IFERROR(__xludf.DUMMYFUNCTION("""COMPUTED_VALUE"""),44846.66666666667)</f>
        <v>44846.66667</v>
      </c>
      <c r="B3096" s="2">
        <f>IFERROR(__xludf.DUMMYFUNCTION("""COMPUTED_VALUE"""),215.33)</f>
        <v>215.33</v>
      </c>
      <c r="C3096" s="2">
        <f>IFERROR(__xludf.DUMMYFUNCTION("""COMPUTED_VALUE"""),219.3)</f>
        <v>219.3</v>
      </c>
      <c r="D3096" s="2">
        <f>IFERROR(__xludf.DUMMYFUNCTION("""COMPUTED_VALUE"""),211.51)</f>
        <v>211.51</v>
      </c>
      <c r="E3096" s="2">
        <f>IFERROR(__xludf.DUMMYFUNCTION("""COMPUTED_VALUE"""),217.24)</f>
        <v>217.24</v>
      </c>
      <c r="F3096" s="2">
        <f>IFERROR(__xludf.DUMMYFUNCTION("""COMPUTED_VALUE"""),6.6860699E7)</f>
        <v>66860699</v>
      </c>
    </row>
    <row r="3097">
      <c r="A3097" s="3">
        <f>IFERROR(__xludf.DUMMYFUNCTION("""COMPUTED_VALUE"""),44847.66666666667)</f>
        <v>44847.66667</v>
      </c>
      <c r="B3097" s="2">
        <f>IFERROR(__xludf.DUMMYFUNCTION("""COMPUTED_VALUE"""),208.3)</f>
        <v>208.3</v>
      </c>
      <c r="C3097" s="2">
        <f>IFERROR(__xludf.DUMMYFUNCTION("""COMPUTED_VALUE"""),222.99)</f>
        <v>222.99</v>
      </c>
      <c r="D3097" s="2">
        <f>IFERROR(__xludf.DUMMYFUNCTION("""COMPUTED_VALUE"""),206.22)</f>
        <v>206.22</v>
      </c>
      <c r="E3097" s="2">
        <f>IFERROR(__xludf.DUMMYFUNCTION("""COMPUTED_VALUE"""),221.72)</f>
        <v>221.72</v>
      </c>
      <c r="F3097" s="2">
        <f>IFERROR(__xludf.DUMMYFUNCTION("""COMPUTED_VALUE"""),9.1483045E7)</f>
        <v>91483045</v>
      </c>
    </row>
    <row r="3098">
      <c r="A3098" s="3">
        <f>IFERROR(__xludf.DUMMYFUNCTION("""COMPUTED_VALUE"""),44848.66666666667)</f>
        <v>44848.66667</v>
      </c>
      <c r="B3098" s="2">
        <f>IFERROR(__xludf.DUMMYFUNCTION("""COMPUTED_VALUE"""),224.01)</f>
        <v>224.01</v>
      </c>
      <c r="C3098" s="2">
        <f>IFERROR(__xludf.DUMMYFUNCTION("""COMPUTED_VALUE"""),226.26)</f>
        <v>226.26</v>
      </c>
      <c r="D3098" s="2">
        <f>IFERROR(__xludf.DUMMYFUNCTION("""COMPUTED_VALUE"""),204.16)</f>
        <v>204.16</v>
      </c>
      <c r="E3098" s="2">
        <f>IFERROR(__xludf.DUMMYFUNCTION("""COMPUTED_VALUE"""),204.99)</f>
        <v>204.99</v>
      </c>
      <c r="F3098" s="2">
        <f>IFERROR(__xludf.DUMMYFUNCTION("""COMPUTED_VALUE"""),9.4124511E7)</f>
        <v>94124511</v>
      </c>
    </row>
    <row r="3099">
      <c r="A3099" s="3">
        <f>IFERROR(__xludf.DUMMYFUNCTION("""COMPUTED_VALUE"""),44851.66666666667)</f>
        <v>44851.66667</v>
      </c>
      <c r="B3099" s="2">
        <f>IFERROR(__xludf.DUMMYFUNCTION("""COMPUTED_VALUE"""),210.04)</f>
        <v>210.04</v>
      </c>
      <c r="C3099" s="2">
        <f>IFERROR(__xludf.DUMMYFUNCTION("""COMPUTED_VALUE"""),221.86)</f>
        <v>221.86</v>
      </c>
      <c r="D3099" s="2">
        <f>IFERROR(__xludf.DUMMYFUNCTION("""COMPUTED_VALUE"""),209.45)</f>
        <v>209.45</v>
      </c>
      <c r="E3099" s="2">
        <f>IFERROR(__xludf.DUMMYFUNCTION("""COMPUTED_VALUE"""),219.35)</f>
        <v>219.35</v>
      </c>
      <c r="F3099" s="2">
        <f>IFERROR(__xludf.DUMMYFUNCTION("""COMPUTED_VALUE"""),7.942881E7)</f>
        <v>79428810</v>
      </c>
    </row>
    <row r="3100">
      <c r="A3100" s="3">
        <f>IFERROR(__xludf.DUMMYFUNCTION("""COMPUTED_VALUE"""),44852.66666666667)</f>
        <v>44852.66667</v>
      </c>
      <c r="B3100" s="2">
        <f>IFERROR(__xludf.DUMMYFUNCTION("""COMPUTED_VALUE"""),229.5)</f>
        <v>229.5</v>
      </c>
      <c r="C3100" s="2">
        <f>IFERROR(__xludf.DUMMYFUNCTION("""COMPUTED_VALUE"""),229.82)</f>
        <v>229.82</v>
      </c>
      <c r="D3100" s="2">
        <f>IFERROR(__xludf.DUMMYFUNCTION("""COMPUTED_VALUE"""),217.25)</f>
        <v>217.25</v>
      </c>
      <c r="E3100" s="2">
        <f>IFERROR(__xludf.DUMMYFUNCTION("""COMPUTED_VALUE"""),220.19)</f>
        <v>220.19</v>
      </c>
      <c r="F3100" s="2">
        <f>IFERROR(__xludf.DUMMYFUNCTION("""COMPUTED_VALUE"""),7.5891905E7)</f>
        <v>75891905</v>
      </c>
    </row>
    <row r="3101">
      <c r="A3101" s="3">
        <f>IFERROR(__xludf.DUMMYFUNCTION("""COMPUTED_VALUE"""),44853.66666666667)</f>
        <v>44853.66667</v>
      </c>
      <c r="B3101" s="2">
        <f>IFERROR(__xludf.DUMMYFUNCTION("""COMPUTED_VALUE"""),219.8)</f>
        <v>219.8</v>
      </c>
      <c r="C3101" s="2">
        <f>IFERROR(__xludf.DUMMYFUNCTION("""COMPUTED_VALUE"""),222.93)</f>
        <v>222.93</v>
      </c>
      <c r="D3101" s="2">
        <f>IFERROR(__xludf.DUMMYFUNCTION("""COMPUTED_VALUE"""),217.78)</f>
        <v>217.78</v>
      </c>
      <c r="E3101" s="2">
        <f>IFERROR(__xludf.DUMMYFUNCTION("""COMPUTED_VALUE"""),222.04)</f>
        <v>222.04</v>
      </c>
      <c r="F3101" s="2">
        <f>IFERROR(__xludf.DUMMYFUNCTION("""COMPUTED_VALUE"""),6.6571479E7)</f>
        <v>66571479</v>
      </c>
    </row>
    <row r="3102">
      <c r="A3102" s="3">
        <f>IFERROR(__xludf.DUMMYFUNCTION("""COMPUTED_VALUE"""),44854.66666666667)</f>
        <v>44854.66667</v>
      </c>
      <c r="B3102" s="2">
        <f>IFERROR(__xludf.DUMMYFUNCTION("""COMPUTED_VALUE"""),208.28)</f>
        <v>208.28</v>
      </c>
      <c r="C3102" s="2">
        <f>IFERROR(__xludf.DUMMYFUNCTION("""COMPUTED_VALUE"""),215.55)</f>
        <v>215.55</v>
      </c>
      <c r="D3102" s="2">
        <f>IFERROR(__xludf.DUMMYFUNCTION("""COMPUTED_VALUE"""),202.0)</f>
        <v>202</v>
      </c>
      <c r="E3102" s="2">
        <f>IFERROR(__xludf.DUMMYFUNCTION("""COMPUTED_VALUE"""),207.28)</f>
        <v>207.28</v>
      </c>
      <c r="F3102" s="2">
        <f>IFERROR(__xludf.DUMMYFUNCTION("""COMPUTED_VALUE"""),1.17798062E8)</f>
        <v>117798062</v>
      </c>
    </row>
    <row r="3103">
      <c r="A3103" s="3">
        <f>IFERROR(__xludf.DUMMYFUNCTION("""COMPUTED_VALUE"""),44855.66666666667)</f>
        <v>44855.66667</v>
      </c>
      <c r="B3103" s="2">
        <f>IFERROR(__xludf.DUMMYFUNCTION("""COMPUTED_VALUE"""),206.42)</f>
        <v>206.42</v>
      </c>
      <c r="C3103" s="2">
        <f>IFERROR(__xludf.DUMMYFUNCTION("""COMPUTED_VALUE"""),214.66)</f>
        <v>214.66</v>
      </c>
      <c r="D3103" s="2">
        <f>IFERROR(__xludf.DUMMYFUNCTION("""COMPUTED_VALUE"""),203.8)</f>
        <v>203.8</v>
      </c>
      <c r="E3103" s="2">
        <f>IFERROR(__xludf.DUMMYFUNCTION("""COMPUTED_VALUE"""),214.44)</f>
        <v>214.44</v>
      </c>
      <c r="F3103" s="2">
        <f>IFERROR(__xludf.DUMMYFUNCTION("""COMPUTED_VALUE"""),7.5713754E7)</f>
        <v>75713754</v>
      </c>
    </row>
    <row r="3104">
      <c r="A3104" s="3">
        <f>IFERROR(__xludf.DUMMYFUNCTION("""COMPUTED_VALUE"""),44858.66666666667)</f>
        <v>44858.66667</v>
      </c>
      <c r="B3104" s="2">
        <f>IFERROR(__xludf.DUMMYFUNCTION("""COMPUTED_VALUE"""),205.82)</f>
        <v>205.82</v>
      </c>
      <c r="C3104" s="2">
        <f>IFERROR(__xludf.DUMMYFUNCTION("""COMPUTED_VALUE"""),213.5)</f>
        <v>213.5</v>
      </c>
      <c r="D3104" s="2">
        <f>IFERROR(__xludf.DUMMYFUNCTION("""COMPUTED_VALUE"""),198.59)</f>
        <v>198.59</v>
      </c>
      <c r="E3104" s="2">
        <f>IFERROR(__xludf.DUMMYFUNCTION("""COMPUTED_VALUE"""),211.25)</f>
        <v>211.25</v>
      </c>
      <c r="F3104" s="2">
        <f>IFERROR(__xludf.DUMMYFUNCTION("""COMPUTED_VALUE"""),1.00446765E8)</f>
        <v>100446765</v>
      </c>
    </row>
    <row r="3105">
      <c r="A3105" s="3">
        <f>IFERROR(__xludf.DUMMYFUNCTION("""COMPUTED_VALUE"""),44859.66666666667)</f>
        <v>44859.66667</v>
      </c>
      <c r="B3105" s="2">
        <f>IFERROR(__xludf.DUMMYFUNCTION("""COMPUTED_VALUE"""),210.1)</f>
        <v>210.1</v>
      </c>
      <c r="C3105" s="2">
        <f>IFERROR(__xludf.DUMMYFUNCTION("""COMPUTED_VALUE"""),224.35)</f>
        <v>224.35</v>
      </c>
      <c r="D3105" s="2">
        <f>IFERROR(__xludf.DUMMYFUNCTION("""COMPUTED_VALUE"""),210.0)</f>
        <v>210</v>
      </c>
      <c r="E3105" s="2">
        <f>IFERROR(__xludf.DUMMYFUNCTION("""COMPUTED_VALUE"""),222.42)</f>
        <v>222.42</v>
      </c>
      <c r="F3105" s="2">
        <f>IFERROR(__xludf.DUMMYFUNCTION("""COMPUTED_VALUE"""),9.650787E7)</f>
        <v>96507870</v>
      </c>
    </row>
    <row r="3106">
      <c r="A3106" s="3">
        <f>IFERROR(__xludf.DUMMYFUNCTION("""COMPUTED_VALUE"""),44860.66666666667)</f>
        <v>44860.66667</v>
      </c>
      <c r="B3106" s="2">
        <f>IFERROR(__xludf.DUMMYFUNCTION("""COMPUTED_VALUE"""),219.4)</f>
        <v>219.4</v>
      </c>
      <c r="C3106" s="2">
        <f>IFERROR(__xludf.DUMMYFUNCTION("""COMPUTED_VALUE"""),230.6)</f>
        <v>230.6</v>
      </c>
      <c r="D3106" s="2">
        <f>IFERROR(__xludf.DUMMYFUNCTION("""COMPUTED_VALUE"""),218.2)</f>
        <v>218.2</v>
      </c>
      <c r="E3106" s="2">
        <f>IFERROR(__xludf.DUMMYFUNCTION("""COMPUTED_VALUE"""),224.64)</f>
        <v>224.64</v>
      </c>
      <c r="F3106" s="2">
        <f>IFERROR(__xludf.DUMMYFUNCTION("""COMPUTED_VALUE"""),8.5327078E7)</f>
        <v>85327078</v>
      </c>
    </row>
    <row r="3107">
      <c r="A3107" s="3">
        <f>IFERROR(__xludf.DUMMYFUNCTION("""COMPUTED_VALUE"""),44861.66666666667)</f>
        <v>44861.66667</v>
      </c>
      <c r="B3107" s="2">
        <f>IFERROR(__xludf.DUMMYFUNCTION("""COMPUTED_VALUE"""),229.77)</f>
        <v>229.77</v>
      </c>
      <c r="C3107" s="2">
        <f>IFERROR(__xludf.DUMMYFUNCTION("""COMPUTED_VALUE"""),233.81)</f>
        <v>233.81</v>
      </c>
      <c r="D3107" s="2">
        <f>IFERROR(__xludf.DUMMYFUNCTION("""COMPUTED_VALUE"""),222.85)</f>
        <v>222.85</v>
      </c>
      <c r="E3107" s="2">
        <f>IFERROR(__xludf.DUMMYFUNCTION("""COMPUTED_VALUE"""),225.09)</f>
        <v>225.09</v>
      </c>
      <c r="F3107" s="2">
        <f>IFERROR(__xludf.DUMMYFUNCTION("""COMPUTED_VALUE"""),6.1638824E7)</f>
        <v>61638824</v>
      </c>
    </row>
    <row r="3108">
      <c r="A3108" s="3">
        <f>IFERROR(__xludf.DUMMYFUNCTION("""COMPUTED_VALUE"""),44862.66666666667)</f>
        <v>44862.66667</v>
      </c>
      <c r="B3108" s="2">
        <f>IFERROR(__xludf.DUMMYFUNCTION("""COMPUTED_VALUE"""),225.4)</f>
        <v>225.4</v>
      </c>
      <c r="C3108" s="2">
        <f>IFERROR(__xludf.DUMMYFUNCTION("""COMPUTED_VALUE"""),228.86)</f>
        <v>228.86</v>
      </c>
      <c r="D3108" s="2">
        <f>IFERROR(__xludf.DUMMYFUNCTION("""COMPUTED_VALUE"""),216.35)</f>
        <v>216.35</v>
      </c>
      <c r="E3108" s="2">
        <f>IFERROR(__xludf.DUMMYFUNCTION("""COMPUTED_VALUE"""),228.52)</f>
        <v>228.52</v>
      </c>
      <c r="F3108" s="2">
        <f>IFERROR(__xludf.DUMMYFUNCTION("""COMPUTED_VALUE"""),6.9152386E7)</f>
        <v>69152386</v>
      </c>
    </row>
    <row r="3109">
      <c r="A3109" s="3">
        <f>IFERROR(__xludf.DUMMYFUNCTION("""COMPUTED_VALUE"""),44865.66666666667)</f>
        <v>44865.66667</v>
      </c>
      <c r="B3109" s="2">
        <f>IFERROR(__xludf.DUMMYFUNCTION("""COMPUTED_VALUE"""),226.19)</f>
        <v>226.19</v>
      </c>
      <c r="C3109" s="2">
        <f>IFERROR(__xludf.DUMMYFUNCTION("""COMPUTED_VALUE"""),229.85)</f>
        <v>229.85</v>
      </c>
      <c r="D3109" s="2">
        <f>IFERROR(__xludf.DUMMYFUNCTION("""COMPUTED_VALUE"""),221.94)</f>
        <v>221.94</v>
      </c>
      <c r="E3109" s="2">
        <f>IFERROR(__xludf.DUMMYFUNCTION("""COMPUTED_VALUE"""),227.54)</f>
        <v>227.54</v>
      </c>
      <c r="F3109" s="2">
        <f>IFERROR(__xludf.DUMMYFUNCTION("""COMPUTED_VALUE"""),6.1554341E7)</f>
        <v>61554341</v>
      </c>
    </row>
    <row r="3110">
      <c r="A3110" s="3">
        <f>IFERROR(__xludf.DUMMYFUNCTION("""COMPUTED_VALUE"""),44866.66666666667)</f>
        <v>44866.66667</v>
      </c>
      <c r="B3110" s="2">
        <f>IFERROR(__xludf.DUMMYFUNCTION("""COMPUTED_VALUE"""),234.05)</f>
        <v>234.05</v>
      </c>
      <c r="C3110" s="2">
        <f>IFERROR(__xludf.DUMMYFUNCTION("""COMPUTED_VALUE"""),237.4)</f>
        <v>237.4</v>
      </c>
      <c r="D3110" s="2">
        <f>IFERROR(__xludf.DUMMYFUNCTION("""COMPUTED_VALUE"""),227.28)</f>
        <v>227.28</v>
      </c>
      <c r="E3110" s="2">
        <f>IFERROR(__xludf.DUMMYFUNCTION("""COMPUTED_VALUE"""),227.82)</f>
        <v>227.82</v>
      </c>
      <c r="F3110" s="2">
        <f>IFERROR(__xludf.DUMMYFUNCTION("""COMPUTED_VALUE"""),6.2688822E7)</f>
        <v>62688822</v>
      </c>
    </row>
    <row r="3111">
      <c r="A3111" s="3">
        <f>IFERROR(__xludf.DUMMYFUNCTION("""COMPUTED_VALUE"""),44867.66666666667)</f>
        <v>44867.66667</v>
      </c>
      <c r="B3111" s="2">
        <f>IFERROR(__xludf.DUMMYFUNCTION("""COMPUTED_VALUE"""),226.04)</f>
        <v>226.04</v>
      </c>
      <c r="C3111" s="2">
        <f>IFERROR(__xludf.DUMMYFUNCTION("""COMPUTED_VALUE"""),227.87)</f>
        <v>227.87</v>
      </c>
      <c r="D3111" s="2">
        <f>IFERROR(__xludf.DUMMYFUNCTION("""COMPUTED_VALUE"""),214.82)</f>
        <v>214.82</v>
      </c>
      <c r="E3111" s="2">
        <f>IFERROR(__xludf.DUMMYFUNCTION("""COMPUTED_VALUE"""),214.98)</f>
        <v>214.98</v>
      </c>
      <c r="F3111" s="2">
        <f>IFERROR(__xludf.DUMMYFUNCTION("""COMPUTED_VALUE"""),6.3070293E7)</f>
        <v>63070293</v>
      </c>
    </row>
    <row r="3112">
      <c r="A3112" s="3">
        <f>IFERROR(__xludf.DUMMYFUNCTION("""COMPUTED_VALUE"""),44868.66666666667)</f>
        <v>44868.66667</v>
      </c>
      <c r="B3112" s="2">
        <f>IFERROR(__xludf.DUMMYFUNCTION("""COMPUTED_VALUE"""),211.36)</f>
        <v>211.36</v>
      </c>
      <c r="C3112" s="2">
        <f>IFERROR(__xludf.DUMMYFUNCTION("""COMPUTED_VALUE"""),221.2)</f>
        <v>221.2</v>
      </c>
      <c r="D3112" s="2">
        <f>IFERROR(__xludf.DUMMYFUNCTION("""COMPUTED_VALUE"""),210.14)</f>
        <v>210.14</v>
      </c>
      <c r="E3112" s="2">
        <f>IFERROR(__xludf.DUMMYFUNCTION("""COMPUTED_VALUE"""),215.31)</f>
        <v>215.31</v>
      </c>
      <c r="F3112" s="2">
        <f>IFERROR(__xludf.DUMMYFUNCTION("""COMPUTED_VALUE"""),5.6538848E7)</f>
        <v>56538848</v>
      </c>
    </row>
    <row r="3113">
      <c r="A3113" s="3">
        <f>IFERROR(__xludf.DUMMYFUNCTION("""COMPUTED_VALUE"""),44869.66666666667)</f>
        <v>44869.66667</v>
      </c>
      <c r="B3113" s="2">
        <f>IFERROR(__xludf.DUMMYFUNCTION("""COMPUTED_VALUE"""),222.6)</f>
        <v>222.6</v>
      </c>
      <c r="C3113" s="2">
        <f>IFERROR(__xludf.DUMMYFUNCTION("""COMPUTED_VALUE"""),223.8)</f>
        <v>223.8</v>
      </c>
      <c r="D3113" s="2">
        <f>IFERROR(__xludf.DUMMYFUNCTION("""COMPUTED_VALUE"""),203.08)</f>
        <v>203.08</v>
      </c>
      <c r="E3113" s="2">
        <f>IFERROR(__xludf.DUMMYFUNCTION("""COMPUTED_VALUE"""),207.47)</f>
        <v>207.47</v>
      </c>
      <c r="F3113" s="2">
        <f>IFERROR(__xludf.DUMMYFUNCTION("""COMPUTED_VALUE"""),9.8622212E7)</f>
        <v>98622212</v>
      </c>
    </row>
    <row r="3114">
      <c r="A3114" s="3">
        <f>IFERROR(__xludf.DUMMYFUNCTION("""COMPUTED_VALUE"""),44872.66666666667)</f>
        <v>44872.66667</v>
      </c>
      <c r="B3114" s="2">
        <f>IFERROR(__xludf.DUMMYFUNCTION("""COMPUTED_VALUE"""),208.65)</f>
        <v>208.65</v>
      </c>
      <c r="C3114" s="2">
        <f>IFERROR(__xludf.DUMMYFUNCTION("""COMPUTED_VALUE"""),208.9)</f>
        <v>208.9</v>
      </c>
      <c r="D3114" s="2">
        <f>IFERROR(__xludf.DUMMYFUNCTION("""COMPUTED_VALUE"""),196.66)</f>
        <v>196.66</v>
      </c>
      <c r="E3114" s="2">
        <f>IFERROR(__xludf.DUMMYFUNCTION("""COMPUTED_VALUE"""),197.08)</f>
        <v>197.08</v>
      </c>
      <c r="F3114" s="2">
        <f>IFERROR(__xludf.DUMMYFUNCTION("""COMPUTED_VALUE"""),9.391652E7)</f>
        <v>93916520</v>
      </c>
    </row>
    <row r="3115">
      <c r="A3115" s="3">
        <f>IFERROR(__xludf.DUMMYFUNCTION("""COMPUTED_VALUE"""),44873.66666666667)</f>
        <v>44873.66667</v>
      </c>
      <c r="B3115" s="2">
        <f>IFERROR(__xludf.DUMMYFUNCTION("""COMPUTED_VALUE"""),194.02)</f>
        <v>194.02</v>
      </c>
      <c r="C3115" s="2">
        <f>IFERROR(__xludf.DUMMYFUNCTION("""COMPUTED_VALUE"""),195.2)</f>
        <v>195.2</v>
      </c>
      <c r="D3115" s="2">
        <f>IFERROR(__xludf.DUMMYFUNCTION("""COMPUTED_VALUE"""),186.75)</f>
        <v>186.75</v>
      </c>
      <c r="E3115" s="2">
        <f>IFERROR(__xludf.DUMMYFUNCTION("""COMPUTED_VALUE"""),191.3)</f>
        <v>191.3</v>
      </c>
      <c r="F3115" s="2">
        <f>IFERROR(__xludf.DUMMYFUNCTION("""COMPUTED_VALUE"""),1.28803404E8)</f>
        <v>128803404</v>
      </c>
    </row>
    <row r="3116">
      <c r="A3116" s="3">
        <f>IFERROR(__xludf.DUMMYFUNCTION("""COMPUTED_VALUE"""),44874.66666666667)</f>
        <v>44874.66667</v>
      </c>
      <c r="B3116" s="2">
        <f>IFERROR(__xludf.DUMMYFUNCTION("""COMPUTED_VALUE"""),190.78)</f>
        <v>190.78</v>
      </c>
      <c r="C3116" s="2">
        <f>IFERROR(__xludf.DUMMYFUNCTION("""COMPUTED_VALUE"""),195.89)</f>
        <v>195.89</v>
      </c>
      <c r="D3116" s="2">
        <f>IFERROR(__xludf.DUMMYFUNCTION("""COMPUTED_VALUE"""),177.12)</f>
        <v>177.12</v>
      </c>
      <c r="E3116" s="2">
        <f>IFERROR(__xludf.DUMMYFUNCTION("""COMPUTED_VALUE"""),177.59)</f>
        <v>177.59</v>
      </c>
      <c r="F3116" s="2">
        <f>IFERROR(__xludf.DUMMYFUNCTION("""COMPUTED_VALUE"""),1.27062659E8)</f>
        <v>127062659</v>
      </c>
    </row>
    <row r="3117">
      <c r="A3117" s="3">
        <f>IFERROR(__xludf.DUMMYFUNCTION("""COMPUTED_VALUE"""),44875.66666666667)</f>
        <v>44875.66667</v>
      </c>
      <c r="B3117" s="2">
        <f>IFERROR(__xludf.DUMMYFUNCTION("""COMPUTED_VALUE"""),189.9)</f>
        <v>189.9</v>
      </c>
      <c r="C3117" s="2">
        <f>IFERROR(__xludf.DUMMYFUNCTION("""COMPUTED_VALUE"""),191.0)</f>
        <v>191</v>
      </c>
      <c r="D3117" s="2">
        <f>IFERROR(__xludf.DUMMYFUNCTION("""COMPUTED_VALUE"""),180.03)</f>
        <v>180.03</v>
      </c>
      <c r="E3117" s="2">
        <f>IFERROR(__xludf.DUMMYFUNCTION("""COMPUTED_VALUE"""),190.72)</f>
        <v>190.72</v>
      </c>
      <c r="F3117" s="2">
        <f>IFERROR(__xludf.DUMMYFUNCTION("""COMPUTED_VALUE"""),1.32703015E8)</f>
        <v>132703015</v>
      </c>
    </row>
    <row r="3118">
      <c r="A3118" s="3">
        <f>IFERROR(__xludf.DUMMYFUNCTION("""COMPUTED_VALUE"""),44876.66666666667)</f>
        <v>44876.66667</v>
      </c>
      <c r="B3118" s="2">
        <f>IFERROR(__xludf.DUMMYFUNCTION("""COMPUTED_VALUE"""),186.0)</f>
        <v>186</v>
      </c>
      <c r="C3118" s="2">
        <f>IFERROR(__xludf.DUMMYFUNCTION("""COMPUTED_VALUE"""),196.52)</f>
        <v>196.52</v>
      </c>
      <c r="D3118" s="2">
        <f>IFERROR(__xludf.DUMMYFUNCTION("""COMPUTED_VALUE"""),182.59)</f>
        <v>182.59</v>
      </c>
      <c r="E3118" s="2">
        <f>IFERROR(__xludf.DUMMYFUNCTION("""COMPUTED_VALUE"""),195.97)</f>
        <v>195.97</v>
      </c>
      <c r="F3118" s="2">
        <f>IFERROR(__xludf.DUMMYFUNCTION("""COMPUTED_VALUE"""),1.14403575E8)</f>
        <v>114403575</v>
      </c>
    </row>
    <row r="3119">
      <c r="A3119" s="3">
        <f>IFERROR(__xludf.DUMMYFUNCTION("""COMPUTED_VALUE"""),44879.66666666667)</f>
        <v>44879.66667</v>
      </c>
      <c r="B3119" s="2">
        <f>IFERROR(__xludf.DUMMYFUNCTION("""COMPUTED_VALUE"""),192.77)</f>
        <v>192.77</v>
      </c>
      <c r="C3119" s="2">
        <f>IFERROR(__xludf.DUMMYFUNCTION("""COMPUTED_VALUE"""),195.73)</f>
        <v>195.73</v>
      </c>
      <c r="D3119" s="2">
        <f>IFERROR(__xludf.DUMMYFUNCTION("""COMPUTED_VALUE"""),186.34)</f>
        <v>186.34</v>
      </c>
      <c r="E3119" s="2">
        <f>IFERROR(__xludf.DUMMYFUNCTION("""COMPUTED_VALUE"""),190.95)</f>
        <v>190.95</v>
      </c>
      <c r="F3119" s="2">
        <f>IFERROR(__xludf.DUMMYFUNCTION("""COMPUTED_VALUE"""),9.2226649E7)</f>
        <v>92226649</v>
      </c>
    </row>
    <row r="3120">
      <c r="A3120" s="3">
        <f>IFERROR(__xludf.DUMMYFUNCTION("""COMPUTED_VALUE"""),44880.66666666667)</f>
        <v>44880.66667</v>
      </c>
      <c r="B3120" s="2">
        <f>IFERROR(__xludf.DUMMYFUNCTION("""COMPUTED_VALUE"""),195.88)</f>
        <v>195.88</v>
      </c>
      <c r="C3120" s="2">
        <f>IFERROR(__xludf.DUMMYFUNCTION("""COMPUTED_VALUE"""),200.82)</f>
        <v>200.82</v>
      </c>
      <c r="D3120" s="2">
        <f>IFERROR(__xludf.DUMMYFUNCTION("""COMPUTED_VALUE"""),192.06)</f>
        <v>192.06</v>
      </c>
      <c r="E3120" s="2">
        <f>IFERROR(__xludf.DUMMYFUNCTION("""COMPUTED_VALUE"""),194.42)</f>
        <v>194.42</v>
      </c>
      <c r="F3120" s="2">
        <f>IFERROR(__xludf.DUMMYFUNCTION("""COMPUTED_VALUE"""),9.1293785E7)</f>
        <v>91293785</v>
      </c>
    </row>
    <row r="3121">
      <c r="A3121" s="3">
        <f>IFERROR(__xludf.DUMMYFUNCTION("""COMPUTED_VALUE"""),44881.66666666667)</f>
        <v>44881.66667</v>
      </c>
      <c r="B3121" s="2">
        <f>IFERROR(__xludf.DUMMYFUNCTION("""COMPUTED_VALUE"""),191.51)</f>
        <v>191.51</v>
      </c>
      <c r="C3121" s="2">
        <f>IFERROR(__xludf.DUMMYFUNCTION("""COMPUTED_VALUE"""),192.57)</f>
        <v>192.57</v>
      </c>
      <c r="D3121" s="2">
        <f>IFERROR(__xludf.DUMMYFUNCTION("""COMPUTED_VALUE"""),185.66)</f>
        <v>185.66</v>
      </c>
      <c r="E3121" s="2">
        <f>IFERROR(__xludf.DUMMYFUNCTION("""COMPUTED_VALUE"""),186.92)</f>
        <v>186.92</v>
      </c>
      <c r="F3121" s="2">
        <f>IFERROR(__xludf.DUMMYFUNCTION("""COMPUTED_VALUE"""),6.6567599E7)</f>
        <v>66567599</v>
      </c>
    </row>
    <row r="3122">
      <c r="A3122" s="3">
        <f>IFERROR(__xludf.DUMMYFUNCTION("""COMPUTED_VALUE"""),44882.66666666667)</f>
        <v>44882.66667</v>
      </c>
      <c r="B3122" s="2">
        <f>IFERROR(__xludf.DUMMYFUNCTION("""COMPUTED_VALUE"""),183.96)</f>
        <v>183.96</v>
      </c>
      <c r="C3122" s="2">
        <f>IFERROR(__xludf.DUMMYFUNCTION("""COMPUTED_VALUE"""),186.16)</f>
        <v>186.16</v>
      </c>
      <c r="D3122" s="2">
        <f>IFERROR(__xludf.DUMMYFUNCTION("""COMPUTED_VALUE"""),180.9)</f>
        <v>180.9</v>
      </c>
      <c r="E3122" s="2">
        <f>IFERROR(__xludf.DUMMYFUNCTION("""COMPUTED_VALUE"""),183.17)</f>
        <v>183.17</v>
      </c>
      <c r="F3122" s="2">
        <f>IFERROR(__xludf.DUMMYFUNCTION("""COMPUTED_VALUE"""),6.433597E7)</f>
        <v>64335970</v>
      </c>
    </row>
    <row r="3123">
      <c r="A3123" s="3">
        <f>IFERROR(__xludf.DUMMYFUNCTION("""COMPUTED_VALUE"""),44883.66666666667)</f>
        <v>44883.66667</v>
      </c>
      <c r="B3123" s="2">
        <f>IFERROR(__xludf.DUMMYFUNCTION("""COMPUTED_VALUE"""),185.05)</f>
        <v>185.05</v>
      </c>
      <c r="C3123" s="2">
        <f>IFERROR(__xludf.DUMMYFUNCTION("""COMPUTED_VALUE"""),185.19)</f>
        <v>185.19</v>
      </c>
      <c r="D3123" s="2">
        <f>IFERROR(__xludf.DUMMYFUNCTION("""COMPUTED_VALUE"""),176.55)</f>
        <v>176.55</v>
      </c>
      <c r="E3123" s="2">
        <f>IFERROR(__xludf.DUMMYFUNCTION("""COMPUTED_VALUE"""),180.19)</f>
        <v>180.19</v>
      </c>
      <c r="F3123" s="2">
        <f>IFERROR(__xludf.DUMMYFUNCTION("""COMPUTED_VALUE"""),7.6048866E7)</f>
        <v>76048866</v>
      </c>
    </row>
    <row r="3124">
      <c r="A3124" s="3">
        <f>IFERROR(__xludf.DUMMYFUNCTION("""COMPUTED_VALUE"""),44886.66666666667)</f>
        <v>44886.66667</v>
      </c>
      <c r="B3124" s="2">
        <f>IFERROR(__xludf.DUMMYFUNCTION("""COMPUTED_VALUE"""),175.85)</f>
        <v>175.85</v>
      </c>
      <c r="C3124" s="2">
        <f>IFERROR(__xludf.DUMMYFUNCTION("""COMPUTED_VALUE"""),176.77)</f>
        <v>176.77</v>
      </c>
      <c r="D3124" s="2">
        <f>IFERROR(__xludf.DUMMYFUNCTION("""COMPUTED_VALUE"""),167.54)</f>
        <v>167.54</v>
      </c>
      <c r="E3124" s="2">
        <f>IFERROR(__xludf.DUMMYFUNCTION("""COMPUTED_VALUE"""),167.87)</f>
        <v>167.87</v>
      </c>
      <c r="F3124" s="2">
        <f>IFERROR(__xludf.DUMMYFUNCTION("""COMPUTED_VALUE"""),9.2882712E7)</f>
        <v>92882712</v>
      </c>
    </row>
    <row r="3125">
      <c r="A3125" s="3">
        <f>IFERROR(__xludf.DUMMYFUNCTION("""COMPUTED_VALUE"""),44887.66666666667)</f>
        <v>44887.66667</v>
      </c>
      <c r="B3125" s="2">
        <f>IFERROR(__xludf.DUMMYFUNCTION("""COMPUTED_VALUE"""),168.63)</f>
        <v>168.63</v>
      </c>
      <c r="C3125" s="2">
        <f>IFERROR(__xludf.DUMMYFUNCTION("""COMPUTED_VALUE"""),170.92)</f>
        <v>170.92</v>
      </c>
      <c r="D3125" s="2">
        <f>IFERROR(__xludf.DUMMYFUNCTION("""COMPUTED_VALUE"""),166.19)</f>
        <v>166.19</v>
      </c>
      <c r="E3125" s="2">
        <f>IFERROR(__xludf.DUMMYFUNCTION("""COMPUTED_VALUE"""),169.91)</f>
        <v>169.91</v>
      </c>
      <c r="F3125" s="2">
        <f>IFERROR(__xludf.DUMMYFUNCTION("""COMPUTED_VALUE"""),7.8452327E7)</f>
        <v>78452327</v>
      </c>
    </row>
    <row r="3126">
      <c r="A3126" s="3">
        <f>IFERROR(__xludf.DUMMYFUNCTION("""COMPUTED_VALUE"""),44888.66666666667)</f>
        <v>44888.66667</v>
      </c>
      <c r="B3126" s="2">
        <f>IFERROR(__xludf.DUMMYFUNCTION("""COMPUTED_VALUE"""),173.57)</f>
        <v>173.57</v>
      </c>
      <c r="C3126" s="2">
        <f>IFERROR(__xludf.DUMMYFUNCTION("""COMPUTED_VALUE"""),183.62)</f>
        <v>183.62</v>
      </c>
      <c r="D3126" s="2">
        <f>IFERROR(__xludf.DUMMYFUNCTION("""COMPUTED_VALUE"""),172.5)</f>
        <v>172.5</v>
      </c>
      <c r="E3126" s="2">
        <f>IFERROR(__xludf.DUMMYFUNCTION("""COMPUTED_VALUE"""),183.2)</f>
        <v>183.2</v>
      </c>
      <c r="F3126" s="2">
        <f>IFERROR(__xludf.DUMMYFUNCTION("""COMPUTED_VALUE"""),1.09536709E8)</f>
        <v>109536709</v>
      </c>
    </row>
    <row r="3127">
      <c r="A3127" s="3">
        <f>IFERROR(__xludf.DUMMYFUNCTION("""COMPUTED_VALUE"""),44890.54513888889)</f>
        <v>44890.54514</v>
      </c>
      <c r="B3127" s="2">
        <f>IFERROR(__xludf.DUMMYFUNCTION("""COMPUTED_VALUE"""),185.06)</f>
        <v>185.06</v>
      </c>
      <c r="C3127" s="2">
        <f>IFERROR(__xludf.DUMMYFUNCTION("""COMPUTED_VALUE"""),185.2)</f>
        <v>185.2</v>
      </c>
      <c r="D3127" s="2">
        <f>IFERROR(__xludf.DUMMYFUNCTION("""COMPUTED_VALUE"""),180.63)</f>
        <v>180.63</v>
      </c>
      <c r="E3127" s="2">
        <f>IFERROR(__xludf.DUMMYFUNCTION("""COMPUTED_VALUE"""),182.86)</f>
        <v>182.86</v>
      </c>
      <c r="F3127" s="2">
        <f>IFERROR(__xludf.DUMMYFUNCTION("""COMPUTED_VALUE"""),5.0672739E7)</f>
        <v>50672739</v>
      </c>
    </row>
    <row r="3128">
      <c r="A3128" s="3">
        <f>IFERROR(__xludf.DUMMYFUNCTION("""COMPUTED_VALUE"""),44893.66666666667)</f>
        <v>44893.66667</v>
      </c>
      <c r="B3128" s="2">
        <f>IFERROR(__xludf.DUMMYFUNCTION("""COMPUTED_VALUE"""),179.96)</f>
        <v>179.96</v>
      </c>
      <c r="C3128" s="2">
        <f>IFERROR(__xludf.DUMMYFUNCTION("""COMPUTED_VALUE"""),188.5)</f>
        <v>188.5</v>
      </c>
      <c r="D3128" s="2">
        <f>IFERROR(__xludf.DUMMYFUNCTION("""COMPUTED_VALUE"""),179.0)</f>
        <v>179</v>
      </c>
      <c r="E3128" s="2">
        <f>IFERROR(__xludf.DUMMYFUNCTION("""COMPUTED_VALUE"""),182.92)</f>
        <v>182.92</v>
      </c>
      <c r="F3128" s="2">
        <f>IFERROR(__xludf.DUMMYFUNCTION("""COMPUTED_VALUE"""),9.3038148E7)</f>
        <v>93038148</v>
      </c>
    </row>
    <row r="3129">
      <c r="A3129" s="3">
        <f>IFERROR(__xludf.DUMMYFUNCTION("""COMPUTED_VALUE"""),44894.66666666667)</f>
        <v>44894.66667</v>
      </c>
      <c r="B3129" s="2">
        <f>IFERROR(__xludf.DUMMYFUNCTION("""COMPUTED_VALUE"""),184.99)</f>
        <v>184.99</v>
      </c>
      <c r="C3129" s="2">
        <f>IFERROR(__xludf.DUMMYFUNCTION("""COMPUTED_VALUE"""),186.38)</f>
        <v>186.38</v>
      </c>
      <c r="D3129" s="2">
        <f>IFERROR(__xludf.DUMMYFUNCTION("""COMPUTED_VALUE"""),178.75)</f>
        <v>178.75</v>
      </c>
      <c r="E3129" s="2">
        <f>IFERROR(__xludf.DUMMYFUNCTION("""COMPUTED_VALUE"""),180.83)</f>
        <v>180.83</v>
      </c>
      <c r="F3129" s="2">
        <f>IFERROR(__xludf.DUMMYFUNCTION("""COMPUTED_VALUE"""),8.3357111E7)</f>
        <v>83357111</v>
      </c>
    </row>
    <row r="3130">
      <c r="A3130" s="3">
        <f>IFERROR(__xludf.DUMMYFUNCTION("""COMPUTED_VALUE"""),44895.66666666667)</f>
        <v>44895.66667</v>
      </c>
      <c r="B3130" s="2">
        <f>IFERROR(__xludf.DUMMYFUNCTION("""COMPUTED_VALUE"""),182.43)</f>
        <v>182.43</v>
      </c>
      <c r="C3130" s="2">
        <f>IFERROR(__xludf.DUMMYFUNCTION("""COMPUTED_VALUE"""),194.76)</f>
        <v>194.76</v>
      </c>
      <c r="D3130" s="2">
        <f>IFERROR(__xludf.DUMMYFUNCTION("""COMPUTED_VALUE"""),180.63)</f>
        <v>180.63</v>
      </c>
      <c r="E3130" s="2">
        <f>IFERROR(__xludf.DUMMYFUNCTION("""COMPUTED_VALUE"""),194.7)</f>
        <v>194.7</v>
      </c>
      <c r="F3130" s="2">
        <f>IFERROR(__xludf.DUMMYFUNCTION("""COMPUTED_VALUE"""),1.09186404E8)</f>
        <v>109186404</v>
      </c>
    </row>
    <row r="3131">
      <c r="A3131" s="3">
        <f>IFERROR(__xludf.DUMMYFUNCTION("""COMPUTED_VALUE"""),44896.66666666667)</f>
        <v>44896.66667</v>
      </c>
      <c r="B3131" s="2">
        <f>IFERROR(__xludf.DUMMYFUNCTION("""COMPUTED_VALUE"""),197.08)</f>
        <v>197.08</v>
      </c>
      <c r="C3131" s="2">
        <f>IFERROR(__xludf.DUMMYFUNCTION("""COMPUTED_VALUE"""),198.92)</f>
        <v>198.92</v>
      </c>
      <c r="D3131" s="2">
        <f>IFERROR(__xludf.DUMMYFUNCTION("""COMPUTED_VALUE"""),191.8)</f>
        <v>191.8</v>
      </c>
      <c r="E3131" s="2">
        <f>IFERROR(__xludf.DUMMYFUNCTION("""COMPUTED_VALUE"""),194.7)</f>
        <v>194.7</v>
      </c>
      <c r="F3131" s="2">
        <f>IFERROR(__xludf.DUMMYFUNCTION("""COMPUTED_VALUE"""),8.0046213E7)</f>
        <v>80046213</v>
      </c>
    </row>
    <row r="3132">
      <c r="A3132" s="3">
        <f>IFERROR(__xludf.DUMMYFUNCTION("""COMPUTED_VALUE"""),44897.66666666667)</f>
        <v>44897.66667</v>
      </c>
      <c r="B3132" s="2">
        <f>IFERROR(__xludf.DUMMYFUNCTION("""COMPUTED_VALUE"""),191.78)</f>
        <v>191.78</v>
      </c>
      <c r="C3132" s="2">
        <f>IFERROR(__xludf.DUMMYFUNCTION("""COMPUTED_VALUE"""),196.25)</f>
        <v>196.25</v>
      </c>
      <c r="D3132" s="2">
        <f>IFERROR(__xludf.DUMMYFUNCTION("""COMPUTED_VALUE"""),191.11)</f>
        <v>191.11</v>
      </c>
      <c r="E3132" s="2">
        <f>IFERROR(__xludf.DUMMYFUNCTION("""COMPUTED_VALUE"""),194.86)</f>
        <v>194.86</v>
      </c>
      <c r="F3132" s="2">
        <f>IFERROR(__xludf.DUMMYFUNCTION("""COMPUTED_VALUE"""),7.3645922E7)</f>
        <v>73645922</v>
      </c>
    </row>
    <row r="3133">
      <c r="A3133" s="3">
        <f>IFERROR(__xludf.DUMMYFUNCTION("""COMPUTED_VALUE"""),44900.66666666667)</f>
        <v>44900.66667</v>
      </c>
      <c r="B3133" s="2">
        <f>IFERROR(__xludf.DUMMYFUNCTION("""COMPUTED_VALUE"""),189.44)</f>
        <v>189.44</v>
      </c>
      <c r="C3133" s="2">
        <f>IFERROR(__xludf.DUMMYFUNCTION("""COMPUTED_VALUE"""),191.27)</f>
        <v>191.27</v>
      </c>
      <c r="D3133" s="2">
        <f>IFERROR(__xludf.DUMMYFUNCTION("""COMPUTED_VALUE"""),180.55)</f>
        <v>180.55</v>
      </c>
      <c r="E3133" s="2">
        <f>IFERROR(__xludf.DUMMYFUNCTION("""COMPUTED_VALUE"""),182.45)</f>
        <v>182.45</v>
      </c>
      <c r="F3133" s="2">
        <f>IFERROR(__xludf.DUMMYFUNCTION("""COMPUTED_VALUE"""),9.3122667E7)</f>
        <v>93122667</v>
      </c>
    </row>
    <row r="3134">
      <c r="A3134" s="3">
        <f>IFERROR(__xludf.DUMMYFUNCTION("""COMPUTED_VALUE"""),44901.66666666667)</f>
        <v>44901.66667</v>
      </c>
      <c r="B3134" s="2">
        <f>IFERROR(__xludf.DUMMYFUNCTION("""COMPUTED_VALUE"""),181.22)</f>
        <v>181.22</v>
      </c>
      <c r="C3134" s="2">
        <f>IFERROR(__xludf.DUMMYFUNCTION("""COMPUTED_VALUE"""),183.65)</f>
        <v>183.65</v>
      </c>
      <c r="D3134" s="2">
        <f>IFERROR(__xludf.DUMMYFUNCTION("""COMPUTED_VALUE"""),175.33)</f>
        <v>175.33</v>
      </c>
      <c r="E3134" s="2">
        <f>IFERROR(__xludf.DUMMYFUNCTION("""COMPUTED_VALUE"""),179.82)</f>
        <v>179.82</v>
      </c>
      <c r="F3134" s="2">
        <f>IFERROR(__xludf.DUMMYFUNCTION("""COMPUTED_VALUE"""),9.2150823E7)</f>
        <v>92150823</v>
      </c>
    </row>
    <row r="3135">
      <c r="A3135" s="3">
        <f>IFERROR(__xludf.DUMMYFUNCTION("""COMPUTED_VALUE"""),44902.66666666667)</f>
        <v>44902.66667</v>
      </c>
      <c r="B3135" s="2">
        <f>IFERROR(__xludf.DUMMYFUNCTION("""COMPUTED_VALUE"""),175.03)</f>
        <v>175.03</v>
      </c>
      <c r="C3135" s="2">
        <f>IFERROR(__xludf.DUMMYFUNCTION("""COMPUTED_VALUE"""),179.38)</f>
        <v>179.38</v>
      </c>
      <c r="D3135" s="2">
        <f>IFERROR(__xludf.DUMMYFUNCTION("""COMPUTED_VALUE"""),172.22)</f>
        <v>172.22</v>
      </c>
      <c r="E3135" s="2">
        <f>IFERROR(__xludf.DUMMYFUNCTION("""COMPUTED_VALUE"""),174.04)</f>
        <v>174.04</v>
      </c>
      <c r="F3135" s="2">
        <f>IFERROR(__xludf.DUMMYFUNCTION("""COMPUTED_VALUE"""),8.4213284E7)</f>
        <v>84213284</v>
      </c>
    </row>
    <row r="3136">
      <c r="A3136" s="3">
        <f>IFERROR(__xludf.DUMMYFUNCTION("""COMPUTED_VALUE"""),44903.66666666667)</f>
        <v>44903.66667</v>
      </c>
      <c r="B3136" s="2">
        <f>IFERROR(__xludf.DUMMYFUNCTION("""COMPUTED_VALUE"""),172.2)</f>
        <v>172.2</v>
      </c>
      <c r="C3136" s="2">
        <f>IFERROR(__xludf.DUMMYFUNCTION("""COMPUTED_VALUE"""),175.2)</f>
        <v>175.2</v>
      </c>
      <c r="D3136" s="2">
        <f>IFERROR(__xludf.DUMMYFUNCTION("""COMPUTED_VALUE"""),169.06)</f>
        <v>169.06</v>
      </c>
      <c r="E3136" s="2">
        <f>IFERROR(__xludf.DUMMYFUNCTION("""COMPUTED_VALUE"""),173.44)</f>
        <v>173.44</v>
      </c>
      <c r="F3136" s="2">
        <f>IFERROR(__xludf.DUMMYFUNCTION("""COMPUTED_VALUE"""),9.7624491E7)</f>
        <v>97624491</v>
      </c>
    </row>
    <row r="3137">
      <c r="A3137" s="3">
        <f>IFERROR(__xludf.DUMMYFUNCTION("""COMPUTED_VALUE"""),44904.66666666667)</f>
        <v>44904.66667</v>
      </c>
      <c r="B3137" s="2">
        <f>IFERROR(__xludf.DUMMYFUNCTION("""COMPUTED_VALUE"""),173.84)</f>
        <v>173.84</v>
      </c>
      <c r="C3137" s="2">
        <f>IFERROR(__xludf.DUMMYFUNCTION("""COMPUTED_VALUE"""),182.5)</f>
        <v>182.5</v>
      </c>
      <c r="D3137" s="2">
        <f>IFERROR(__xludf.DUMMYFUNCTION("""COMPUTED_VALUE"""),173.36)</f>
        <v>173.36</v>
      </c>
      <c r="E3137" s="2">
        <f>IFERROR(__xludf.DUMMYFUNCTION("""COMPUTED_VALUE"""),179.05)</f>
        <v>179.05</v>
      </c>
      <c r="F3137" s="2">
        <f>IFERROR(__xludf.DUMMYFUNCTION("""COMPUTED_VALUE"""),1.04872336E8)</f>
        <v>104872336</v>
      </c>
    </row>
    <row r="3138">
      <c r="A3138" s="3">
        <f>IFERROR(__xludf.DUMMYFUNCTION("""COMPUTED_VALUE"""),44907.66666666667)</f>
        <v>44907.66667</v>
      </c>
      <c r="B3138" s="2">
        <f>IFERROR(__xludf.DUMMYFUNCTION("""COMPUTED_VALUE"""),176.1)</f>
        <v>176.1</v>
      </c>
      <c r="C3138" s="2">
        <f>IFERROR(__xludf.DUMMYFUNCTION("""COMPUTED_VALUE"""),177.37)</f>
        <v>177.37</v>
      </c>
      <c r="D3138" s="2">
        <f>IFERROR(__xludf.DUMMYFUNCTION("""COMPUTED_VALUE"""),167.52)</f>
        <v>167.52</v>
      </c>
      <c r="E3138" s="2">
        <f>IFERROR(__xludf.DUMMYFUNCTION("""COMPUTED_VALUE"""),167.82)</f>
        <v>167.82</v>
      </c>
      <c r="F3138" s="2">
        <f>IFERROR(__xludf.DUMMYFUNCTION("""COMPUTED_VALUE"""),1.09794471E8)</f>
        <v>109794471</v>
      </c>
    </row>
    <row r="3139">
      <c r="A3139" s="3">
        <f>IFERROR(__xludf.DUMMYFUNCTION("""COMPUTED_VALUE"""),44908.66666666667)</f>
        <v>44908.66667</v>
      </c>
      <c r="B3139" s="2">
        <f>IFERROR(__xludf.DUMMYFUNCTION("""COMPUTED_VALUE"""),174.87)</f>
        <v>174.87</v>
      </c>
      <c r="C3139" s="2">
        <f>IFERROR(__xludf.DUMMYFUNCTION("""COMPUTED_VALUE"""),175.05)</f>
        <v>175.05</v>
      </c>
      <c r="D3139" s="2">
        <f>IFERROR(__xludf.DUMMYFUNCTION("""COMPUTED_VALUE"""),156.91)</f>
        <v>156.91</v>
      </c>
      <c r="E3139" s="2">
        <f>IFERROR(__xludf.DUMMYFUNCTION("""COMPUTED_VALUE"""),160.95)</f>
        <v>160.95</v>
      </c>
      <c r="F3139" s="2">
        <f>IFERROR(__xludf.DUMMYFUNCTION("""COMPUTED_VALUE"""),1.75862722E8)</f>
        <v>175862722</v>
      </c>
    </row>
    <row r="3140">
      <c r="A3140" s="3">
        <f>IFERROR(__xludf.DUMMYFUNCTION("""COMPUTED_VALUE"""),44909.66666666667)</f>
        <v>44909.66667</v>
      </c>
      <c r="B3140" s="2">
        <f>IFERROR(__xludf.DUMMYFUNCTION("""COMPUTED_VALUE"""),159.25)</f>
        <v>159.25</v>
      </c>
      <c r="C3140" s="2">
        <f>IFERROR(__xludf.DUMMYFUNCTION("""COMPUTED_VALUE"""),161.62)</f>
        <v>161.62</v>
      </c>
      <c r="D3140" s="2">
        <f>IFERROR(__xludf.DUMMYFUNCTION("""COMPUTED_VALUE"""),155.31)</f>
        <v>155.31</v>
      </c>
      <c r="E3140" s="2">
        <f>IFERROR(__xludf.DUMMYFUNCTION("""COMPUTED_VALUE"""),156.8)</f>
        <v>156.8</v>
      </c>
      <c r="F3140" s="2">
        <f>IFERROR(__xludf.DUMMYFUNCTION("""COMPUTED_VALUE"""),1.40682338E8)</f>
        <v>140682338</v>
      </c>
    </row>
    <row r="3141">
      <c r="A3141" s="3">
        <f>IFERROR(__xludf.DUMMYFUNCTION("""COMPUTED_VALUE"""),44910.66666666667)</f>
        <v>44910.66667</v>
      </c>
      <c r="B3141" s="2">
        <f>IFERROR(__xludf.DUMMYFUNCTION("""COMPUTED_VALUE"""),153.44)</f>
        <v>153.44</v>
      </c>
      <c r="C3141" s="2">
        <f>IFERROR(__xludf.DUMMYFUNCTION("""COMPUTED_VALUE"""),160.93)</f>
        <v>160.93</v>
      </c>
      <c r="D3141" s="2">
        <f>IFERROR(__xludf.DUMMYFUNCTION("""COMPUTED_VALUE"""),153.28)</f>
        <v>153.28</v>
      </c>
      <c r="E3141" s="2">
        <f>IFERROR(__xludf.DUMMYFUNCTION("""COMPUTED_VALUE"""),157.67)</f>
        <v>157.67</v>
      </c>
      <c r="F3141" s="2">
        <f>IFERROR(__xludf.DUMMYFUNCTION("""COMPUTED_VALUE"""),1.22334459E8)</f>
        <v>122334459</v>
      </c>
    </row>
    <row r="3142">
      <c r="A3142" s="3">
        <f>IFERROR(__xludf.DUMMYFUNCTION("""COMPUTED_VALUE"""),44911.66666666667)</f>
        <v>44911.66667</v>
      </c>
      <c r="B3142" s="2">
        <f>IFERROR(__xludf.DUMMYFUNCTION("""COMPUTED_VALUE"""),159.64)</f>
        <v>159.64</v>
      </c>
      <c r="C3142" s="2">
        <f>IFERROR(__xludf.DUMMYFUNCTION("""COMPUTED_VALUE"""),160.99)</f>
        <v>160.99</v>
      </c>
      <c r="D3142" s="2">
        <f>IFERROR(__xludf.DUMMYFUNCTION("""COMPUTED_VALUE"""),150.04)</f>
        <v>150.04</v>
      </c>
      <c r="E3142" s="2">
        <f>IFERROR(__xludf.DUMMYFUNCTION("""COMPUTED_VALUE"""),150.23)</f>
        <v>150.23</v>
      </c>
      <c r="F3142" s="2">
        <f>IFERROR(__xludf.DUMMYFUNCTION("""COMPUTED_VALUE"""),1.39032175E8)</f>
        <v>139032175</v>
      </c>
    </row>
    <row r="3143">
      <c r="A3143" s="3">
        <f>IFERROR(__xludf.DUMMYFUNCTION("""COMPUTED_VALUE"""),44914.66666666667)</f>
        <v>44914.66667</v>
      </c>
      <c r="B3143" s="2">
        <f>IFERROR(__xludf.DUMMYFUNCTION("""COMPUTED_VALUE"""),154.0)</f>
        <v>154</v>
      </c>
      <c r="C3143" s="2">
        <f>IFERROR(__xludf.DUMMYFUNCTION("""COMPUTED_VALUE"""),155.25)</f>
        <v>155.25</v>
      </c>
      <c r="D3143" s="2">
        <f>IFERROR(__xludf.DUMMYFUNCTION("""COMPUTED_VALUE"""),145.82)</f>
        <v>145.82</v>
      </c>
      <c r="E3143" s="2">
        <f>IFERROR(__xludf.DUMMYFUNCTION("""COMPUTED_VALUE"""),149.87)</f>
        <v>149.87</v>
      </c>
      <c r="F3143" s="2">
        <f>IFERROR(__xludf.DUMMYFUNCTION("""COMPUTED_VALUE"""),1.39390634E8)</f>
        <v>139390634</v>
      </c>
    </row>
    <row r="3144">
      <c r="A3144" s="3">
        <f>IFERROR(__xludf.DUMMYFUNCTION("""COMPUTED_VALUE"""),44915.66666666667)</f>
        <v>44915.66667</v>
      </c>
      <c r="B3144" s="2">
        <f>IFERROR(__xludf.DUMMYFUNCTION("""COMPUTED_VALUE"""),146.05)</f>
        <v>146.05</v>
      </c>
      <c r="C3144" s="2">
        <f>IFERROR(__xludf.DUMMYFUNCTION("""COMPUTED_VALUE"""),148.47)</f>
        <v>148.47</v>
      </c>
      <c r="D3144" s="2">
        <f>IFERROR(__xludf.DUMMYFUNCTION("""COMPUTED_VALUE"""),137.66)</f>
        <v>137.66</v>
      </c>
      <c r="E3144" s="2">
        <f>IFERROR(__xludf.DUMMYFUNCTION("""COMPUTED_VALUE"""),137.8)</f>
        <v>137.8</v>
      </c>
      <c r="F3144" s="2">
        <f>IFERROR(__xludf.DUMMYFUNCTION("""COMPUTED_VALUE"""),1.59563267E8)</f>
        <v>159563267</v>
      </c>
    </row>
    <row r="3145">
      <c r="A3145" s="3">
        <f>IFERROR(__xludf.DUMMYFUNCTION("""COMPUTED_VALUE"""),44916.66666666667)</f>
        <v>44916.66667</v>
      </c>
      <c r="B3145" s="2">
        <f>IFERROR(__xludf.DUMMYFUNCTION("""COMPUTED_VALUE"""),139.34)</f>
        <v>139.34</v>
      </c>
      <c r="C3145" s="2">
        <f>IFERROR(__xludf.DUMMYFUNCTION("""COMPUTED_VALUE"""),141.26)</f>
        <v>141.26</v>
      </c>
      <c r="D3145" s="2">
        <f>IFERROR(__xludf.DUMMYFUNCTION("""COMPUTED_VALUE"""),135.89)</f>
        <v>135.89</v>
      </c>
      <c r="E3145" s="2">
        <f>IFERROR(__xludf.DUMMYFUNCTION("""COMPUTED_VALUE"""),137.57)</f>
        <v>137.57</v>
      </c>
      <c r="F3145" s="2">
        <f>IFERROR(__xludf.DUMMYFUNCTION("""COMPUTED_VALUE"""),1.45417412E8)</f>
        <v>145417412</v>
      </c>
    </row>
    <row r="3146">
      <c r="A3146" s="3">
        <f>IFERROR(__xludf.DUMMYFUNCTION("""COMPUTED_VALUE"""),44917.66666666667)</f>
        <v>44917.66667</v>
      </c>
      <c r="B3146" s="2">
        <f>IFERROR(__xludf.DUMMYFUNCTION("""COMPUTED_VALUE"""),136.0)</f>
        <v>136</v>
      </c>
      <c r="C3146" s="2">
        <f>IFERROR(__xludf.DUMMYFUNCTION("""COMPUTED_VALUE"""),136.63)</f>
        <v>136.63</v>
      </c>
      <c r="D3146" s="2">
        <f>IFERROR(__xludf.DUMMYFUNCTION("""COMPUTED_VALUE"""),122.26)</f>
        <v>122.26</v>
      </c>
      <c r="E3146" s="2">
        <f>IFERROR(__xludf.DUMMYFUNCTION("""COMPUTED_VALUE"""),125.35)</f>
        <v>125.35</v>
      </c>
      <c r="F3146" s="2">
        <f>IFERROR(__xludf.DUMMYFUNCTION("""COMPUTED_VALUE"""),2.1009025E8)</f>
        <v>210090250</v>
      </c>
    </row>
    <row r="3147">
      <c r="A3147" s="3">
        <f>IFERROR(__xludf.DUMMYFUNCTION("""COMPUTED_VALUE"""),44918.66666666667)</f>
        <v>44918.66667</v>
      </c>
      <c r="B3147" s="2">
        <f>IFERROR(__xludf.DUMMYFUNCTION("""COMPUTED_VALUE"""),126.37)</f>
        <v>126.37</v>
      </c>
      <c r="C3147" s="2">
        <f>IFERROR(__xludf.DUMMYFUNCTION("""COMPUTED_VALUE"""),128.62)</f>
        <v>128.62</v>
      </c>
      <c r="D3147" s="2">
        <f>IFERROR(__xludf.DUMMYFUNCTION("""COMPUTED_VALUE"""),121.02)</f>
        <v>121.02</v>
      </c>
      <c r="E3147" s="2">
        <f>IFERROR(__xludf.DUMMYFUNCTION("""COMPUTED_VALUE"""),123.15)</f>
        <v>123.15</v>
      </c>
      <c r="F3147" s="2">
        <f>IFERROR(__xludf.DUMMYFUNCTION("""COMPUTED_VALUE"""),1.66989688E8)</f>
        <v>166989688</v>
      </c>
    </row>
    <row r="3148">
      <c r="A3148" s="3">
        <f>IFERROR(__xludf.DUMMYFUNCTION("""COMPUTED_VALUE"""),44922.66666666667)</f>
        <v>44922.66667</v>
      </c>
      <c r="B3148" s="2">
        <f>IFERROR(__xludf.DUMMYFUNCTION("""COMPUTED_VALUE"""),117.5)</f>
        <v>117.5</v>
      </c>
      <c r="C3148" s="2">
        <f>IFERROR(__xludf.DUMMYFUNCTION("""COMPUTED_VALUE"""),119.67)</f>
        <v>119.67</v>
      </c>
      <c r="D3148" s="2">
        <f>IFERROR(__xludf.DUMMYFUNCTION("""COMPUTED_VALUE"""),108.76)</f>
        <v>108.76</v>
      </c>
      <c r="E3148" s="2">
        <f>IFERROR(__xludf.DUMMYFUNCTION("""COMPUTED_VALUE"""),109.1)</f>
        <v>109.1</v>
      </c>
      <c r="F3148" s="2">
        <f>IFERROR(__xludf.DUMMYFUNCTION("""COMPUTED_VALUE"""),2.08643444E8)</f>
        <v>208643444</v>
      </c>
    </row>
    <row r="3149">
      <c r="A3149" s="3">
        <f>IFERROR(__xludf.DUMMYFUNCTION("""COMPUTED_VALUE"""),44923.66666666667)</f>
        <v>44923.66667</v>
      </c>
      <c r="B3149" s="2">
        <f>IFERROR(__xludf.DUMMYFUNCTION("""COMPUTED_VALUE"""),110.35)</f>
        <v>110.35</v>
      </c>
      <c r="C3149" s="2">
        <f>IFERROR(__xludf.DUMMYFUNCTION("""COMPUTED_VALUE"""),116.27)</f>
        <v>116.27</v>
      </c>
      <c r="D3149" s="2">
        <f>IFERROR(__xludf.DUMMYFUNCTION("""COMPUTED_VALUE"""),108.24)</f>
        <v>108.24</v>
      </c>
      <c r="E3149" s="2">
        <f>IFERROR(__xludf.DUMMYFUNCTION("""COMPUTED_VALUE"""),112.71)</f>
        <v>112.71</v>
      </c>
      <c r="F3149" s="2">
        <f>IFERROR(__xludf.DUMMYFUNCTION("""COMPUTED_VALUE"""),2.21070537E8)</f>
        <v>221070537</v>
      </c>
    </row>
    <row r="3150">
      <c r="A3150" s="3">
        <f>IFERROR(__xludf.DUMMYFUNCTION("""COMPUTED_VALUE"""),44924.66666666667)</f>
        <v>44924.66667</v>
      </c>
      <c r="B3150" s="2">
        <f>IFERROR(__xludf.DUMMYFUNCTION("""COMPUTED_VALUE"""),120.39)</f>
        <v>120.39</v>
      </c>
      <c r="C3150" s="2">
        <f>IFERROR(__xludf.DUMMYFUNCTION("""COMPUTED_VALUE"""),123.57)</f>
        <v>123.57</v>
      </c>
      <c r="D3150" s="2">
        <f>IFERROR(__xludf.DUMMYFUNCTION("""COMPUTED_VALUE"""),117.5)</f>
        <v>117.5</v>
      </c>
      <c r="E3150" s="2">
        <f>IFERROR(__xludf.DUMMYFUNCTION("""COMPUTED_VALUE"""),121.82)</f>
        <v>121.82</v>
      </c>
      <c r="F3150" s="2">
        <f>IFERROR(__xludf.DUMMYFUNCTION("""COMPUTED_VALUE"""),2.21923313E8)</f>
        <v>221923313</v>
      </c>
    </row>
    <row r="3151">
      <c r="A3151" s="3">
        <f>IFERROR(__xludf.DUMMYFUNCTION("""COMPUTED_VALUE"""),44925.66666666667)</f>
        <v>44925.66667</v>
      </c>
      <c r="B3151" s="2">
        <f>IFERROR(__xludf.DUMMYFUNCTION("""COMPUTED_VALUE"""),119.95)</f>
        <v>119.95</v>
      </c>
      <c r="C3151" s="2">
        <f>IFERROR(__xludf.DUMMYFUNCTION("""COMPUTED_VALUE"""),124.48)</f>
        <v>124.48</v>
      </c>
      <c r="D3151" s="2">
        <f>IFERROR(__xludf.DUMMYFUNCTION("""COMPUTED_VALUE"""),119.75)</f>
        <v>119.75</v>
      </c>
      <c r="E3151" s="2">
        <f>IFERROR(__xludf.DUMMYFUNCTION("""COMPUTED_VALUE"""),123.18)</f>
        <v>123.18</v>
      </c>
      <c r="F3151" s="2">
        <f>IFERROR(__xludf.DUMMYFUNCTION("""COMPUTED_VALUE"""),1.57777339E8)</f>
        <v>157777339</v>
      </c>
    </row>
    <row r="3152">
      <c r="A3152" s="3">
        <f>IFERROR(__xludf.DUMMYFUNCTION("""COMPUTED_VALUE"""),44929.66666666667)</f>
        <v>44929.66667</v>
      </c>
      <c r="B3152" s="2">
        <f>IFERROR(__xludf.DUMMYFUNCTION("""COMPUTED_VALUE"""),118.47)</f>
        <v>118.47</v>
      </c>
      <c r="C3152" s="2">
        <f>IFERROR(__xludf.DUMMYFUNCTION("""COMPUTED_VALUE"""),118.8)</f>
        <v>118.8</v>
      </c>
      <c r="D3152" s="2">
        <f>IFERROR(__xludf.DUMMYFUNCTION("""COMPUTED_VALUE"""),104.64)</f>
        <v>104.64</v>
      </c>
      <c r="E3152" s="2">
        <f>IFERROR(__xludf.DUMMYFUNCTION("""COMPUTED_VALUE"""),108.1)</f>
        <v>108.1</v>
      </c>
      <c r="F3152" s="2">
        <f>IFERROR(__xludf.DUMMYFUNCTION("""COMPUTED_VALUE"""),2.31402818E8)</f>
        <v>231402818</v>
      </c>
    </row>
    <row r="3153">
      <c r="A3153" s="3">
        <f>IFERROR(__xludf.DUMMYFUNCTION("""COMPUTED_VALUE"""),44930.66666666667)</f>
        <v>44930.66667</v>
      </c>
      <c r="B3153" s="2">
        <f>IFERROR(__xludf.DUMMYFUNCTION("""COMPUTED_VALUE"""),109.11)</f>
        <v>109.11</v>
      </c>
      <c r="C3153" s="2">
        <f>IFERROR(__xludf.DUMMYFUNCTION("""COMPUTED_VALUE"""),114.59)</f>
        <v>114.59</v>
      </c>
      <c r="D3153" s="2">
        <f>IFERROR(__xludf.DUMMYFUNCTION("""COMPUTED_VALUE"""),107.52)</f>
        <v>107.52</v>
      </c>
      <c r="E3153" s="2">
        <f>IFERROR(__xludf.DUMMYFUNCTION("""COMPUTED_VALUE"""),113.64)</f>
        <v>113.64</v>
      </c>
      <c r="F3153" s="2">
        <f>IFERROR(__xludf.DUMMYFUNCTION("""COMPUTED_VALUE"""),1.80388976E8)</f>
        <v>180388976</v>
      </c>
    </row>
    <row r="3154">
      <c r="A3154" s="3">
        <f>IFERROR(__xludf.DUMMYFUNCTION("""COMPUTED_VALUE"""),44931.66666666667)</f>
        <v>44931.66667</v>
      </c>
      <c r="B3154" s="2">
        <f>IFERROR(__xludf.DUMMYFUNCTION("""COMPUTED_VALUE"""),110.51)</f>
        <v>110.51</v>
      </c>
      <c r="C3154" s="2">
        <f>IFERROR(__xludf.DUMMYFUNCTION("""COMPUTED_VALUE"""),111.75)</f>
        <v>111.75</v>
      </c>
      <c r="D3154" s="2">
        <f>IFERROR(__xludf.DUMMYFUNCTION("""COMPUTED_VALUE"""),107.16)</f>
        <v>107.16</v>
      </c>
      <c r="E3154" s="2">
        <f>IFERROR(__xludf.DUMMYFUNCTION("""COMPUTED_VALUE"""),110.34)</f>
        <v>110.34</v>
      </c>
      <c r="F3154" s="2">
        <f>IFERROR(__xludf.DUMMYFUNCTION("""COMPUTED_VALUE"""),1.57986324E8)</f>
        <v>157986324</v>
      </c>
    </row>
    <row r="3155">
      <c r="A3155" s="3">
        <f>IFERROR(__xludf.DUMMYFUNCTION("""COMPUTED_VALUE"""),44932.66666666667)</f>
        <v>44932.66667</v>
      </c>
      <c r="B3155" s="2">
        <f>IFERROR(__xludf.DUMMYFUNCTION("""COMPUTED_VALUE"""),103.0)</f>
        <v>103</v>
      </c>
      <c r="C3155" s="2">
        <f>IFERROR(__xludf.DUMMYFUNCTION("""COMPUTED_VALUE"""),114.39)</f>
        <v>114.39</v>
      </c>
      <c r="D3155" s="2">
        <f>IFERROR(__xludf.DUMMYFUNCTION("""COMPUTED_VALUE"""),101.81)</f>
        <v>101.81</v>
      </c>
      <c r="E3155" s="2">
        <f>IFERROR(__xludf.DUMMYFUNCTION("""COMPUTED_VALUE"""),113.06)</f>
        <v>113.06</v>
      </c>
      <c r="F3155" s="2">
        <f>IFERROR(__xludf.DUMMYFUNCTION("""COMPUTED_VALUE"""),2.20911051E8)</f>
        <v>220911051</v>
      </c>
    </row>
    <row r="3156">
      <c r="A3156" s="3">
        <f>IFERROR(__xludf.DUMMYFUNCTION("""COMPUTED_VALUE"""),44935.66666666667)</f>
        <v>44935.66667</v>
      </c>
      <c r="B3156" s="2">
        <f>IFERROR(__xludf.DUMMYFUNCTION("""COMPUTED_VALUE"""),118.96)</f>
        <v>118.96</v>
      </c>
      <c r="C3156" s="2">
        <f>IFERROR(__xludf.DUMMYFUNCTION("""COMPUTED_VALUE"""),123.52)</f>
        <v>123.52</v>
      </c>
      <c r="D3156" s="2">
        <f>IFERROR(__xludf.DUMMYFUNCTION("""COMPUTED_VALUE"""),117.11)</f>
        <v>117.11</v>
      </c>
      <c r="E3156" s="2">
        <f>IFERROR(__xludf.DUMMYFUNCTION("""COMPUTED_VALUE"""),119.77)</f>
        <v>119.77</v>
      </c>
      <c r="F3156" s="2">
        <f>IFERROR(__xludf.DUMMYFUNCTION("""COMPUTED_VALUE"""),1.90283951E8)</f>
        <v>190283951</v>
      </c>
    </row>
    <row r="3157">
      <c r="A3157" s="3">
        <f>IFERROR(__xludf.DUMMYFUNCTION("""COMPUTED_VALUE"""),44936.66666666667)</f>
        <v>44936.66667</v>
      </c>
      <c r="B3157" s="2">
        <f>IFERROR(__xludf.DUMMYFUNCTION("""COMPUTED_VALUE"""),121.07)</f>
        <v>121.07</v>
      </c>
      <c r="C3157" s="2">
        <f>IFERROR(__xludf.DUMMYFUNCTION("""COMPUTED_VALUE"""),122.76)</f>
        <v>122.76</v>
      </c>
      <c r="D3157" s="2">
        <f>IFERROR(__xludf.DUMMYFUNCTION("""COMPUTED_VALUE"""),114.92)</f>
        <v>114.92</v>
      </c>
      <c r="E3157" s="2">
        <f>IFERROR(__xludf.DUMMYFUNCTION("""COMPUTED_VALUE"""),118.85)</f>
        <v>118.85</v>
      </c>
      <c r="F3157" s="2">
        <f>IFERROR(__xludf.DUMMYFUNCTION("""COMPUTED_VALUE"""),1.67642485E8)</f>
        <v>167642485</v>
      </c>
    </row>
    <row r="3158">
      <c r="A3158" s="3">
        <f>IFERROR(__xludf.DUMMYFUNCTION("""COMPUTED_VALUE"""),44937.66666666667)</f>
        <v>44937.66667</v>
      </c>
      <c r="B3158" s="2">
        <f>IFERROR(__xludf.DUMMYFUNCTION("""COMPUTED_VALUE"""),122.09)</f>
        <v>122.09</v>
      </c>
      <c r="C3158" s="2">
        <f>IFERROR(__xludf.DUMMYFUNCTION("""COMPUTED_VALUE"""),125.95)</f>
        <v>125.95</v>
      </c>
      <c r="D3158" s="2">
        <f>IFERROR(__xludf.DUMMYFUNCTION("""COMPUTED_VALUE"""),120.51)</f>
        <v>120.51</v>
      </c>
      <c r="E3158" s="2">
        <f>IFERROR(__xludf.DUMMYFUNCTION("""COMPUTED_VALUE"""),123.22)</f>
        <v>123.22</v>
      </c>
      <c r="F3158" s="2">
        <f>IFERROR(__xludf.DUMMYFUNCTION("""COMPUTED_VALUE"""),1.83810771E8)</f>
        <v>183810771</v>
      </c>
    </row>
    <row r="3159">
      <c r="A3159" s="3">
        <f>IFERROR(__xludf.DUMMYFUNCTION("""COMPUTED_VALUE"""),44938.66666666667)</f>
        <v>44938.66667</v>
      </c>
      <c r="B3159" s="2">
        <f>IFERROR(__xludf.DUMMYFUNCTION("""COMPUTED_VALUE"""),122.56)</f>
        <v>122.56</v>
      </c>
      <c r="C3159" s="2">
        <f>IFERROR(__xludf.DUMMYFUNCTION("""COMPUTED_VALUE"""),124.13)</f>
        <v>124.13</v>
      </c>
      <c r="D3159" s="2">
        <f>IFERROR(__xludf.DUMMYFUNCTION("""COMPUTED_VALUE"""),117.0)</f>
        <v>117</v>
      </c>
      <c r="E3159" s="2">
        <f>IFERROR(__xludf.DUMMYFUNCTION("""COMPUTED_VALUE"""),123.56)</f>
        <v>123.56</v>
      </c>
      <c r="F3159" s="2">
        <f>IFERROR(__xludf.DUMMYFUNCTION("""COMPUTED_VALUE"""),1.69400913E8)</f>
        <v>169400913</v>
      </c>
    </row>
    <row r="3160">
      <c r="A3160" s="3">
        <f>IFERROR(__xludf.DUMMYFUNCTION("""COMPUTED_VALUE"""),44939.66666666667)</f>
        <v>44939.66667</v>
      </c>
      <c r="B3160" s="2">
        <f>IFERROR(__xludf.DUMMYFUNCTION("""COMPUTED_VALUE"""),116.55)</f>
        <v>116.55</v>
      </c>
      <c r="C3160" s="2">
        <f>IFERROR(__xludf.DUMMYFUNCTION("""COMPUTED_VALUE"""),122.63)</f>
        <v>122.63</v>
      </c>
      <c r="D3160" s="2">
        <f>IFERROR(__xludf.DUMMYFUNCTION("""COMPUTED_VALUE"""),115.6)</f>
        <v>115.6</v>
      </c>
      <c r="E3160" s="2">
        <f>IFERROR(__xludf.DUMMYFUNCTION("""COMPUTED_VALUE"""),122.4)</f>
        <v>122.4</v>
      </c>
      <c r="F3160" s="2">
        <f>IFERROR(__xludf.DUMMYFUNCTION("""COMPUTED_VALUE"""),1.80714119E8)</f>
        <v>180714119</v>
      </c>
    </row>
    <row r="3161">
      <c r="A3161" s="3">
        <f>IFERROR(__xludf.DUMMYFUNCTION("""COMPUTED_VALUE"""),44943.66666666667)</f>
        <v>44943.66667</v>
      </c>
      <c r="B3161" s="2">
        <f>IFERROR(__xludf.DUMMYFUNCTION("""COMPUTED_VALUE"""),125.7)</f>
        <v>125.7</v>
      </c>
      <c r="C3161" s="2">
        <f>IFERROR(__xludf.DUMMYFUNCTION("""COMPUTED_VALUE"""),131.7)</f>
        <v>131.7</v>
      </c>
      <c r="D3161" s="2">
        <f>IFERROR(__xludf.DUMMYFUNCTION("""COMPUTED_VALUE"""),125.02)</f>
        <v>125.02</v>
      </c>
      <c r="E3161" s="2">
        <f>IFERROR(__xludf.DUMMYFUNCTION("""COMPUTED_VALUE"""),131.49)</f>
        <v>131.49</v>
      </c>
      <c r="F3161" s="2">
        <f>IFERROR(__xludf.DUMMYFUNCTION("""COMPUTED_VALUE"""),1.86476985E8)</f>
        <v>186476985</v>
      </c>
    </row>
    <row r="3162">
      <c r="A3162" s="3">
        <f>IFERROR(__xludf.DUMMYFUNCTION("""COMPUTED_VALUE"""),44944.66666666667)</f>
        <v>44944.66667</v>
      </c>
      <c r="B3162" s="2">
        <f>IFERROR(__xludf.DUMMYFUNCTION("""COMPUTED_VALUE"""),136.56)</f>
        <v>136.56</v>
      </c>
      <c r="C3162" s="2">
        <f>IFERROR(__xludf.DUMMYFUNCTION("""COMPUTED_VALUE"""),136.68)</f>
        <v>136.68</v>
      </c>
      <c r="D3162" s="2">
        <f>IFERROR(__xludf.DUMMYFUNCTION("""COMPUTED_VALUE"""),127.01)</f>
        <v>127.01</v>
      </c>
      <c r="E3162" s="2">
        <f>IFERROR(__xludf.DUMMYFUNCTION("""COMPUTED_VALUE"""),128.78)</f>
        <v>128.78</v>
      </c>
      <c r="F3162" s="2">
        <f>IFERROR(__xludf.DUMMYFUNCTION("""COMPUTED_VALUE"""),1.95680318E8)</f>
        <v>195680318</v>
      </c>
    </row>
    <row r="3163">
      <c r="A3163" s="3">
        <f>IFERROR(__xludf.DUMMYFUNCTION("""COMPUTED_VALUE"""),44945.66666666667)</f>
        <v>44945.66667</v>
      </c>
      <c r="B3163" s="2">
        <f>IFERROR(__xludf.DUMMYFUNCTION("""COMPUTED_VALUE"""),127.26)</f>
        <v>127.26</v>
      </c>
      <c r="C3163" s="2">
        <f>IFERROR(__xludf.DUMMYFUNCTION("""COMPUTED_VALUE"""),129.99)</f>
        <v>129.99</v>
      </c>
      <c r="D3163" s="2">
        <f>IFERROR(__xludf.DUMMYFUNCTION("""COMPUTED_VALUE"""),124.31)</f>
        <v>124.31</v>
      </c>
      <c r="E3163" s="2">
        <f>IFERROR(__xludf.DUMMYFUNCTION("""COMPUTED_VALUE"""),127.17)</f>
        <v>127.17</v>
      </c>
      <c r="F3163" s="2">
        <f>IFERROR(__xludf.DUMMYFUNCTION("""COMPUTED_VALUE"""),1.7029188E8)</f>
        <v>170291880</v>
      </c>
    </row>
    <row r="3164">
      <c r="A3164" s="3">
        <f>IFERROR(__xludf.DUMMYFUNCTION("""COMPUTED_VALUE"""),44946.66666666667)</f>
        <v>44946.66667</v>
      </c>
      <c r="B3164" s="2">
        <f>IFERROR(__xludf.DUMMYFUNCTION("""COMPUTED_VALUE"""),128.68)</f>
        <v>128.68</v>
      </c>
      <c r="C3164" s="2">
        <f>IFERROR(__xludf.DUMMYFUNCTION("""COMPUTED_VALUE"""),133.51)</f>
        <v>133.51</v>
      </c>
      <c r="D3164" s="2">
        <f>IFERROR(__xludf.DUMMYFUNCTION("""COMPUTED_VALUE"""),127.35)</f>
        <v>127.35</v>
      </c>
      <c r="E3164" s="2">
        <f>IFERROR(__xludf.DUMMYFUNCTION("""COMPUTED_VALUE"""),133.42)</f>
        <v>133.42</v>
      </c>
      <c r="F3164" s="2">
        <f>IFERROR(__xludf.DUMMYFUNCTION("""COMPUTED_VALUE"""),1.38858136E8)</f>
        <v>138858136</v>
      </c>
    </row>
    <row r="3165">
      <c r="A3165" s="3">
        <f>IFERROR(__xludf.DUMMYFUNCTION("""COMPUTED_VALUE"""),44949.66666666667)</f>
        <v>44949.66667</v>
      </c>
      <c r="B3165" s="2">
        <f>IFERROR(__xludf.DUMMYFUNCTION("""COMPUTED_VALUE"""),135.87)</f>
        <v>135.87</v>
      </c>
      <c r="C3165" s="2">
        <f>IFERROR(__xludf.DUMMYFUNCTION("""COMPUTED_VALUE"""),145.38)</f>
        <v>145.38</v>
      </c>
      <c r="D3165" s="2">
        <f>IFERROR(__xludf.DUMMYFUNCTION("""COMPUTED_VALUE"""),134.27)</f>
        <v>134.27</v>
      </c>
      <c r="E3165" s="2">
        <f>IFERROR(__xludf.DUMMYFUNCTION("""COMPUTED_VALUE"""),143.75)</f>
        <v>143.75</v>
      </c>
      <c r="F3165" s="2">
        <f>IFERROR(__xludf.DUMMYFUNCTION("""COMPUTED_VALUE"""),2.03119211E8)</f>
        <v>203119211</v>
      </c>
    </row>
    <row r="3166">
      <c r="A3166" s="3">
        <f>IFERROR(__xludf.DUMMYFUNCTION("""COMPUTED_VALUE"""),44950.66666666667)</f>
        <v>44950.66667</v>
      </c>
      <c r="B3166" s="2">
        <f>IFERROR(__xludf.DUMMYFUNCTION("""COMPUTED_VALUE"""),143.0)</f>
        <v>143</v>
      </c>
      <c r="C3166" s="2">
        <f>IFERROR(__xludf.DUMMYFUNCTION("""COMPUTED_VALUE"""),146.5)</f>
        <v>146.5</v>
      </c>
      <c r="D3166" s="2">
        <f>IFERROR(__xludf.DUMMYFUNCTION("""COMPUTED_VALUE"""),141.1)</f>
        <v>141.1</v>
      </c>
      <c r="E3166" s="2">
        <f>IFERROR(__xludf.DUMMYFUNCTION("""COMPUTED_VALUE"""),143.89)</f>
        <v>143.89</v>
      </c>
      <c r="F3166" s="2">
        <f>IFERROR(__xludf.DUMMYFUNCTION("""COMPUTED_VALUE"""),1.58699056E8)</f>
        <v>158699056</v>
      </c>
    </row>
    <row r="3167">
      <c r="A3167" s="3">
        <f>IFERROR(__xludf.DUMMYFUNCTION("""COMPUTED_VALUE"""),44951.66666666667)</f>
        <v>44951.66667</v>
      </c>
      <c r="B3167" s="2">
        <f>IFERROR(__xludf.DUMMYFUNCTION("""COMPUTED_VALUE"""),141.91)</f>
        <v>141.91</v>
      </c>
      <c r="C3167" s="2">
        <f>IFERROR(__xludf.DUMMYFUNCTION("""COMPUTED_VALUE"""),146.41)</f>
        <v>146.41</v>
      </c>
      <c r="D3167" s="2">
        <f>IFERROR(__xludf.DUMMYFUNCTION("""COMPUTED_VALUE"""),138.07)</f>
        <v>138.07</v>
      </c>
      <c r="E3167" s="2">
        <f>IFERROR(__xludf.DUMMYFUNCTION("""COMPUTED_VALUE"""),144.43)</f>
        <v>144.43</v>
      </c>
      <c r="F3167" s="2">
        <f>IFERROR(__xludf.DUMMYFUNCTION("""COMPUTED_VALUE"""),1.92734347E8)</f>
        <v>192734347</v>
      </c>
    </row>
    <row r="3168">
      <c r="A3168" s="3">
        <f>IFERROR(__xludf.DUMMYFUNCTION("""COMPUTED_VALUE"""),44952.66666666667)</f>
        <v>44952.66667</v>
      </c>
      <c r="B3168" s="2">
        <f>IFERROR(__xludf.DUMMYFUNCTION("""COMPUTED_VALUE"""),159.97)</f>
        <v>159.97</v>
      </c>
      <c r="C3168" s="2">
        <f>IFERROR(__xludf.DUMMYFUNCTION("""COMPUTED_VALUE"""),161.42)</f>
        <v>161.42</v>
      </c>
      <c r="D3168" s="2">
        <f>IFERROR(__xludf.DUMMYFUNCTION("""COMPUTED_VALUE"""),154.76)</f>
        <v>154.76</v>
      </c>
      <c r="E3168" s="2">
        <f>IFERROR(__xludf.DUMMYFUNCTION("""COMPUTED_VALUE"""),160.27)</f>
        <v>160.27</v>
      </c>
      <c r="F3168" s="2">
        <f>IFERROR(__xludf.DUMMYFUNCTION("""COMPUTED_VALUE"""),2.3481509E8)</f>
        <v>234815090</v>
      </c>
    </row>
    <row r="3169">
      <c r="A3169" s="3">
        <f>IFERROR(__xludf.DUMMYFUNCTION("""COMPUTED_VALUE"""),44953.66666666667)</f>
        <v>44953.66667</v>
      </c>
      <c r="B3169" s="2">
        <f>IFERROR(__xludf.DUMMYFUNCTION("""COMPUTED_VALUE"""),162.43)</f>
        <v>162.43</v>
      </c>
      <c r="C3169" s="2">
        <f>IFERROR(__xludf.DUMMYFUNCTION("""COMPUTED_VALUE"""),180.68)</f>
        <v>180.68</v>
      </c>
      <c r="D3169" s="2">
        <f>IFERROR(__xludf.DUMMYFUNCTION("""COMPUTED_VALUE"""),161.17)</f>
        <v>161.17</v>
      </c>
      <c r="E3169" s="2">
        <f>IFERROR(__xludf.DUMMYFUNCTION("""COMPUTED_VALUE"""),177.9)</f>
        <v>177.9</v>
      </c>
      <c r="F3169" s="2">
        <f>IFERROR(__xludf.DUMMYFUNCTION("""COMPUTED_VALUE"""),3.06590613E8)</f>
        <v>306590613</v>
      </c>
    </row>
    <row r="3170">
      <c r="A3170" s="3">
        <f>IFERROR(__xludf.DUMMYFUNCTION("""COMPUTED_VALUE"""),44956.66666666667)</f>
        <v>44956.66667</v>
      </c>
      <c r="B3170" s="2">
        <f>IFERROR(__xludf.DUMMYFUNCTION("""COMPUTED_VALUE"""),178.05)</f>
        <v>178.05</v>
      </c>
      <c r="C3170" s="2">
        <f>IFERROR(__xludf.DUMMYFUNCTION("""COMPUTED_VALUE"""),179.77)</f>
        <v>179.77</v>
      </c>
      <c r="D3170" s="2">
        <f>IFERROR(__xludf.DUMMYFUNCTION("""COMPUTED_VALUE"""),166.5)</f>
        <v>166.5</v>
      </c>
      <c r="E3170" s="2">
        <f>IFERROR(__xludf.DUMMYFUNCTION("""COMPUTED_VALUE"""),166.66)</f>
        <v>166.66</v>
      </c>
      <c r="F3170" s="2">
        <f>IFERROR(__xludf.DUMMYFUNCTION("""COMPUTED_VALUE"""),2.30878807E8)</f>
        <v>230878807</v>
      </c>
    </row>
    <row r="3171">
      <c r="A3171" s="3">
        <f>IFERROR(__xludf.DUMMYFUNCTION("""COMPUTED_VALUE"""),44957.66666666667)</f>
        <v>44957.66667</v>
      </c>
      <c r="B3171" s="2">
        <f>IFERROR(__xludf.DUMMYFUNCTION("""COMPUTED_VALUE"""),164.57)</f>
        <v>164.57</v>
      </c>
      <c r="C3171" s="2">
        <f>IFERROR(__xludf.DUMMYFUNCTION("""COMPUTED_VALUE"""),174.3)</f>
        <v>174.3</v>
      </c>
      <c r="D3171" s="2">
        <f>IFERROR(__xludf.DUMMYFUNCTION("""COMPUTED_VALUE"""),162.78)</f>
        <v>162.78</v>
      </c>
      <c r="E3171" s="2">
        <f>IFERROR(__xludf.DUMMYFUNCTION("""COMPUTED_VALUE"""),173.22)</f>
        <v>173.22</v>
      </c>
      <c r="F3171" s="2">
        <f>IFERROR(__xludf.DUMMYFUNCTION("""COMPUTED_VALUE"""),1.96813541E8)</f>
        <v>196813541</v>
      </c>
    </row>
    <row r="3172">
      <c r="A3172" s="3">
        <f>IFERROR(__xludf.DUMMYFUNCTION("""COMPUTED_VALUE"""),44958.66666666667)</f>
        <v>44958.66667</v>
      </c>
      <c r="B3172" s="2">
        <f>IFERROR(__xludf.DUMMYFUNCTION("""COMPUTED_VALUE"""),173.89)</f>
        <v>173.89</v>
      </c>
      <c r="C3172" s="2">
        <f>IFERROR(__xludf.DUMMYFUNCTION("""COMPUTED_VALUE"""),183.81)</f>
        <v>183.81</v>
      </c>
      <c r="D3172" s="2">
        <f>IFERROR(__xludf.DUMMYFUNCTION("""COMPUTED_VALUE"""),169.93)</f>
        <v>169.93</v>
      </c>
      <c r="E3172" s="2">
        <f>IFERROR(__xludf.DUMMYFUNCTION("""COMPUTED_VALUE"""),181.41)</f>
        <v>181.41</v>
      </c>
      <c r="F3172" s="2">
        <f>IFERROR(__xludf.DUMMYFUNCTION("""COMPUTED_VALUE"""),2.13806323E8)</f>
        <v>213806323</v>
      </c>
    </row>
    <row r="3173">
      <c r="A3173" s="3">
        <f>IFERROR(__xludf.DUMMYFUNCTION("""COMPUTED_VALUE"""),44959.66666666667)</f>
        <v>44959.66667</v>
      </c>
      <c r="B3173" s="2">
        <f>IFERROR(__xludf.DUMMYFUNCTION("""COMPUTED_VALUE"""),187.33)</f>
        <v>187.33</v>
      </c>
      <c r="C3173" s="2">
        <f>IFERROR(__xludf.DUMMYFUNCTION("""COMPUTED_VALUE"""),196.75)</f>
        <v>196.75</v>
      </c>
      <c r="D3173" s="2">
        <f>IFERROR(__xludf.DUMMYFUNCTION("""COMPUTED_VALUE"""),182.61)</f>
        <v>182.61</v>
      </c>
      <c r="E3173" s="2">
        <f>IFERROR(__xludf.DUMMYFUNCTION("""COMPUTED_VALUE"""),188.27)</f>
        <v>188.27</v>
      </c>
      <c r="F3173" s="2">
        <f>IFERROR(__xludf.DUMMYFUNCTION("""COMPUTED_VALUE"""),2.17448287E8)</f>
        <v>217448287</v>
      </c>
    </row>
    <row r="3174">
      <c r="A3174" s="3">
        <f>IFERROR(__xludf.DUMMYFUNCTION("""COMPUTED_VALUE"""),44960.66666666667)</f>
        <v>44960.66667</v>
      </c>
      <c r="B3174" s="2">
        <f>IFERROR(__xludf.DUMMYFUNCTION("""COMPUTED_VALUE"""),183.95)</f>
        <v>183.95</v>
      </c>
      <c r="C3174" s="2">
        <f>IFERROR(__xludf.DUMMYFUNCTION("""COMPUTED_VALUE"""),199.0)</f>
        <v>199</v>
      </c>
      <c r="D3174" s="2">
        <f>IFERROR(__xludf.DUMMYFUNCTION("""COMPUTED_VALUE"""),183.69)</f>
        <v>183.69</v>
      </c>
      <c r="E3174" s="2">
        <f>IFERROR(__xludf.DUMMYFUNCTION("""COMPUTED_VALUE"""),189.98)</f>
        <v>189.98</v>
      </c>
      <c r="F3174" s="2">
        <f>IFERROR(__xludf.DUMMYFUNCTION("""COMPUTED_VALUE"""),2.32662023E8)</f>
        <v>232662023</v>
      </c>
    </row>
    <row r="3175">
      <c r="A3175" s="3">
        <f>IFERROR(__xludf.DUMMYFUNCTION("""COMPUTED_VALUE"""),44963.66666666667)</f>
        <v>44963.66667</v>
      </c>
      <c r="B3175" s="2">
        <f>IFERROR(__xludf.DUMMYFUNCTION("""COMPUTED_VALUE"""),193.01)</f>
        <v>193.01</v>
      </c>
      <c r="C3175" s="2">
        <f>IFERROR(__xludf.DUMMYFUNCTION("""COMPUTED_VALUE"""),198.17)</f>
        <v>198.17</v>
      </c>
      <c r="D3175" s="2">
        <f>IFERROR(__xludf.DUMMYFUNCTION("""COMPUTED_VALUE"""),189.92)</f>
        <v>189.92</v>
      </c>
      <c r="E3175" s="2">
        <f>IFERROR(__xludf.DUMMYFUNCTION("""COMPUTED_VALUE"""),194.76)</f>
        <v>194.76</v>
      </c>
      <c r="F3175" s="2">
        <f>IFERROR(__xludf.DUMMYFUNCTION("""COMPUTED_VALUE"""),1.86188131E8)</f>
        <v>186188131</v>
      </c>
    </row>
    <row r="3176">
      <c r="A3176" s="3">
        <f>IFERROR(__xludf.DUMMYFUNCTION("""COMPUTED_VALUE"""),44964.66666666667)</f>
        <v>44964.66667</v>
      </c>
      <c r="B3176" s="2">
        <f>IFERROR(__xludf.DUMMYFUNCTION("""COMPUTED_VALUE"""),196.43)</f>
        <v>196.43</v>
      </c>
      <c r="C3176" s="2">
        <f>IFERROR(__xludf.DUMMYFUNCTION("""COMPUTED_VALUE"""),197.5)</f>
        <v>197.5</v>
      </c>
      <c r="D3176" s="2">
        <f>IFERROR(__xludf.DUMMYFUNCTION("""COMPUTED_VALUE"""),189.55)</f>
        <v>189.55</v>
      </c>
      <c r="E3176" s="2">
        <f>IFERROR(__xludf.DUMMYFUNCTION("""COMPUTED_VALUE"""),196.81)</f>
        <v>196.81</v>
      </c>
      <c r="F3176" s="2">
        <f>IFERROR(__xludf.DUMMYFUNCTION("""COMPUTED_VALUE"""),1.86010325E8)</f>
        <v>186010325</v>
      </c>
    </row>
    <row r="3177">
      <c r="A3177" s="3">
        <f>IFERROR(__xludf.DUMMYFUNCTION("""COMPUTED_VALUE"""),44965.66666666667)</f>
        <v>44965.66667</v>
      </c>
      <c r="B3177" s="2">
        <f>IFERROR(__xludf.DUMMYFUNCTION("""COMPUTED_VALUE"""),196.1)</f>
        <v>196.1</v>
      </c>
      <c r="C3177" s="2">
        <f>IFERROR(__xludf.DUMMYFUNCTION("""COMPUTED_VALUE"""),203.0)</f>
        <v>203</v>
      </c>
      <c r="D3177" s="2">
        <f>IFERROR(__xludf.DUMMYFUNCTION("""COMPUTED_VALUE"""),194.31)</f>
        <v>194.31</v>
      </c>
      <c r="E3177" s="2">
        <f>IFERROR(__xludf.DUMMYFUNCTION("""COMPUTED_VALUE"""),201.29)</f>
        <v>201.29</v>
      </c>
      <c r="F3177" s="2">
        <f>IFERROR(__xludf.DUMMYFUNCTION("""COMPUTED_VALUE"""),1.80673644E8)</f>
        <v>180673644</v>
      </c>
    </row>
    <row r="3178">
      <c r="A3178" s="3">
        <f>IFERROR(__xludf.DUMMYFUNCTION("""COMPUTED_VALUE"""),44966.66666666667)</f>
        <v>44966.66667</v>
      </c>
      <c r="B3178" s="2">
        <f>IFERROR(__xludf.DUMMYFUNCTION("""COMPUTED_VALUE"""),207.78)</f>
        <v>207.78</v>
      </c>
      <c r="C3178" s="2">
        <f>IFERROR(__xludf.DUMMYFUNCTION("""COMPUTED_VALUE"""),214.0)</f>
        <v>214</v>
      </c>
      <c r="D3178" s="2">
        <f>IFERROR(__xludf.DUMMYFUNCTION("""COMPUTED_VALUE"""),204.77)</f>
        <v>204.77</v>
      </c>
      <c r="E3178" s="2">
        <f>IFERROR(__xludf.DUMMYFUNCTION("""COMPUTED_VALUE"""),207.32)</f>
        <v>207.32</v>
      </c>
      <c r="F3178" s="2">
        <f>IFERROR(__xludf.DUMMYFUNCTION("""COMPUTED_VALUE"""),2.15431442E8)</f>
        <v>215431442</v>
      </c>
    </row>
    <row r="3179">
      <c r="A3179" s="3">
        <f>IFERROR(__xludf.DUMMYFUNCTION("""COMPUTED_VALUE"""),44967.66666666667)</f>
        <v>44967.66667</v>
      </c>
      <c r="B3179" s="2">
        <f>IFERROR(__xludf.DUMMYFUNCTION("""COMPUTED_VALUE"""),202.23)</f>
        <v>202.23</v>
      </c>
      <c r="C3179" s="2">
        <f>IFERROR(__xludf.DUMMYFUNCTION("""COMPUTED_VALUE"""),206.2)</f>
        <v>206.2</v>
      </c>
      <c r="D3179" s="2">
        <f>IFERROR(__xludf.DUMMYFUNCTION("""COMPUTED_VALUE"""),192.89)</f>
        <v>192.89</v>
      </c>
      <c r="E3179" s="2">
        <f>IFERROR(__xludf.DUMMYFUNCTION("""COMPUTED_VALUE"""),196.89)</f>
        <v>196.89</v>
      </c>
      <c r="F3179" s="2">
        <f>IFERROR(__xludf.DUMMYFUNCTION("""COMPUTED_VALUE"""),2.04754129E8)</f>
        <v>204754129</v>
      </c>
    </row>
    <row r="3180">
      <c r="A3180" s="3">
        <f>IFERROR(__xludf.DUMMYFUNCTION("""COMPUTED_VALUE"""),44970.66666666667)</f>
        <v>44970.66667</v>
      </c>
      <c r="B3180" s="2">
        <f>IFERROR(__xludf.DUMMYFUNCTION("""COMPUTED_VALUE"""),194.42)</f>
        <v>194.42</v>
      </c>
      <c r="C3180" s="2">
        <f>IFERROR(__xludf.DUMMYFUNCTION("""COMPUTED_VALUE"""),196.3)</f>
        <v>196.3</v>
      </c>
      <c r="D3180" s="2">
        <f>IFERROR(__xludf.DUMMYFUNCTION("""COMPUTED_VALUE"""),187.61)</f>
        <v>187.61</v>
      </c>
      <c r="E3180" s="2">
        <f>IFERROR(__xludf.DUMMYFUNCTION("""COMPUTED_VALUE"""),194.64)</f>
        <v>194.64</v>
      </c>
      <c r="F3180" s="2">
        <f>IFERROR(__xludf.DUMMYFUNCTION("""COMPUTED_VALUE"""),1.72475452E8)</f>
        <v>172475452</v>
      </c>
    </row>
    <row r="3181">
      <c r="A3181" s="3">
        <f>IFERROR(__xludf.DUMMYFUNCTION("""COMPUTED_VALUE"""),44971.66666666667)</f>
        <v>44971.66667</v>
      </c>
      <c r="B3181" s="2">
        <f>IFERROR(__xludf.DUMMYFUNCTION("""COMPUTED_VALUE"""),191.94)</f>
        <v>191.94</v>
      </c>
      <c r="C3181" s="2">
        <f>IFERROR(__xludf.DUMMYFUNCTION("""COMPUTED_VALUE"""),209.82)</f>
        <v>209.82</v>
      </c>
      <c r="D3181" s="2">
        <f>IFERROR(__xludf.DUMMYFUNCTION("""COMPUTED_VALUE"""),189.44)</f>
        <v>189.44</v>
      </c>
      <c r="E3181" s="2">
        <f>IFERROR(__xludf.DUMMYFUNCTION("""COMPUTED_VALUE"""),209.25)</f>
        <v>209.25</v>
      </c>
      <c r="F3181" s="2">
        <f>IFERROR(__xludf.DUMMYFUNCTION("""COMPUTED_VALUE"""),2.16455708E8)</f>
        <v>216455708</v>
      </c>
    </row>
    <row r="3182">
      <c r="A3182" s="3">
        <f>IFERROR(__xludf.DUMMYFUNCTION("""COMPUTED_VALUE"""),44972.66666666667)</f>
        <v>44972.66667</v>
      </c>
      <c r="B3182" s="2">
        <f>IFERROR(__xludf.DUMMYFUNCTION("""COMPUTED_VALUE"""),211.76)</f>
        <v>211.76</v>
      </c>
      <c r="C3182" s="2">
        <f>IFERROR(__xludf.DUMMYFUNCTION("""COMPUTED_VALUE"""),214.66)</f>
        <v>214.66</v>
      </c>
      <c r="D3182" s="2">
        <f>IFERROR(__xludf.DUMMYFUNCTION("""COMPUTED_VALUE"""),206.11)</f>
        <v>206.11</v>
      </c>
      <c r="E3182" s="2">
        <f>IFERROR(__xludf.DUMMYFUNCTION("""COMPUTED_VALUE"""),214.24)</f>
        <v>214.24</v>
      </c>
      <c r="F3182" s="2">
        <f>IFERROR(__xludf.DUMMYFUNCTION("""COMPUTED_VALUE"""),1.82108581E8)</f>
        <v>182108581</v>
      </c>
    </row>
    <row r="3183">
      <c r="A3183" s="3">
        <f>IFERROR(__xludf.DUMMYFUNCTION("""COMPUTED_VALUE"""),44973.66666666667)</f>
        <v>44973.66667</v>
      </c>
      <c r="B3183" s="2">
        <f>IFERROR(__xludf.DUMMYFUNCTION("""COMPUTED_VALUE"""),210.78)</f>
        <v>210.78</v>
      </c>
      <c r="C3183" s="2">
        <f>IFERROR(__xludf.DUMMYFUNCTION("""COMPUTED_VALUE"""),217.65)</f>
        <v>217.65</v>
      </c>
      <c r="D3183" s="2">
        <f>IFERROR(__xludf.DUMMYFUNCTION("""COMPUTED_VALUE"""),201.84)</f>
        <v>201.84</v>
      </c>
      <c r="E3183" s="2">
        <f>IFERROR(__xludf.DUMMYFUNCTION("""COMPUTED_VALUE"""),202.04)</f>
        <v>202.04</v>
      </c>
      <c r="F3183" s="2">
        <f>IFERROR(__xludf.DUMMYFUNCTION("""COMPUTED_VALUE"""),2.29586538E8)</f>
        <v>229586538</v>
      </c>
    </row>
    <row r="3184">
      <c r="A3184" s="3">
        <f>IFERROR(__xludf.DUMMYFUNCTION("""COMPUTED_VALUE"""),44974.66666666667)</f>
        <v>44974.66667</v>
      </c>
      <c r="B3184" s="2">
        <f>IFERROR(__xludf.DUMMYFUNCTION("""COMPUTED_VALUE"""),199.99)</f>
        <v>199.99</v>
      </c>
      <c r="C3184" s="2">
        <f>IFERROR(__xludf.DUMMYFUNCTION("""COMPUTED_VALUE"""),208.44)</f>
        <v>208.44</v>
      </c>
      <c r="D3184" s="2">
        <f>IFERROR(__xludf.DUMMYFUNCTION("""COMPUTED_VALUE"""),197.5)</f>
        <v>197.5</v>
      </c>
      <c r="E3184" s="2">
        <f>IFERROR(__xludf.DUMMYFUNCTION("""COMPUTED_VALUE"""),208.31)</f>
        <v>208.31</v>
      </c>
      <c r="F3184" s="2">
        <f>IFERROR(__xludf.DUMMYFUNCTION("""COMPUTED_VALUE"""),2.13738549E8)</f>
        <v>213738549</v>
      </c>
    </row>
    <row r="3185">
      <c r="A3185" s="3">
        <f>IFERROR(__xludf.DUMMYFUNCTION("""COMPUTED_VALUE"""),44978.66666666667)</f>
        <v>44978.66667</v>
      </c>
      <c r="B3185" s="2">
        <f>IFERROR(__xludf.DUMMYFUNCTION("""COMPUTED_VALUE"""),204.99)</f>
        <v>204.99</v>
      </c>
      <c r="C3185" s="2">
        <f>IFERROR(__xludf.DUMMYFUNCTION("""COMPUTED_VALUE"""),209.71)</f>
        <v>209.71</v>
      </c>
      <c r="D3185" s="2">
        <f>IFERROR(__xludf.DUMMYFUNCTION("""COMPUTED_VALUE"""),197.22)</f>
        <v>197.22</v>
      </c>
      <c r="E3185" s="2">
        <f>IFERROR(__xludf.DUMMYFUNCTION("""COMPUTED_VALUE"""),197.37)</f>
        <v>197.37</v>
      </c>
      <c r="F3185" s="2">
        <f>IFERROR(__xludf.DUMMYFUNCTION("""COMPUTED_VALUE"""),1.80018588E8)</f>
        <v>180018588</v>
      </c>
    </row>
    <row r="3186">
      <c r="A3186" s="3">
        <f>IFERROR(__xludf.DUMMYFUNCTION("""COMPUTED_VALUE"""),44979.66666666667)</f>
        <v>44979.66667</v>
      </c>
      <c r="B3186" s="2">
        <f>IFERROR(__xludf.DUMMYFUNCTION("""COMPUTED_VALUE"""),197.93)</f>
        <v>197.93</v>
      </c>
      <c r="C3186" s="2">
        <f>IFERROR(__xludf.DUMMYFUNCTION("""COMPUTED_VALUE"""),201.99)</f>
        <v>201.99</v>
      </c>
      <c r="D3186" s="2">
        <f>IFERROR(__xludf.DUMMYFUNCTION("""COMPUTED_VALUE"""),191.78)</f>
        <v>191.78</v>
      </c>
      <c r="E3186" s="2">
        <f>IFERROR(__xludf.DUMMYFUNCTION("""COMPUTED_VALUE"""),200.86)</f>
        <v>200.86</v>
      </c>
      <c r="F3186" s="2">
        <f>IFERROR(__xludf.DUMMYFUNCTION("""COMPUTED_VALUE"""),1.91828457E8)</f>
        <v>191828457</v>
      </c>
    </row>
    <row r="3187">
      <c r="A3187" s="3">
        <f>IFERROR(__xludf.DUMMYFUNCTION("""COMPUTED_VALUE"""),44980.66666666667)</f>
        <v>44980.66667</v>
      </c>
      <c r="B3187" s="2">
        <f>IFERROR(__xludf.DUMMYFUNCTION("""COMPUTED_VALUE"""),203.91)</f>
        <v>203.91</v>
      </c>
      <c r="C3187" s="2">
        <f>IFERROR(__xludf.DUMMYFUNCTION("""COMPUTED_VALUE"""),205.14)</f>
        <v>205.14</v>
      </c>
      <c r="D3187" s="2">
        <f>IFERROR(__xludf.DUMMYFUNCTION("""COMPUTED_VALUE"""),196.33)</f>
        <v>196.33</v>
      </c>
      <c r="E3187" s="2">
        <f>IFERROR(__xludf.DUMMYFUNCTION("""COMPUTED_VALUE"""),202.07)</f>
        <v>202.07</v>
      </c>
      <c r="F3187" s="2">
        <f>IFERROR(__xludf.DUMMYFUNCTION("""COMPUTED_VALUE"""),1.4635995E8)</f>
        <v>146359950</v>
      </c>
    </row>
    <row r="3188">
      <c r="A3188" s="3">
        <f>IFERROR(__xludf.DUMMYFUNCTION("""COMPUTED_VALUE"""),44981.66666666667)</f>
        <v>44981.66667</v>
      </c>
      <c r="B3188" s="2">
        <f>IFERROR(__xludf.DUMMYFUNCTION("""COMPUTED_VALUE"""),196.33)</f>
        <v>196.33</v>
      </c>
      <c r="C3188" s="2">
        <f>IFERROR(__xludf.DUMMYFUNCTION("""COMPUTED_VALUE"""),197.67)</f>
        <v>197.67</v>
      </c>
      <c r="D3188" s="2">
        <f>IFERROR(__xludf.DUMMYFUNCTION("""COMPUTED_VALUE"""),192.8)</f>
        <v>192.8</v>
      </c>
      <c r="E3188" s="2">
        <f>IFERROR(__xludf.DUMMYFUNCTION("""COMPUTED_VALUE"""),196.88)</f>
        <v>196.88</v>
      </c>
      <c r="F3188" s="2">
        <f>IFERROR(__xludf.DUMMYFUNCTION("""COMPUTED_VALUE"""),1.42228105E8)</f>
        <v>142228105</v>
      </c>
    </row>
    <row r="3189">
      <c r="A3189" s="3">
        <f>IFERROR(__xludf.DUMMYFUNCTION("""COMPUTED_VALUE"""),44984.66666666667)</f>
        <v>44984.66667</v>
      </c>
      <c r="B3189" s="2">
        <f>IFERROR(__xludf.DUMMYFUNCTION("""COMPUTED_VALUE"""),202.03)</f>
        <v>202.03</v>
      </c>
      <c r="C3189" s="2">
        <f>IFERROR(__xludf.DUMMYFUNCTION("""COMPUTED_VALUE"""),209.42)</f>
        <v>209.42</v>
      </c>
      <c r="D3189" s="2">
        <f>IFERROR(__xludf.DUMMYFUNCTION("""COMPUTED_VALUE"""),201.26)</f>
        <v>201.26</v>
      </c>
      <c r="E3189" s="2">
        <f>IFERROR(__xludf.DUMMYFUNCTION("""COMPUTED_VALUE"""),207.63)</f>
        <v>207.63</v>
      </c>
      <c r="F3189" s="2">
        <f>IFERROR(__xludf.DUMMYFUNCTION("""COMPUTED_VALUE"""),1.61028315E8)</f>
        <v>161028315</v>
      </c>
    </row>
    <row r="3190">
      <c r="A3190" s="3">
        <f>IFERROR(__xludf.DUMMYFUNCTION("""COMPUTED_VALUE"""),44985.66666666667)</f>
        <v>44985.66667</v>
      </c>
      <c r="B3190" s="2">
        <f>IFERROR(__xludf.DUMMYFUNCTION("""COMPUTED_VALUE"""),210.59)</f>
        <v>210.59</v>
      </c>
      <c r="C3190" s="2">
        <f>IFERROR(__xludf.DUMMYFUNCTION("""COMPUTED_VALUE"""),211.23)</f>
        <v>211.23</v>
      </c>
      <c r="D3190" s="2">
        <f>IFERROR(__xludf.DUMMYFUNCTION("""COMPUTED_VALUE"""),203.75)</f>
        <v>203.75</v>
      </c>
      <c r="E3190" s="2">
        <f>IFERROR(__xludf.DUMMYFUNCTION("""COMPUTED_VALUE"""),205.71)</f>
        <v>205.71</v>
      </c>
      <c r="F3190" s="2">
        <f>IFERROR(__xludf.DUMMYFUNCTION("""COMPUTED_VALUE"""),1.53144912E8)</f>
        <v>153144912</v>
      </c>
    </row>
    <row r="3191">
      <c r="A3191" s="3">
        <f>IFERROR(__xludf.DUMMYFUNCTION("""COMPUTED_VALUE"""),44986.66666666667)</f>
        <v>44986.66667</v>
      </c>
      <c r="B3191" s="2">
        <f>IFERROR(__xludf.DUMMYFUNCTION("""COMPUTED_VALUE"""),206.21)</f>
        <v>206.21</v>
      </c>
      <c r="C3191" s="2">
        <f>IFERROR(__xludf.DUMMYFUNCTION("""COMPUTED_VALUE"""),207.2)</f>
        <v>207.2</v>
      </c>
      <c r="D3191" s="2">
        <f>IFERROR(__xludf.DUMMYFUNCTION("""COMPUTED_VALUE"""),198.52)</f>
        <v>198.52</v>
      </c>
      <c r="E3191" s="2">
        <f>IFERROR(__xludf.DUMMYFUNCTION("""COMPUTED_VALUE"""),202.77)</f>
        <v>202.77</v>
      </c>
      <c r="F3191" s="2">
        <f>IFERROR(__xludf.DUMMYFUNCTION("""COMPUTED_VALUE"""),1.5685279E8)</f>
        <v>156852790</v>
      </c>
    </row>
    <row r="3192">
      <c r="A3192" s="3">
        <f>IFERROR(__xludf.DUMMYFUNCTION("""COMPUTED_VALUE"""),44987.66666666667)</f>
        <v>44987.66667</v>
      </c>
      <c r="B3192" s="2">
        <f>IFERROR(__xludf.DUMMYFUNCTION("""COMPUTED_VALUE"""),186.74)</f>
        <v>186.74</v>
      </c>
      <c r="C3192" s="2">
        <f>IFERROR(__xludf.DUMMYFUNCTION("""COMPUTED_VALUE"""),193.75)</f>
        <v>193.75</v>
      </c>
      <c r="D3192" s="2">
        <f>IFERROR(__xludf.DUMMYFUNCTION("""COMPUTED_VALUE"""),186.01)</f>
        <v>186.01</v>
      </c>
      <c r="E3192" s="2">
        <f>IFERROR(__xludf.DUMMYFUNCTION("""COMPUTED_VALUE"""),190.9)</f>
        <v>190.9</v>
      </c>
      <c r="F3192" s="2">
        <f>IFERROR(__xludf.DUMMYFUNCTION("""COMPUTED_VALUE"""),1.81979154E8)</f>
        <v>181979154</v>
      </c>
    </row>
    <row r="3193">
      <c r="A3193" s="3">
        <f>IFERROR(__xludf.DUMMYFUNCTION("""COMPUTED_VALUE"""),44988.66666666667)</f>
        <v>44988.66667</v>
      </c>
      <c r="B3193" s="2">
        <f>IFERROR(__xludf.DUMMYFUNCTION("""COMPUTED_VALUE"""),194.8)</f>
        <v>194.8</v>
      </c>
      <c r="C3193" s="2">
        <f>IFERROR(__xludf.DUMMYFUNCTION("""COMPUTED_VALUE"""),200.48)</f>
        <v>200.48</v>
      </c>
      <c r="D3193" s="2">
        <f>IFERROR(__xludf.DUMMYFUNCTION("""COMPUTED_VALUE"""),192.88)</f>
        <v>192.88</v>
      </c>
      <c r="E3193" s="2">
        <f>IFERROR(__xludf.DUMMYFUNCTION("""COMPUTED_VALUE"""),197.79)</f>
        <v>197.79</v>
      </c>
      <c r="F3193" s="2">
        <f>IFERROR(__xludf.DUMMYFUNCTION("""COMPUTED_VALUE"""),1.54193277E8)</f>
        <v>154193277</v>
      </c>
    </row>
    <row r="3194">
      <c r="A3194" s="3">
        <f>IFERROR(__xludf.DUMMYFUNCTION("""COMPUTED_VALUE"""),44991.66666666667)</f>
        <v>44991.66667</v>
      </c>
      <c r="B3194" s="2">
        <f>IFERROR(__xludf.DUMMYFUNCTION("""COMPUTED_VALUE"""),198.54)</f>
        <v>198.54</v>
      </c>
      <c r="C3194" s="2">
        <f>IFERROR(__xludf.DUMMYFUNCTION("""COMPUTED_VALUE"""),198.6)</f>
        <v>198.6</v>
      </c>
      <c r="D3194" s="2">
        <f>IFERROR(__xludf.DUMMYFUNCTION("""COMPUTED_VALUE"""),192.3)</f>
        <v>192.3</v>
      </c>
      <c r="E3194" s="2">
        <f>IFERROR(__xludf.DUMMYFUNCTION("""COMPUTED_VALUE"""),193.81)</f>
        <v>193.81</v>
      </c>
      <c r="F3194" s="2">
        <f>IFERROR(__xludf.DUMMYFUNCTION("""COMPUTED_VALUE"""),1.28100106E8)</f>
        <v>128100106</v>
      </c>
    </row>
    <row r="3195">
      <c r="A3195" s="3">
        <f>IFERROR(__xludf.DUMMYFUNCTION("""COMPUTED_VALUE"""),44992.66666666667)</f>
        <v>44992.66667</v>
      </c>
      <c r="B3195" s="2">
        <f>IFERROR(__xludf.DUMMYFUNCTION("""COMPUTED_VALUE"""),191.38)</f>
        <v>191.38</v>
      </c>
      <c r="C3195" s="2">
        <f>IFERROR(__xludf.DUMMYFUNCTION("""COMPUTED_VALUE"""),194.2)</f>
        <v>194.2</v>
      </c>
      <c r="D3195" s="2">
        <f>IFERROR(__xludf.DUMMYFUNCTION("""COMPUTED_VALUE"""),186.1)</f>
        <v>186.1</v>
      </c>
      <c r="E3195" s="2">
        <f>IFERROR(__xludf.DUMMYFUNCTION("""COMPUTED_VALUE"""),187.71)</f>
        <v>187.71</v>
      </c>
      <c r="F3195" s="2">
        <f>IFERROR(__xludf.DUMMYFUNCTION("""COMPUTED_VALUE"""),1.4812579E8)</f>
        <v>148125790</v>
      </c>
    </row>
    <row r="3196">
      <c r="A3196" s="3">
        <f>IFERROR(__xludf.DUMMYFUNCTION("""COMPUTED_VALUE"""),44993.66666666667)</f>
        <v>44993.66667</v>
      </c>
      <c r="B3196" s="2">
        <f>IFERROR(__xludf.DUMMYFUNCTION("""COMPUTED_VALUE"""),185.04)</f>
        <v>185.04</v>
      </c>
      <c r="C3196" s="2">
        <f>IFERROR(__xludf.DUMMYFUNCTION("""COMPUTED_VALUE"""),186.5)</f>
        <v>186.5</v>
      </c>
      <c r="D3196" s="2">
        <f>IFERROR(__xludf.DUMMYFUNCTION("""COMPUTED_VALUE"""),180.0)</f>
        <v>180</v>
      </c>
      <c r="E3196" s="2">
        <f>IFERROR(__xludf.DUMMYFUNCTION("""COMPUTED_VALUE"""),182.0)</f>
        <v>182</v>
      </c>
      <c r="F3196" s="2">
        <f>IFERROR(__xludf.DUMMYFUNCTION("""COMPUTED_VALUE"""),1.51897763E8)</f>
        <v>151897763</v>
      </c>
    </row>
    <row r="3197">
      <c r="A3197" s="3">
        <f>IFERROR(__xludf.DUMMYFUNCTION("""COMPUTED_VALUE"""),44994.66666666667)</f>
        <v>44994.66667</v>
      </c>
      <c r="B3197" s="2">
        <f>IFERROR(__xludf.DUMMYFUNCTION("""COMPUTED_VALUE"""),180.25)</f>
        <v>180.25</v>
      </c>
      <c r="C3197" s="2">
        <f>IFERROR(__xludf.DUMMYFUNCTION("""COMPUTED_VALUE"""),185.18)</f>
        <v>185.18</v>
      </c>
      <c r="D3197" s="2">
        <f>IFERROR(__xludf.DUMMYFUNCTION("""COMPUTED_VALUE"""),172.51)</f>
        <v>172.51</v>
      </c>
      <c r="E3197" s="2">
        <f>IFERROR(__xludf.DUMMYFUNCTION("""COMPUTED_VALUE"""),172.92)</f>
        <v>172.92</v>
      </c>
      <c r="F3197" s="2">
        <f>IFERROR(__xludf.DUMMYFUNCTION("""COMPUTED_VALUE"""),1.70023794E8)</f>
        <v>170023794</v>
      </c>
    </row>
    <row r="3198">
      <c r="A3198" s="3">
        <f>IFERROR(__xludf.DUMMYFUNCTION("""COMPUTED_VALUE"""),44995.66666666667)</f>
        <v>44995.66667</v>
      </c>
      <c r="B3198" s="2">
        <f>IFERROR(__xludf.DUMMYFUNCTION("""COMPUTED_VALUE"""),175.13)</f>
        <v>175.13</v>
      </c>
      <c r="C3198" s="2">
        <f>IFERROR(__xludf.DUMMYFUNCTION("""COMPUTED_VALUE"""),178.29)</f>
        <v>178.29</v>
      </c>
      <c r="D3198" s="2">
        <f>IFERROR(__xludf.DUMMYFUNCTION("""COMPUTED_VALUE"""),168.44)</f>
        <v>168.44</v>
      </c>
      <c r="E3198" s="2">
        <f>IFERROR(__xludf.DUMMYFUNCTION("""COMPUTED_VALUE"""),173.44)</f>
        <v>173.44</v>
      </c>
      <c r="F3198" s="2">
        <f>IFERROR(__xludf.DUMMYFUNCTION("""COMPUTED_VALUE"""),1.91488872E8)</f>
        <v>191488872</v>
      </c>
    </row>
    <row r="3199">
      <c r="A3199" s="3">
        <f>IFERROR(__xludf.DUMMYFUNCTION("""COMPUTED_VALUE"""),44998.66666666667)</f>
        <v>44998.66667</v>
      </c>
      <c r="B3199" s="2">
        <f>IFERROR(__xludf.DUMMYFUNCTION("""COMPUTED_VALUE"""),167.46)</f>
        <v>167.46</v>
      </c>
      <c r="C3199" s="2">
        <f>IFERROR(__xludf.DUMMYFUNCTION("""COMPUTED_VALUE"""),177.35)</f>
        <v>177.35</v>
      </c>
      <c r="D3199" s="2">
        <f>IFERROR(__xludf.DUMMYFUNCTION("""COMPUTED_VALUE"""),163.91)</f>
        <v>163.91</v>
      </c>
      <c r="E3199" s="2">
        <f>IFERROR(__xludf.DUMMYFUNCTION("""COMPUTED_VALUE"""),174.48)</f>
        <v>174.48</v>
      </c>
      <c r="F3199" s="2">
        <f>IFERROR(__xludf.DUMMYFUNCTION("""COMPUTED_VALUE"""),1.67790256E8)</f>
        <v>167790256</v>
      </c>
    </row>
    <row r="3200">
      <c r="A3200" s="3">
        <f>IFERROR(__xludf.DUMMYFUNCTION("""COMPUTED_VALUE"""),44999.66666666667)</f>
        <v>44999.66667</v>
      </c>
      <c r="B3200" s="2">
        <f>IFERROR(__xludf.DUMMYFUNCTION("""COMPUTED_VALUE"""),177.31)</f>
        <v>177.31</v>
      </c>
      <c r="C3200" s="2">
        <f>IFERROR(__xludf.DUMMYFUNCTION("""COMPUTED_VALUE"""),183.8)</f>
        <v>183.8</v>
      </c>
      <c r="D3200" s="2">
        <f>IFERROR(__xludf.DUMMYFUNCTION("""COMPUTED_VALUE"""),177.14)</f>
        <v>177.14</v>
      </c>
      <c r="E3200" s="2">
        <f>IFERROR(__xludf.DUMMYFUNCTION("""COMPUTED_VALUE"""),183.26)</f>
        <v>183.26</v>
      </c>
      <c r="F3200" s="2">
        <f>IFERROR(__xludf.DUMMYFUNCTION("""COMPUTED_VALUE"""),1.43717897E8)</f>
        <v>143717897</v>
      </c>
    </row>
    <row r="3201">
      <c r="A3201" s="3">
        <f>IFERROR(__xludf.DUMMYFUNCTION("""COMPUTED_VALUE"""),45000.66666666667)</f>
        <v>45000.66667</v>
      </c>
      <c r="B3201" s="2">
        <f>IFERROR(__xludf.DUMMYFUNCTION("""COMPUTED_VALUE"""),180.8)</f>
        <v>180.8</v>
      </c>
      <c r="C3201" s="2">
        <f>IFERROR(__xludf.DUMMYFUNCTION("""COMPUTED_VALUE"""),182.34)</f>
        <v>182.34</v>
      </c>
      <c r="D3201" s="2">
        <f>IFERROR(__xludf.DUMMYFUNCTION("""COMPUTED_VALUE"""),176.03)</f>
        <v>176.03</v>
      </c>
      <c r="E3201" s="2">
        <f>IFERROR(__xludf.DUMMYFUNCTION("""COMPUTED_VALUE"""),180.45)</f>
        <v>180.45</v>
      </c>
      <c r="F3201" s="2">
        <f>IFERROR(__xludf.DUMMYFUNCTION("""COMPUTED_VALUE"""),1.45995583E8)</f>
        <v>145995583</v>
      </c>
    </row>
    <row r="3202">
      <c r="A3202" s="3">
        <f>IFERROR(__xludf.DUMMYFUNCTION("""COMPUTED_VALUE"""),45001.66666666667)</f>
        <v>45001.66667</v>
      </c>
      <c r="B3202" s="2">
        <f>IFERROR(__xludf.DUMMYFUNCTION("""COMPUTED_VALUE"""),180.37)</f>
        <v>180.37</v>
      </c>
      <c r="C3202" s="2">
        <f>IFERROR(__xludf.DUMMYFUNCTION("""COMPUTED_VALUE"""),185.81)</f>
        <v>185.81</v>
      </c>
      <c r="D3202" s="2">
        <f>IFERROR(__xludf.DUMMYFUNCTION("""COMPUTED_VALUE"""),178.84)</f>
        <v>178.84</v>
      </c>
      <c r="E3202" s="2">
        <f>IFERROR(__xludf.DUMMYFUNCTION("""COMPUTED_VALUE"""),184.13)</f>
        <v>184.13</v>
      </c>
      <c r="F3202" s="2">
        <f>IFERROR(__xludf.DUMMYFUNCTION("""COMPUTED_VALUE"""),1.21374453E8)</f>
        <v>121374453</v>
      </c>
    </row>
    <row r="3203">
      <c r="A3203" s="3">
        <f>IFERROR(__xludf.DUMMYFUNCTION("""COMPUTED_VALUE"""),45002.66666666667)</f>
        <v>45002.66667</v>
      </c>
      <c r="B3203" s="2">
        <f>IFERROR(__xludf.DUMMYFUNCTION("""COMPUTED_VALUE"""),184.52)</f>
        <v>184.52</v>
      </c>
      <c r="C3203" s="2">
        <f>IFERROR(__xludf.DUMMYFUNCTION("""COMPUTED_VALUE"""),186.22)</f>
        <v>186.22</v>
      </c>
      <c r="D3203" s="2">
        <f>IFERROR(__xludf.DUMMYFUNCTION("""COMPUTED_VALUE"""),177.33)</f>
        <v>177.33</v>
      </c>
      <c r="E3203" s="2">
        <f>IFERROR(__xludf.DUMMYFUNCTION("""COMPUTED_VALUE"""),180.13)</f>
        <v>180.13</v>
      </c>
      <c r="F3203" s="2">
        <f>IFERROR(__xludf.DUMMYFUNCTION("""COMPUTED_VALUE"""),1.3319714E8)</f>
        <v>133197140</v>
      </c>
    </row>
    <row r="3204">
      <c r="A3204" s="3">
        <f>IFERROR(__xludf.DUMMYFUNCTION("""COMPUTED_VALUE"""),45005.66666666667)</f>
        <v>45005.66667</v>
      </c>
      <c r="B3204" s="2">
        <f>IFERROR(__xludf.DUMMYFUNCTION("""COMPUTED_VALUE"""),178.08)</f>
        <v>178.08</v>
      </c>
      <c r="C3204" s="2">
        <f>IFERROR(__xludf.DUMMYFUNCTION("""COMPUTED_VALUE"""),186.44)</f>
        <v>186.44</v>
      </c>
      <c r="D3204" s="2">
        <f>IFERROR(__xludf.DUMMYFUNCTION("""COMPUTED_VALUE"""),176.35)</f>
        <v>176.35</v>
      </c>
      <c r="E3204" s="2">
        <f>IFERROR(__xludf.DUMMYFUNCTION("""COMPUTED_VALUE"""),183.25)</f>
        <v>183.25</v>
      </c>
      <c r="F3204" s="2">
        <f>IFERROR(__xludf.DUMMYFUNCTION("""COMPUTED_VALUE"""),1.29684359E8)</f>
        <v>129684359</v>
      </c>
    </row>
    <row r="3205">
      <c r="A3205" s="3">
        <f>IFERROR(__xludf.DUMMYFUNCTION("""COMPUTED_VALUE"""),45006.66666666667)</f>
        <v>45006.66667</v>
      </c>
      <c r="B3205" s="2">
        <f>IFERROR(__xludf.DUMMYFUNCTION("""COMPUTED_VALUE"""),188.28)</f>
        <v>188.28</v>
      </c>
      <c r="C3205" s="2">
        <f>IFERROR(__xludf.DUMMYFUNCTION("""COMPUTED_VALUE"""),198.0)</f>
        <v>198</v>
      </c>
      <c r="D3205" s="2">
        <f>IFERROR(__xludf.DUMMYFUNCTION("""COMPUTED_VALUE"""),188.04)</f>
        <v>188.04</v>
      </c>
      <c r="E3205" s="2">
        <f>IFERROR(__xludf.DUMMYFUNCTION("""COMPUTED_VALUE"""),197.58)</f>
        <v>197.58</v>
      </c>
      <c r="F3205" s="2">
        <f>IFERROR(__xludf.DUMMYFUNCTION("""COMPUTED_VALUE"""),1.53391444E8)</f>
        <v>153391444</v>
      </c>
    </row>
    <row r="3206">
      <c r="A3206" s="3">
        <f>IFERROR(__xludf.DUMMYFUNCTION("""COMPUTED_VALUE"""),45007.66666666667)</f>
        <v>45007.66667</v>
      </c>
      <c r="B3206" s="2">
        <f>IFERROR(__xludf.DUMMYFUNCTION("""COMPUTED_VALUE"""),199.3)</f>
        <v>199.3</v>
      </c>
      <c r="C3206" s="2">
        <f>IFERROR(__xludf.DUMMYFUNCTION("""COMPUTED_VALUE"""),200.66)</f>
        <v>200.66</v>
      </c>
      <c r="D3206" s="2">
        <f>IFERROR(__xludf.DUMMYFUNCTION("""COMPUTED_VALUE"""),190.95)</f>
        <v>190.95</v>
      </c>
      <c r="E3206" s="2">
        <f>IFERROR(__xludf.DUMMYFUNCTION("""COMPUTED_VALUE"""),191.15)</f>
        <v>191.15</v>
      </c>
      <c r="F3206" s="2">
        <f>IFERROR(__xludf.DUMMYFUNCTION("""COMPUTED_VALUE"""),1.50376373E8)</f>
        <v>150376373</v>
      </c>
    </row>
    <row r="3207">
      <c r="A3207" s="3">
        <f>IFERROR(__xludf.DUMMYFUNCTION("""COMPUTED_VALUE"""),45008.66666666667)</f>
        <v>45008.66667</v>
      </c>
      <c r="B3207" s="2">
        <f>IFERROR(__xludf.DUMMYFUNCTION("""COMPUTED_VALUE"""),195.26)</f>
        <v>195.26</v>
      </c>
      <c r="C3207" s="2">
        <f>IFERROR(__xludf.DUMMYFUNCTION("""COMPUTED_VALUE"""),199.31)</f>
        <v>199.31</v>
      </c>
      <c r="D3207" s="2">
        <f>IFERROR(__xludf.DUMMYFUNCTION("""COMPUTED_VALUE"""),188.65)</f>
        <v>188.65</v>
      </c>
      <c r="E3207" s="2">
        <f>IFERROR(__xludf.DUMMYFUNCTION("""COMPUTED_VALUE"""),192.22)</f>
        <v>192.22</v>
      </c>
      <c r="F3207" s="2">
        <f>IFERROR(__xludf.DUMMYFUNCTION("""COMPUTED_VALUE"""),1.44193876E8)</f>
        <v>144193876</v>
      </c>
    </row>
    <row r="3208">
      <c r="A3208" s="3">
        <f>IFERROR(__xludf.DUMMYFUNCTION("""COMPUTED_VALUE"""),45009.66666666667)</f>
        <v>45009.66667</v>
      </c>
      <c r="B3208" s="2">
        <f>IFERROR(__xludf.DUMMYFUNCTION("""COMPUTED_VALUE"""),191.65)</f>
        <v>191.65</v>
      </c>
      <c r="C3208" s="2">
        <f>IFERROR(__xludf.DUMMYFUNCTION("""COMPUTED_VALUE"""),192.36)</f>
        <v>192.36</v>
      </c>
      <c r="D3208" s="2">
        <f>IFERROR(__xludf.DUMMYFUNCTION("""COMPUTED_VALUE"""),187.15)</f>
        <v>187.15</v>
      </c>
      <c r="E3208" s="2">
        <f>IFERROR(__xludf.DUMMYFUNCTION("""COMPUTED_VALUE"""),190.41)</f>
        <v>190.41</v>
      </c>
      <c r="F3208" s="2">
        <f>IFERROR(__xludf.DUMMYFUNCTION("""COMPUTED_VALUE"""),1.16531584E8)</f>
        <v>116531584</v>
      </c>
    </row>
    <row r="3209">
      <c r="A3209" s="3">
        <f>IFERROR(__xludf.DUMMYFUNCTION("""COMPUTED_VALUE"""),45012.66666666667)</f>
        <v>45012.66667</v>
      </c>
      <c r="B3209" s="2">
        <f>IFERROR(__xludf.DUMMYFUNCTION("""COMPUTED_VALUE"""),194.42)</f>
        <v>194.42</v>
      </c>
      <c r="C3209" s="2">
        <f>IFERROR(__xludf.DUMMYFUNCTION("""COMPUTED_VALUE"""),197.39)</f>
        <v>197.39</v>
      </c>
      <c r="D3209" s="2">
        <f>IFERROR(__xludf.DUMMYFUNCTION("""COMPUTED_VALUE"""),189.94)</f>
        <v>189.94</v>
      </c>
      <c r="E3209" s="2">
        <f>IFERROR(__xludf.DUMMYFUNCTION("""COMPUTED_VALUE"""),191.81)</f>
        <v>191.81</v>
      </c>
      <c r="F3209" s="2">
        <f>IFERROR(__xludf.DUMMYFUNCTION("""COMPUTED_VALUE"""),1.20851587E8)</f>
        <v>120851587</v>
      </c>
    </row>
    <row r="3210">
      <c r="A3210" s="3">
        <f>IFERROR(__xludf.DUMMYFUNCTION("""COMPUTED_VALUE"""),45013.66666666667)</f>
        <v>45013.66667</v>
      </c>
      <c r="B3210" s="2">
        <f>IFERROR(__xludf.DUMMYFUNCTION("""COMPUTED_VALUE"""),192.0)</f>
        <v>192</v>
      </c>
      <c r="C3210" s="2">
        <f>IFERROR(__xludf.DUMMYFUNCTION("""COMPUTED_VALUE"""),192.35)</f>
        <v>192.35</v>
      </c>
      <c r="D3210" s="2">
        <f>IFERROR(__xludf.DUMMYFUNCTION("""COMPUTED_VALUE"""),185.43)</f>
        <v>185.43</v>
      </c>
      <c r="E3210" s="2">
        <f>IFERROR(__xludf.DUMMYFUNCTION("""COMPUTED_VALUE"""),189.19)</f>
        <v>189.19</v>
      </c>
      <c r="F3210" s="2">
        <f>IFERROR(__xludf.DUMMYFUNCTION("""COMPUTED_VALUE"""),9.8654635E7)</f>
        <v>98654635</v>
      </c>
    </row>
    <row r="3211">
      <c r="A3211" s="3">
        <f>IFERROR(__xludf.DUMMYFUNCTION("""COMPUTED_VALUE"""),45014.66666666667)</f>
        <v>45014.66667</v>
      </c>
      <c r="B3211" s="2">
        <f>IFERROR(__xludf.DUMMYFUNCTION("""COMPUTED_VALUE"""),193.13)</f>
        <v>193.13</v>
      </c>
      <c r="C3211" s="2">
        <f>IFERROR(__xludf.DUMMYFUNCTION("""COMPUTED_VALUE"""),195.29)</f>
        <v>195.29</v>
      </c>
      <c r="D3211" s="2">
        <f>IFERROR(__xludf.DUMMYFUNCTION("""COMPUTED_VALUE"""),189.44)</f>
        <v>189.44</v>
      </c>
      <c r="E3211" s="2">
        <f>IFERROR(__xludf.DUMMYFUNCTION("""COMPUTED_VALUE"""),193.88)</f>
        <v>193.88</v>
      </c>
      <c r="F3211" s="2">
        <f>IFERROR(__xludf.DUMMYFUNCTION("""COMPUTED_VALUE"""),1.23660026E8)</f>
        <v>123660026</v>
      </c>
    </row>
    <row r="3212">
      <c r="A3212" s="3">
        <f>IFERROR(__xludf.DUMMYFUNCTION("""COMPUTED_VALUE"""),45015.66666666667)</f>
        <v>45015.66667</v>
      </c>
      <c r="B3212" s="2">
        <f>IFERROR(__xludf.DUMMYFUNCTION("""COMPUTED_VALUE"""),195.58)</f>
        <v>195.58</v>
      </c>
      <c r="C3212" s="2">
        <f>IFERROR(__xludf.DUMMYFUNCTION("""COMPUTED_VALUE"""),197.33)</f>
        <v>197.33</v>
      </c>
      <c r="D3212" s="2">
        <f>IFERROR(__xludf.DUMMYFUNCTION("""COMPUTED_VALUE"""),194.42)</f>
        <v>194.42</v>
      </c>
      <c r="E3212" s="2">
        <f>IFERROR(__xludf.DUMMYFUNCTION("""COMPUTED_VALUE"""),195.28)</f>
        <v>195.28</v>
      </c>
      <c r="F3212" s="2">
        <f>IFERROR(__xludf.DUMMYFUNCTION("""COMPUTED_VALUE"""),1.10252238E8)</f>
        <v>110252238</v>
      </c>
    </row>
    <row r="3213">
      <c r="A3213" s="3">
        <f>IFERROR(__xludf.DUMMYFUNCTION("""COMPUTED_VALUE"""),45016.66666666667)</f>
        <v>45016.66667</v>
      </c>
      <c r="B3213" s="2">
        <f>IFERROR(__xludf.DUMMYFUNCTION("""COMPUTED_VALUE"""),197.53)</f>
        <v>197.53</v>
      </c>
      <c r="C3213" s="2">
        <f>IFERROR(__xludf.DUMMYFUNCTION("""COMPUTED_VALUE"""),207.79)</f>
        <v>207.79</v>
      </c>
      <c r="D3213" s="2">
        <f>IFERROR(__xludf.DUMMYFUNCTION("""COMPUTED_VALUE"""),197.2)</f>
        <v>197.2</v>
      </c>
      <c r="E3213" s="2">
        <f>IFERROR(__xludf.DUMMYFUNCTION("""COMPUTED_VALUE"""),207.46)</f>
        <v>207.46</v>
      </c>
      <c r="F3213" s="2">
        <f>IFERROR(__xludf.DUMMYFUNCTION("""COMPUTED_VALUE"""),1.70222118E8)</f>
        <v>170222118</v>
      </c>
    </row>
    <row r="3214">
      <c r="A3214" s="3">
        <f>IFERROR(__xludf.DUMMYFUNCTION("""COMPUTED_VALUE"""),45019.66666666667)</f>
        <v>45019.66667</v>
      </c>
      <c r="B3214" s="2">
        <f>IFERROR(__xludf.DUMMYFUNCTION("""COMPUTED_VALUE"""),199.91)</f>
        <v>199.91</v>
      </c>
      <c r="C3214" s="2">
        <f>IFERROR(__xludf.DUMMYFUNCTION("""COMPUTED_VALUE"""),202.69)</f>
        <v>202.69</v>
      </c>
      <c r="D3214" s="2">
        <f>IFERROR(__xludf.DUMMYFUNCTION("""COMPUTED_VALUE"""),192.2)</f>
        <v>192.2</v>
      </c>
      <c r="E3214" s="2">
        <f>IFERROR(__xludf.DUMMYFUNCTION("""COMPUTED_VALUE"""),194.77)</f>
        <v>194.77</v>
      </c>
      <c r="F3214" s="2">
        <f>IFERROR(__xludf.DUMMYFUNCTION("""COMPUTED_VALUE"""),1.695459E8)</f>
        <v>169545900</v>
      </c>
    </row>
    <row r="3215">
      <c r="A3215" s="3">
        <f>IFERROR(__xludf.DUMMYFUNCTION("""COMPUTED_VALUE"""),45020.66666666667)</f>
        <v>45020.66667</v>
      </c>
      <c r="B3215" s="2">
        <f>IFERROR(__xludf.DUMMYFUNCTION("""COMPUTED_VALUE"""),197.32)</f>
        <v>197.32</v>
      </c>
      <c r="C3215" s="2">
        <f>IFERROR(__xludf.DUMMYFUNCTION("""COMPUTED_VALUE"""),198.74)</f>
        <v>198.74</v>
      </c>
      <c r="D3215" s="2">
        <f>IFERROR(__xludf.DUMMYFUNCTION("""COMPUTED_VALUE"""),190.32)</f>
        <v>190.32</v>
      </c>
      <c r="E3215" s="2">
        <f>IFERROR(__xludf.DUMMYFUNCTION("""COMPUTED_VALUE"""),192.58)</f>
        <v>192.58</v>
      </c>
      <c r="F3215" s="2">
        <f>IFERROR(__xludf.DUMMYFUNCTION("""COMPUTED_VALUE"""),1.26463845E8)</f>
        <v>126463845</v>
      </c>
    </row>
    <row r="3216">
      <c r="A3216" s="3">
        <f>IFERROR(__xludf.DUMMYFUNCTION("""COMPUTED_VALUE"""),45021.66666666667)</f>
        <v>45021.66667</v>
      </c>
      <c r="B3216" s="2">
        <f>IFERROR(__xludf.DUMMYFUNCTION("""COMPUTED_VALUE"""),190.52)</f>
        <v>190.52</v>
      </c>
      <c r="C3216" s="2">
        <f>IFERROR(__xludf.DUMMYFUNCTION("""COMPUTED_VALUE"""),190.68)</f>
        <v>190.68</v>
      </c>
      <c r="D3216" s="2">
        <f>IFERROR(__xludf.DUMMYFUNCTION("""COMPUTED_VALUE"""),183.76)</f>
        <v>183.76</v>
      </c>
      <c r="E3216" s="2">
        <f>IFERROR(__xludf.DUMMYFUNCTION("""COMPUTED_VALUE"""),185.52)</f>
        <v>185.52</v>
      </c>
      <c r="F3216" s="2">
        <f>IFERROR(__xludf.DUMMYFUNCTION("""COMPUTED_VALUE"""),1.33882493E8)</f>
        <v>133882493</v>
      </c>
    </row>
    <row r="3217">
      <c r="A3217" s="3">
        <f>IFERROR(__xludf.DUMMYFUNCTION("""COMPUTED_VALUE"""),45022.66666666667)</f>
        <v>45022.66667</v>
      </c>
      <c r="B3217" s="2">
        <f>IFERROR(__xludf.DUMMYFUNCTION("""COMPUTED_VALUE"""),183.08)</f>
        <v>183.08</v>
      </c>
      <c r="C3217" s="2">
        <f>IFERROR(__xludf.DUMMYFUNCTION("""COMPUTED_VALUE"""),186.39)</f>
        <v>186.39</v>
      </c>
      <c r="D3217" s="2">
        <f>IFERROR(__xludf.DUMMYFUNCTION("""COMPUTED_VALUE"""),179.74)</f>
        <v>179.74</v>
      </c>
      <c r="E3217" s="2">
        <f>IFERROR(__xludf.DUMMYFUNCTION("""COMPUTED_VALUE"""),185.06)</f>
        <v>185.06</v>
      </c>
      <c r="F3217" s="2">
        <f>IFERROR(__xludf.DUMMYFUNCTION("""COMPUTED_VALUE"""),1.23857932E8)</f>
        <v>123857932</v>
      </c>
    </row>
    <row r="3218">
      <c r="A3218" s="3">
        <f>IFERROR(__xludf.DUMMYFUNCTION("""COMPUTED_VALUE"""),45026.66666666667)</f>
        <v>45026.66667</v>
      </c>
      <c r="B3218" s="2">
        <f>IFERROR(__xludf.DUMMYFUNCTION("""COMPUTED_VALUE"""),179.94)</f>
        <v>179.94</v>
      </c>
      <c r="C3218" s="2">
        <f>IFERROR(__xludf.DUMMYFUNCTION("""COMPUTED_VALUE"""),185.1)</f>
        <v>185.1</v>
      </c>
      <c r="D3218" s="2">
        <f>IFERROR(__xludf.DUMMYFUNCTION("""COMPUTED_VALUE"""),176.11)</f>
        <v>176.11</v>
      </c>
      <c r="E3218" s="2">
        <f>IFERROR(__xludf.DUMMYFUNCTION("""COMPUTED_VALUE"""),184.51)</f>
        <v>184.51</v>
      </c>
      <c r="F3218" s="2">
        <f>IFERROR(__xludf.DUMMYFUNCTION("""COMPUTED_VALUE"""),1.42154637E8)</f>
        <v>142154637</v>
      </c>
    </row>
    <row r="3219">
      <c r="A3219" s="3">
        <f>IFERROR(__xludf.DUMMYFUNCTION("""COMPUTED_VALUE"""),45027.66666666667)</f>
        <v>45027.66667</v>
      </c>
      <c r="B3219" s="2">
        <f>IFERROR(__xludf.DUMMYFUNCTION("""COMPUTED_VALUE"""),186.69)</f>
        <v>186.69</v>
      </c>
      <c r="C3219" s="2">
        <f>IFERROR(__xludf.DUMMYFUNCTION("""COMPUTED_VALUE"""),189.19)</f>
        <v>189.19</v>
      </c>
      <c r="D3219" s="2">
        <f>IFERROR(__xludf.DUMMYFUNCTION("""COMPUTED_VALUE"""),185.65)</f>
        <v>185.65</v>
      </c>
      <c r="E3219" s="2">
        <f>IFERROR(__xludf.DUMMYFUNCTION("""COMPUTED_VALUE"""),186.79)</f>
        <v>186.79</v>
      </c>
      <c r="F3219" s="2">
        <f>IFERROR(__xludf.DUMMYFUNCTION("""COMPUTED_VALUE"""),1.15770892E8)</f>
        <v>115770892</v>
      </c>
    </row>
    <row r="3220">
      <c r="A3220" s="3">
        <f>IFERROR(__xludf.DUMMYFUNCTION("""COMPUTED_VALUE"""),45028.66666666667)</f>
        <v>45028.66667</v>
      </c>
      <c r="B3220" s="2">
        <f>IFERROR(__xludf.DUMMYFUNCTION("""COMPUTED_VALUE"""),190.74)</f>
        <v>190.74</v>
      </c>
      <c r="C3220" s="2">
        <f>IFERROR(__xludf.DUMMYFUNCTION("""COMPUTED_VALUE"""),191.58)</f>
        <v>191.58</v>
      </c>
      <c r="D3220" s="2">
        <f>IFERROR(__xludf.DUMMYFUNCTION("""COMPUTED_VALUE"""),180.31)</f>
        <v>180.31</v>
      </c>
      <c r="E3220" s="2">
        <f>IFERROR(__xludf.DUMMYFUNCTION("""COMPUTED_VALUE"""),180.54)</f>
        <v>180.54</v>
      </c>
      <c r="F3220" s="2">
        <f>IFERROR(__xludf.DUMMYFUNCTION("""COMPUTED_VALUE"""),1.50256278E8)</f>
        <v>150256278</v>
      </c>
    </row>
    <row r="3221">
      <c r="A3221" s="3">
        <f>IFERROR(__xludf.DUMMYFUNCTION("""COMPUTED_VALUE"""),45029.66666666667)</f>
        <v>45029.66667</v>
      </c>
      <c r="B3221" s="2">
        <f>IFERROR(__xludf.DUMMYFUNCTION("""COMPUTED_VALUE"""),182.96)</f>
        <v>182.96</v>
      </c>
      <c r="C3221" s="2">
        <f>IFERROR(__xludf.DUMMYFUNCTION("""COMPUTED_VALUE"""),186.5)</f>
        <v>186.5</v>
      </c>
      <c r="D3221" s="2">
        <f>IFERROR(__xludf.DUMMYFUNCTION("""COMPUTED_VALUE"""),180.94)</f>
        <v>180.94</v>
      </c>
      <c r="E3221" s="2">
        <f>IFERROR(__xludf.DUMMYFUNCTION("""COMPUTED_VALUE"""),185.9)</f>
        <v>185.9</v>
      </c>
      <c r="F3221" s="2">
        <f>IFERROR(__xludf.DUMMYFUNCTION("""COMPUTED_VALUE"""),1.12932985E8)</f>
        <v>112932985</v>
      </c>
    </row>
    <row r="3222">
      <c r="A3222" s="3">
        <f>IFERROR(__xludf.DUMMYFUNCTION("""COMPUTED_VALUE"""),45030.66666666667)</f>
        <v>45030.66667</v>
      </c>
      <c r="B3222" s="2">
        <f>IFERROR(__xludf.DUMMYFUNCTION("""COMPUTED_VALUE"""),183.95)</f>
        <v>183.95</v>
      </c>
      <c r="C3222" s="2">
        <f>IFERROR(__xludf.DUMMYFUNCTION("""COMPUTED_VALUE"""),186.28)</f>
        <v>186.28</v>
      </c>
      <c r="D3222" s="2">
        <f>IFERROR(__xludf.DUMMYFUNCTION("""COMPUTED_VALUE"""),182.01)</f>
        <v>182.01</v>
      </c>
      <c r="E3222" s="2">
        <f>IFERROR(__xludf.DUMMYFUNCTION("""COMPUTED_VALUE"""),185.0)</f>
        <v>185</v>
      </c>
      <c r="F3222" s="2">
        <f>IFERROR(__xludf.DUMMYFUNCTION("""COMPUTED_VALUE"""),9.6438664E7)</f>
        <v>96438664</v>
      </c>
    </row>
    <row r="3223">
      <c r="A3223" s="3">
        <f>IFERROR(__xludf.DUMMYFUNCTION("""COMPUTED_VALUE"""),45033.66666666667)</f>
        <v>45033.66667</v>
      </c>
      <c r="B3223" s="2">
        <f>IFERROR(__xludf.DUMMYFUNCTION("""COMPUTED_VALUE"""),186.32)</f>
        <v>186.32</v>
      </c>
      <c r="C3223" s="2">
        <f>IFERROR(__xludf.DUMMYFUNCTION("""COMPUTED_VALUE"""),189.69)</f>
        <v>189.69</v>
      </c>
      <c r="D3223" s="2">
        <f>IFERROR(__xludf.DUMMYFUNCTION("""COMPUTED_VALUE"""),182.69)</f>
        <v>182.69</v>
      </c>
      <c r="E3223" s="2">
        <f>IFERROR(__xludf.DUMMYFUNCTION("""COMPUTED_VALUE"""),187.04)</f>
        <v>187.04</v>
      </c>
      <c r="F3223" s="2">
        <f>IFERROR(__xludf.DUMMYFUNCTION("""COMPUTED_VALUE"""),1.16662189E8)</f>
        <v>116662189</v>
      </c>
    </row>
    <row r="3224">
      <c r="A3224" s="3">
        <f>IFERROR(__xludf.DUMMYFUNCTION("""COMPUTED_VALUE"""),45034.66666666667)</f>
        <v>45034.66667</v>
      </c>
      <c r="B3224" s="2">
        <f>IFERROR(__xludf.DUMMYFUNCTION("""COMPUTED_VALUE"""),187.15)</f>
        <v>187.15</v>
      </c>
      <c r="C3224" s="2">
        <f>IFERROR(__xludf.DUMMYFUNCTION("""COMPUTED_VALUE"""),187.69)</f>
        <v>187.69</v>
      </c>
      <c r="D3224" s="2">
        <f>IFERROR(__xludf.DUMMYFUNCTION("""COMPUTED_VALUE"""),183.58)</f>
        <v>183.58</v>
      </c>
      <c r="E3224" s="2">
        <f>IFERROR(__xludf.DUMMYFUNCTION("""COMPUTED_VALUE"""),184.31)</f>
        <v>184.31</v>
      </c>
      <c r="F3224" s="2">
        <f>IFERROR(__xludf.DUMMYFUNCTION("""COMPUTED_VALUE"""),9.2067016E7)</f>
        <v>92067016</v>
      </c>
    </row>
    <row r="3225">
      <c r="A3225" s="3">
        <f>IFERROR(__xludf.DUMMYFUNCTION("""COMPUTED_VALUE"""),45035.66666666667)</f>
        <v>45035.66667</v>
      </c>
      <c r="B3225" s="2">
        <f>IFERROR(__xludf.DUMMYFUNCTION("""COMPUTED_VALUE"""),179.1)</f>
        <v>179.1</v>
      </c>
      <c r="C3225" s="2">
        <f>IFERROR(__xludf.DUMMYFUNCTION("""COMPUTED_VALUE"""),183.5)</f>
        <v>183.5</v>
      </c>
      <c r="D3225" s="2">
        <f>IFERROR(__xludf.DUMMYFUNCTION("""COMPUTED_VALUE"""),177.65)</f>
        <v>177.65</v>
      </c>
      <c r="E3225" s="2">
        <f>IFERROR(__xludf.DUMMYFUNCTION("""COMPUTED_VALUE"""),180.59)</f>
        <v>180.59</v>
      </c>
      <c r="F3225" s="2">
        <f>IFERROR(__xludf.DUMMYFUNCTION("""COMPUTED_VALUE"""),1.25732687E8)</f>
        <v>125732687</v>
      </c>
    </row>
    <row r="3226">
      <c r="A3226" s="3">
        <f>IFERROR(__xludf.DUMMYFUNCTION("""COMPUTED_VALUE"""),45036.66666666667)</f>
        <v>45036.66667</v>
      </c>
      <c r="B3226" s="2">
        <f>IFERROR(__xludf.DUMMYFUNCTION("""COMPUTED_VALUE"""),166.17)</f>
        <v>166.17</v>
      </c>
      <c r="C3226" s="2">
        <f>IFERROR(__xludf.DUMMYFUNCTION("""COMPUTED_VALUE"""),169.7)</f>
        <v>169.7</v>
      </c>
      <c r="D3226" s="2">
        <f>IFERROR(__xludf.DUMMYFUNCTION("""COMPUTED_VALUE"""),160.56)</f>
        <v>160.56</v>
      </c>
      <c r="E3226" s="2">
        <f>IFERROR(__xludf.DUMMYFUNCTION("""COMPUTED_VALUE"""),162.99)</f>
        <v>162.99</v>
      </c>
      <c r="F3226" s="2">
        <f>IFERROR(__xludf.DUMMYFUNCTION("""COMPUTED_VALUE"""),2.10970819E8)</f>
        <v>210970819</v>
      </c>
    </row>
    <row r="3227">
      <c r="A3227" s="3">
        <f>IFERROR(__xludf.DUMMYFUNCTION("""COMPUTED_VALUE"""),45037.66666666667)</f>
        <v>45037.66667</v>
      </c>
      <c r="B3227" s="2">
        <f>IFERROR(__xludf.DUMMYFUNCTION("""COMPUTED_VALUE"""),164.8)</f>
        <v>164.8</v>
      </c>
      <c r="C3227" s="2">
        <f>IFERROR(__xludf.DUMMYFUNCTION("""COMPUTED_VALUE"""),166.0)</f>
        <v>166</v>
      </c>
      <c r="D3227" s="2">
        <f>IFERROR(__xludf.DUMMYFUNCTION("""COMPUTED_VALUE"""),161.32)</f>
        <v>161.32</v>
      </c>
      <c r="E3227" s="2">
        <f>IFERROR(__xludf.DUMMYFUNCTION("""COMPUTED_VALUE"""),165.08)</f>
        <v>165.08</v>
      </c>
      <c r="F3227" s="2">
        <f>IFERROR(__xludf.DUMMYFUNCTION("""COMPUTED_VALUE"""),1.23538954E8)</f>
        <v>123538954</v>
      </c>
    </row>
    <row r="3228">
      <c r="A3228" s="3">
        <f>IFERROR(__xludf.DUMMYFUNCTION("""COMPUTED_VALUE"""),45040.66666666667)</f>
        <v>45040.66667</v>
      </c>
      <c r="B3228" s="2">
        <f>IFERROR(__xludf.DUMMYFUNCTION("""COMPUTED_VALUE"""),164.65)</f>
        <v>164.65</v>
      </c>
      <c r="C3228" s="2">
        <f>IFERROR(__xludf.DUMMYFUNCTION("""COMPUTED_VALUE"""),165.65)</f>
        <v>165.65</v>
      </c>
      <c r="D3228" s="2">
        <f>IFERROR(__xludf.DUMMYFUNCTION("""COMPUTED_VALUE"""),158.61)</f>
        <v>158.61</v>
      </c>
      <c r="E3228" s="2">
        <f>IFERROR(__xludf.DUMMYFUNCTION("""COMPUTED_VALUE"""),162.55)</f>
        <v>162.55</v>
      </c>
      <c r="F3228" s="2">
        <f>IFERROR(__xludf.DUMMYFUNCTION("""COMPUTED_VALUE"""),1.40006559E8)</f>
        <v>140006559</v>
      </c>
    </row>
    <row r="3229">
      <c r="A3229" s="3">
        <f>IFERROR(__xludf.DUMMYFUNCTION("""COMPUTED_VALUE"""),45041.66666666667)</f>
        <v>45041.66667</v>
      </c>
      <c r="B3229" s="2">
        <f>IFERROR(__xludf.DUMMYFUNCTION("""COMPUTED_VALUE"""),159.82)</f>
        <v>159.82</v>
      </c>
      <c r="C3229" s="2">
        <f>IFERROR(__xludf.DUMMYFUNCTION("""COMPUTED_VALUE"""),163.47)</f>
        <v>163.47</v>
      </c>
      <c r="D3229" s="2">
        <f>IFERROR(__xludf.DUMMYFUNCTION("""COMPUTED_VALUE"""),158.75)</f>
        <v>158.75</v>
      </c>
      <c r="E3229" s="2">
        <f>IFERROR(__xludf.DUMMYFUNCTION("""COMPUTED_VALUE"""),160.67)</f>
        <v>160.67</v>
      </c>
      <c r="F3229" s="2">
        <f>IFERROR(__xludf.DUMMYFUNCTION("""COMPUTED_VALUE"""),1.21999312E8)</f>
        <v>121999312</v>
      </c>
    </row>
    <row r="3230">
      <c r="A3230" s="3">
        <f>IFERROR(__xludf.DUMMYFUNCTION("""COMPUTED_VALUE"""),45042.66666666667)</f>
        <v>45042.66667</v>
      </c>
      <c r="B3230" s="2">
        <f>IFERROR(__xludf.DUMMYFUNCTION("""COMPUTED_VALUE"""),160.29)</f>
        <v>160.29</v>
      </c>
      <c r="C3230" s="2">
        <f>IFERROR(__xludf.DUMMYFUNCTION("""COMPUTED_VALUE"""),160.67)</f>
        <v>160.67</v>
      </c>
      <c r="D3230" s="2">
        <f>IFERROR(__xludf.DUMMYFUNCTION("""COMPUTED_VALUE"""),153.14)</f>
        <v>153.14</v>
      </c>
      <c r="E3230" s="2">
        <f>IFERROR(__xludf.DUMMYFUNCTION("""COMPUTED_VALUE"""),153.75)</f>
        <v>153.75</v>
      </c>
      <c r="F3230" s="2">
        <f>IFERROR(__xludf.DUMMYFUNCTION("""COMPUTED_VALUE"""),1.53364142E8)</f>
        <v>153364142</v>
      </c>
    </row>
    <row r="3231">
      <c r="A3231" s="3">
        <f>IFERROR(__xludf.DUMMYFUNCTION("""COMPUTED_VALUE"""),45043.66666666667)</f>
        <v>45043.66667</v>
      </c>
      <c r="B3231" s="2">
        <f>IFERROR(__xludf.DUMMYFUNCTION("""COMPUTED_VALUE"""),152.64)</f>
        <v>152.64</v>
      </c>
      <c r="C3231" s="2">
        <f>IFERROR(__xludf.DUMMYFUNCTION("""COMPUTED_VALUE"""),160.48)</f>
        <v>160.48</v>
      </c>
      <c r="D3231" s="2">
        <f>IFERROR(__xludf.DUMMYFUNCTION("""COMPUTED_VALUE"""),152.37)</f>
        <v>152.37</v>
      </c>
      <c r="E3231" s="2">
        <f>IFERROR(__xludf.DUMMYFUNCTION("""COMPUTED_VALUE"""),160.19)</f>
        <v>160.19</v>
      </c>
      <c r="F3231" s="2">
        <f>IFERROR(__xludf.DUMMYFUNCTION("""COMPUTED_VALUE"""),1.27015177E8)</f>
        <v>127015177</v>
      </c>
    </row>
    <row r="3232">
      <c r="A3232" s="3">
        <f>IFERROR(__xludf.DUMMYFUNCTION("""COMPUTED_VALUE"""),45044.66666666667)</f>
        <v>45044.66667</v>
      </c>
      <c r="B3232" s="2">
        <f>IFERROR(__xludf.DUMMYFUNCTION("""COMPUTED_VALUE"""),160.9)</f>
        <v>160.9</v>
      </c>
      <c r="C3232" s="2">
        <f>IFERROR(__xludf.DUMMYFUNCTION("""COMPUTED_VALUE"""),165.0)</f>
        <v>165</v>
      </c>
      <c r="D3232" s="2">
        <f>IFERROR(__xludf.DUMMYFUNCTION("""COMPUTED_VALUE"""),157.32)</f>
        <v>157.32</v>
      </c>
      <c r="E3232" s="2">
        <f>IFERROR(__xludf.DUMMYFUNCTION("""COMPUTED_VALUE"""),164.31)</f>
        <v>164.31</v>
      </c>
      <c r="F3232" s="2">
        <f>IFERROR(__xludf.DUMMYFUNCTION("""COMPUTED_VALUE"""),1.22515812E8)</f>
        <v>122515812</v>
      </c>
    </row>
    <row r="3233">
      <c r="A3233" s="3">
        <f>IFERROR(__xludf.DUMMYFUNCTION("""COMPUTED_VALUE"""),45047.66666666667)</f>
        <v>45047.66667</v>
      </c>
      <c r="B3233" s="2">
        <f>IFERROR(__xludf.DUMMYFUNCTION("""COMPUTED_VALUE"""),163.17)</f>
        <v>163.17</v>
      </c>
      <c r="C3233" s="2">
        <f>IFERROR(__xludf.DUMMYFUNCTION("""COMPUTED_VALUE"""),163.28)</f>
        <v>163.28</v>
      </c>
      <c r="D3233" s="2">
        <f>IFERROR(__xludf.DUMMYFUNCTION("""COMPUTED_VALUE"""),158.83)</f>
        <v>158.83</v>
      </c>
      <c r="E3233" s="2">
        <f>IFERROR(__xludf.DUMMYFUNCTION("""COMPUTED_VALUE"""),161.83)</f>
        <v>161.83</v>
      </c>
      <c r="F3233" s="2">
        <f>IFERROR(__xludf.DUMMYFUNCTION("""COMPUTED_VALUE"""),1.09015048E8)</f>
        <v>109015048</v>
      </c>
    </row>
    <row r="3234">
      <c r="A3234" s="3">
        <f>IFERROR(__xludf.DUMMYFUNCTION("""COMPUTED_VALUE"""),45048.66666666667)</f>
        <v>45048.66667</v>
      </c>
      <c r="B3234" s="2">
        <f>IFERROR(__xludf.DUMMYFUNCTION("""COMPUTED_VALUE"""),161.88)</f>
        <v>161.88</v>
      </c>
      <c r="C3234" s="2">
        <f>IFERROR(__xludf.DUMMYFUNCTION("""COMPUTED_VALUE"""),165.49)</f>
        <v>165.49</v>
      </c>
      <c r="D3234" s="2">
        <f>IFERROR(__xludf.DUMMYFUNCTION("""COMPUTED_VALUE"""),158.93)</f>
        <v>158.93</v>
      </c>
      <c r="E3234" s="2">
        <f>IFERROR(__xludf.DUMMYFUNCTION("""COMPUTED_VALUE"""),160.31)</f>
        <v>160.31</v>
      </c>
      <c r="F3234" s="2">
        <f>IFERROR(__xludf.DUMMYFUNCTION("""COMPUTED_VALUE"""),1.28259744E8)</f>
        <v>128259744</v>
      </c>
    </row>
    <row r="3235">
      <c r="A3235" s="3">
        <f>IFERROR(__xludf.DUMMYFUNCTION("""COMPUTED_VALUE"""),45049.66666666667)</f>
        <v>45049.66667</v>
      </c>
      <c r="B3235" s="2">
        <f>IFERROR(__xludf.DUMMYFUNCTION("""COMPUTED_VALUE"""),160.01)</f>
        <v>160.01</v>
      </c>
      <c r="C3235" s="2">
        <f>IFERROR(__xludf.DUMMYFUNCTION("""COMPUTED_VALUE"""),165.0)</f>
        <v>165</v>
      </c>
      <c r="D3235" s="2">
        <f>IFERROR(__xludf.DUMMYFUNCTION("""COMPUTED_VALUE"""),159.91)</f>
        <v>159.91</v>
      </c>
      <c r="E3235" s="2">
        <f>IFERROR(__xludf.DUMMYFUNCTION("""COMPUTED_VALUE"""),160.61)</f>
        <v>160.61</v>
      </c>
      <c r="F3235" s="2">
        <f>IFERROR(__xludf.DUMMYFUNCTION("""COMPUTED_VALUE"""),1.19727972E8)</f>
        <v>119727972</v>
      </c>
    </row>
    <row r="3236">
      <c r="A3236" s="3">
        <f>IFERROR(__xludf.DUMMYFUNCTION("""COMPUTED_VALUE"""),45050.66666666667)</f>
        <v>45050.66667</v>
      </c>
      <c r="B3236" s="2">
        <f>IFERROR(__xludf.DUMMYFUNCTION("""COMPUTED_VALUE"""),162.71)</f>
        <v>162.71</v>
      </c>
      <c r="C3236" s="2">
        <f>IFERROR(__xludf.DUMMYFUNCTION("""COMPUTED_VALUE"""),162.95)</f>
        <v>162.95</v>
      </c>
      <c r="D3236" s="2">
        <f>IFERROR(__xludf.DUMMYFUNCTION("""COMPUTED_VALUE"""),159.65)</f>
        <v>159.65</v>
      </c>
      <c r="E3236" s="2">
        <f>IFERROR(__xludf.DUMMYFUNCTION("""COMPUTED_VALUE"""),161.2)</f>
        <v>161.2</v>
      </c>
      <c r="F3236" s="2">
        <f>IFERROR(__xludf.DUMMYFUNCTION("""COMPUTED_VALUE"""),9.5108492E7)</f>
        <v>95108492</v>
      </c>
    </row>
    <row r="3237">
      <c r="A3237" s="3">
        <f>IFERROR(__xludf.DUMMYFUNCTION("""COMPUTED_VALUE"""),45051.66666666667)</f>
        <v>45051.66667</v>
      </c>
      <c r="B3237" s="2">
        <f>IFERROR(__xludf.DUMMYFUNCTION("""COMPUTED_VALUE"""),163.97)</f>
        <v>163.97</v>
      </c>
      <c r="C3237" s="2">
        <f>IFERROR(__xludf.DUMMYFUNCTION("""COMPUTED_VALUE"""),170.79)</f>
        <v>170.79</v>
      </c>
      <c r="D3237" s="2">
        <f>IFERROR(__xludf.DUMMYFUNCTION("""COMPUTED_VALUE"""),163.51)</f>
        <v>163.51</v>
      </c>
      <c r="E3237" s="2">
        <f>IFERROR(__xludf.DUMMYFUNCTION("""COMPUTED_VALUE"""),170.06)</f>
        <v>170.06</v>
      </c>
      <c r="F3237" s="2">
        <f>IFERROR(__xludf.DUMMYFUNCTION("""COMPUTED_VALUE"""),1.07607259E8)</f>
        <v>107607259</v>
      </c>
    </row>
    <row r="3238">
      <c r="A3238" s="3">
        <f>IFERROR(__xludf.DUMMYFUNCTION("""COMPUTED_VALUE"""),45054.66666666667)</f>
        <v>45054.66667</v>
      </c>
      <c r="B3238" s="2">
        <f>IFERROR(__xludf.DUMMYFUNCTION("""COMPUTED_VALUE"""),173.72)</f>
        <v>173.72</v>
      </c>
      <c r="C3238" s="2">
        <f>IFERROR(__xludf.DUMMYFUNCTION("""COMPUTED_VALUE"""),173.8)</f>
        <v>173.8</v>
      </c>
      <c r="D3238" s="2">
        <f>IFERROR(__xludf.DUMMYFUNCTION("""COMPUTED_VALUE"""),169.19)</f>
        <v>169.19</v>
      </c>
      <c r="E3238" s="2">
        <f>IFERROR(__xludf.DUMMYFUNCTION("""COMPUTED_VALUE"""),171.79)</f>
        <v>171.79</v>
      </c>
      <c r="F3238" s="2">
        <f>IFERROR(__xludf.DUMMYFUNCTION("""COMPUTED_VALUE"""),1.12249449E8)</f>
        <v>112249449</v>
      </c>
    </row>
    <row r="3239">
      <c r="A3239" s="3">
        <f>IFERROR(__xludf.DUMMYFUNCTION("""COMPUTED_VALUE"""),45055.66666666667)</f>
        <v>45055.66667</v>
      </c>
      <c r="B3239" s="2">
        <f>IFERROR(__xludf.DUMMYFUNCTION("""COMPUTED_VALUE"""),168.95)</f>
        <v>168.95</v>
      </c>
      <c r="C3239" s="2">
        <f>IFERROR(__xludf.DUMMYFUNCTION("""COMPUTED_VALUE"""),169.82)</f>
        <v>169.82</v>
      </c>
      <c r="D3239" s="2">
        <f>IFERROR(__xludf.DUMMYFUNCTION("""COMPUTED_VALUE"""),166.56)</f>
        <v>166.56</v>
      </c>
      <c r="E3239" s="2">
        <f>IFERROR(__xludf.DUMMYFUNCTION("""COMPUTED_VALUE"""),169.15)</f>
        <v>169.15</v>
      </c>
      <c r="F3239" s="2">
        <f>IFERROR(__xludf.DUMMYFUNCTION("""COMPUTED_VALUE"""),8.8965043E7)</f>
        <v>88965043</v>
      </c>
    </row>
    <row r="3240">
      <c r="A3240" s="3">
        <f>IFERROR(__xludf.DUMMYFUNCTION("""COMPUTED_VALUE"""),45056.66666666667)</f>
        <v>45056.66667</v>
      </c>
      <c r="B3240" s="2">
        <f>IFERROR(__xludf.DUMMYFUNCTION("""COMPUTED_VALUE"""),172.55)</f>
        <v>172.55</v>
      </c>
      <c r="C3240" s="2">
        <f>IFERROR(__xludf.DUMMYFUNCTION("""COMPUTED_VALUE"""),174.43)</f>
        <v>174.43</v>
      </c>
      <c r="D3240" s="2">
        <f>IFERROR(__xludf.DUMMYFUNCTION("""COMPUTED_VALUE"""),166.68)</f>
        <v>166.68</v>
      </c>
      <c r="E3240" s="2">
        <f>IFERROR(__xludf.DUMMYFUNCTION("""COMPUTED_VALUE"""),168.54)</f>
        <v>168.54</v>
      </c>
      <c r="F3240" s="2">
        <f>IFERROR(__xludf.DUMMYFUNCTION("""COMPUTED_VALUE"""),1.19840693E8)</f>
        <v>119840693</v>
      </c>
    </row>
    <row r="3241">
      <c r="A3241" s="3">
        <f>IFERROR(__xludf.DUMMYFUNCTION("""COMPUTED_VALUE"""),45057.66666666667)</f>
        <v>45057.66667</v>
      </c>
      <c r="B3241" s="2">
        <f>IFERROR(__xludf.DUMMYFUNCTION("""COMPUTED_VALUE"""),168.7)</f>
        <v>168.7</v>
      </c>
      <c r="C3241" s="2">
        <f>IFERROR(__xludf.DUMMYFUNCTION("""COMPUTED_VALUE"""),173.57)</f>
        <v>173.57</v>
      </c>
      <c r="D3241" s="2">
        <f>IFERROR(__xludf.DUMMYFUNCTION("""COMPUTED_VALUE"""),166.79)</f>
        <v>166.79</v>
      </c>
      <c r="E3241" s="2">
        <f>IFERROR(__xludf.DUMMYFUNCTION("""COMPUTED_VALUE"""),172.08)</f>
        <v>172.08</v>
      </c>
      <c r="F3241" s="2">
        <f>IFERROR(__xludf.DUMMYFUNCTION("""COMPUTED_VALUE"""),1.0388993E8)</f>
        <v>103889930</v>
      </c>
    </row>
    <row r="3242">
      <c r="A3242" s="3">
        <f>IFERROR(__xludf.DUMMYFUNCTION("""COMPUTED_VALUE"""),45058.66666666667)</f>
        <v>45058.66667</v>
      </c>
      <c r="B3242" s="2">
        <f>IFERROR(__xludf.DUMMYFUNCTION("""COMPUTED_VALUE"""),176.07)</f>
        <v>176.07</v>
      </c>
      <c r="C3242" s="2">
        <f>IFERROR(__xludf.DUMMYFUNCTION("""COMPUTED_VALUE"""),177.38)</f>
        <v>177.38</v>
      </c>
      <c r="D3242" s="2">
        <f>IFERROR(__xludf.DUMMYFUNCTION("""COMPUTED_VALUE"""),167.23)</f>
        <v>167.23</v>
      </c>
      <c r="E3242" s="2">
        <f>IFERROR(__xludf.DUMMYFUNCTION("""COMPUTED_VALUE"""),167.98)</f>
        <v>167.98</v>
      </c>
      <c r="F3242" s="2">
        <f>IFERROR(__xludf.DUMMYFUNCTION("""COMPUTED_VALUE"""),1.57849625E8)</f>
        <v>157849625</v>
      </c>
    </row>
    <row r="3243">
      <c r="A3243" s="3">
        <f>IFERROR(__xludf.DUMMYFUNCTION("""COMPUTED_VALUE"""),45061.66666666667)</f>
        <v>45061.66667</v>
      </c>
      <c r="B3243" s="2">
        <f>IFERROR(__xludf.DUMMYFUNCTION("""COMPUTED_VALUE"""),167.66)</f>
        <v>167.66</v>
      </c>
      <c r="C3243" s="2">
        <f>IFERROR(__xludf.DUMMYFUNCTION("""COMPUTED_VALUE"""),169.76)</f>
        <v>169.76</v>
      </c>
      <c r="D3243" s="2">
        <f>IFERROR(__xludf.DUMMYFUNCTION("""COMPUTED_VALUE"""),164.55)</f>
        <v>164.55</v>
      </c>
      <c r="E3243" s="2">
        <f>IFERROR(__xludf.DUMMYFUNCTION("""COMPUTED_VALUE"""),166.35)</f>
        <v>166.35</v>
      </c>
      <c r="F3243" s="2">
        <f>IFERROR(__xludf.DUMMYFUNCTION("""COMPUTED_VALUE"""),1.0559251E8)</f>
        <v>105592510</v>
      </c>
    </row>
    <row r="3244">
      <c r="A3244" s="3">
        <f>IFERROR(__xludf.DUMMYFUNCTION("""COMPUTED_VALUE"""),45062.66666666667)</f>
        <v>45062.66667</v>
      </c>
      <c r="B3244" s="2">
        <f>IFERROR(__xludf.DUMMYFUNCTION("""COMPUTED_VALUE"""),165.65)</f>
        <v>165.65</v>
      </c>
      <c r="C3244" s="2">
        <f>IFERROR(__xludf.DUMMYFUNCTION("""COMPUTED_VALUE"""),169.52)</f>
        <v>169.52</v>
      </c>
      <c r="D3244" s="2">
        <f>IFERROR(__xludf.DUMMYFUNCTION("""COMPUTED_VALUE"""),164.35)</f>
        <v>164.35</v>
      </c>
      <c r="E3244" s="2">
        <f>IFERROR(__xludf.DUMMYFUNCTION("""COMPUTED_VALUE"""),166.52)</f>
        <v>166.52</v>
      </c>
      <c r="F3244" s="2">
        <f>IFERROR(__xludf.DUMMYFUNCTION("""COMPUTED_VALUE"""),9.8288792E7)</f>
        <v>98288792</v>
      </c>
    </row>
    <row r="3245">
      <c r="A3245" s="3">
        <f>IFERROR(__xludf.DUMMYFUNCTION("""COMPUTED_VALUE"""),45063.66666666667)</f>
        <v>45063.66667</v>
      </c>
      <c r="B3245" s="2">
        <f>IFERROR(__xludf.DUMMYFUNCTION("""COMPUTED_VALUE"""),168.41)</f>
        <v>168.41</v>
      </c>
      <c r="C3245" s="2">
        <f>IFERROR(__xludf.DUMMYFUNCTION("""COMPUTED_VALUE"""),174.5)</f>
        <v>174.5</v>
      </c>
      <c r="D3245" s="2">
        <f>IFERROR(__xludf.DUMMYFUNCTION("""COMPUTED_VALUE"""),167.19)</f>
        <v>167.19</v>
      </c>
      <c r="E3245" s="2">
        <f>IFERROR(__xludf.DUMMYFUNCTION("""COMPUTED_VALUE"""),173.86)</f>
        <v>173.86</v>
      </c>
      <c r="F3245" s="2">
        <f>IFERROR(__xludf.DUMMYFUNCTION("""COMPUTED_VALUE"""),1.25473558E8)</f>
        <v>125473558</v>
      </c>
    </row>
    <row r="3246">
      <c r="A3246" s="3">
        <f>IFERROR(__xludf.DUMMYFUNCTION("""COMPUTED_VALUE"""),45064.66666666667)</f>
        <v>45064.66667</v>
      </c>
      <c r="B3246" s="2">
        <f>IFERROR(__xludf.DUMMYFUNCTION("""COMPUTED_VALUE"""),174.22)</f>
        <v>174.22</v>
      </c>
      <c r="C3246" s="2">
        <f>IFERROR(__xludf.DUMMYFUNCTION("""COMPUTED_VALUE"""),177.06)</f>
        <v>177.06</v>
      </c>
      <c r="D3246" s="2">
        <f>IFERROR(__xludf.DUMMYFUNCTION("""COMPUTED_VALUE"""),172.45)</f>
        <v>172.45</v>
      </c>
      <c r="E3246" s="2">
        <f>IFERROR(__xludf.DUMMYFUNCTION("""COMPUTED_VALUE"""),176.89)</f>
        <v>176.89</v>
      </c>
      <c r="F3246" s="2">
        <f>IFERROR(__xludf.DUMMYFUNCTION("""COMPUTED_VALUE"""),1.09520332E8)</f>
        <v>109520332</v>
      </c>
    </row>
    <row r="3247">
      <c r="A3247" s="3">
        <f>IFERROR(__xludf.DUMMYFUNCTION("""COMPUTED_VALUE"""),45065.66666666667)</f>
        <v>45065.66667</v>
      </c>
      <c r="B3247" s="2">
        <f>IFERROR(__xludf.DUMMYFUNCTION("""COMPUTED_VALUE"""),177.17)</f>
        <v>177.17</v>
      </c>
      <c r="C3247" s="2">
        <f>IFERROR(__xludf.DUMMYFUNCTION("""COMPUTED_VALUE"""),181.95)</f>
        <v>181.95</v>
      </c>
      <c r="D3247" s="2">
        <f>IFERROR(__xludf.DUMMYFUNCTION("""COMPUTED_VALUE"""),176.31)</f>
        <v>176.31</v>
      </c>
      <c r="E3247" s="2">
        <f>IFERROR(__xludf.DUMMYFUNCTION("""COMPUTED_VALUE"""),180.14)</f>
        <v>180.14</v>
      </c>
      <c r="F3247" s="2">
        <f>IFERROR(__xludf.DUMMYFUNCTION("""COMPUTED_VALUE"""),1.36196668E8)</f>
        <v>136196668</v>
      </c>
    </row>
    <row r="3248">
      <c r="A3248" s="3">
        <f>IFERROR(__xludf.DUMMYFUNCTION("""COMPUTED_VALUE"""),45068.66666666667)</f>
        <v>45068.66667</v>
      </c>
      <c r="B3248" s="2">
        <f>IFERROR(__xludf.DUMMYFUNCTION("""COMPUTED_VALUE"""),180.7)</f>
        <v>180.7</v>
      </c>
      <c r="C3248" s="2">
        <f>IFERROR(__xludf.DUMMYFUNCTION("""COMPUTED_VALUE"""),189.32)</f>
        <v>189.32</v>
      </c>
      <c r="D3248" s="2">
        <f>IFERROR(__xludf.DUMMYFUNCTION("""COMPUTED_VALUE"""),180.11)</f>
        <v>180.11</v>
      </c>
      <c r="E3248" s="2">
        <f>IFERROR(__xludf.DUMMYFUNCTION("""COMPUTED_VALUE"""),188.87)</f>
        <v>188.87</v>
      </c>
      <c r="F3248" s="2">
        <f>IFERROR(__xludf.DUMMYFUNCTION("""COMPUTED_VALUE"""),1.3200143E8)</f>
        <v>132001430</v>
      </c>
    </row>
    <row r="3249">
      <c r="A3249" s="3">
        <f>IFERROR(__xludf.DUMMYFUNCTION("""COMPUTED_VALUE"""),45069.66666666667)</f>
        <v>45069.66667</v>
      </c>
      <c r="B3249" s="2">
        <f>IFERROR(__xludf.DUMMYFUNCTION("""COMPUTED_VALUE"""),186.2)</f>
        <v>186.2</v>
      </c>
      <c r="C3249" s="2">
        <f>IFERROR(__xludf.DUMMYFUNCTION("""COMPUTED_VALUE"""),192.96)</f>
        <v>192.96</v>
      </c>
      <c r="D3249" s="2">
        <f>IFERROR(__xludf.DUMMYFUNCTION("""COMPUTED_VALUE"""),185.26)</f>
        <v>185.26</v>
      </c>
      <c r="E3249" s="2">
        <f>IFERROR(__xludf.DUMMYFUNCTION("""COMPUTED_VALUE"""),185.77)</f>
        <v>185.77</v>
      </c>
      <c r="F3249" s="2">
        <f>IFERROR(__xludf.DUMMYFUNCTION("""COMPUTED_VALUE"""),1.5695213E8)</f>
        <v>156952130</v>
      </c>
    </row>
    <row r="3250">
      <c r="A3250" s="3">
        <f>IFERROR(__xludf.DUMMYFUNCTION("""COMPUTED_VALUE"""),45070.66666666667)</f>
        <v>45070.66667</v>
      </c>
      <c r="B3250" s="2">
        <f>IFERROR(__xludf.DUMMYFUNCTION("""COMPUTED_VALUE"""),182.23)</f>
        <v>182.23</v>
      </c>
      <c r="C3250" s="2">
        <f>IFERROR(__xludf.DUMMYFUNCTION("""COMPUTED_VALUE"""),184.22)</f>
        <v>184.22</v>
      </c>
      <c r="D3250" s="2">
        <f>IFERROR(__xludf.DUMMYFUNCTION("""COMPUTED_VALUE"""),178.22)</f>
        <v>178.22</v>
      </c>
      <c r="E3250" s="2">
        <f>IFERROR(__xludf.DUMMYFUNCTION("""COMPUTED_VALUE"""),182.9)</f>
        <v>182.9</v>
      </c>
      <c r="F3250" s="2">
        <f>IFERROR(__xludf.DUMMYFUNCTION("""COMPUTED_VALUE"""),1.37605054E8)</f>
        <v>137605054</v>
      </c>
    </row>
    <row r="3251">
      <c r="A3251" s="3">
        <f>IFERROR(__xludf.DUMMYFUNCTION("""COMPUTED_VALUE"""),45071.66666666667)</f>
        <v>45071.66667</v>
      </c>
      <c r="B3251" s="2">
        <f>IFERROR(__xludf.DUMMYFUNCTION("""COMPUTED_VALUE"""),186.54)</f>
        <v>186.54</v>
      </c>
      <c r="C3251" s="2">
        <f>IFERROR(__xludf.DUMMYFUNCTION("""COMPUTED_VALUE"""),186.78)</f>
        <v>186.78</v>
      </c>
      <c r="D3251" s="2">
        <f>IFERROR(__xludf.DUMMYFUNCTION("""COMPUTED_VALUE"""),180.58)</f>
        <v>180.58</v>
      </c>
      <c r="E3251" s="2">
        <f>IFERROR(__xludf.DUMMYFUNCTION("""COMPUTED_VALUE"""),184.47)</f>
        <v>184.47</v>
      </c>
      <c r="F3251" s="2">
        <f>IFERROR(__xludf.DUMMYFUNCTION("""COMPUTED_VALUE"""),9.6870719E7)</f>
        <v>96870719</v>
      </c>
    </row>
    <row r="3252">
      <c r="A3252" s="3">
        <f>IFERROR(__xludf.DUMMYFUNCTION("""COMPUTED_VALUE"""),45072.66666666667)</f>
        <v>45072.66667</v>
      </c>
      <c r="B3252" s="2">
        <f>IFERROR(__xludf.DUMMYFUNCTION("""COMPUTED_VALUE"""),184.62)</f>
        <v>184.62</v>
      </c>
      <c r="C3252" s="2">
        <f>IFERROR(__xludf.DUMMYFUNCTION("""COMPUTED_VALUE"""),198.6)</f>
        <v>198.6</v>
      </c>
      <c r="D3252" s="2">
        <f>IFERROR(__xludf.DUMMYFUNCTION("""COMPUTED_VALUE"""),184.53)</f>
        <v>184.53</v>
      </c>
      <c r="E3252" s="2">
        <f>IFERROR(__xludf.DUMMYFUNCTION("""COMPUTED_VALUE"""),193.17)</f>
        <v>193.17</v>
      </c>
      <c r="F3252" s="2">
        <f>IFERROR(__xludf.DUMMYFUNCTION("""COMPUTED_VALUE"""),1.62061496E8)</f>
        <v>162061496</v>
      </c>
    </row>
    <row r="3253">
      <c r="A3253" s="3">
        <f>IFERROR(__xludf.DUMMYFUNCTION("""COMPUTED_VALUE"""),45076.66666666667)</f>
        <v>45076.66667</v>
      </c>
      <c r="B3253" s="2">
        <f>IFERROR(__xludf.DUMMYFUNCTION("""COMPUTED_VALUE"""),200.1)</f>
        <v>200.1</v>
      </c>
      <c r="C3253" s="2">
        <f>IFERROR(__xludf.DUMMYFUNCTION("""COMPUTED_VALUE"""),204.48)</f>
        <v>204.48</v>
      </c>
      <c r="D3253" s="2">
        <f>IFERROR(__xludf.DUMMYFUNCTION("""COMPUTED_VALUE"""),197.53)</f>
        <v>197.53</v>
      </c>
      <c r="E3253" s="2">
        <f>IFERROR(__xludf.DUMMYFUNCTION("""COMPUTED_VALUE"""),201.16)</f>
        <v>201.16</v>
      </c>
      <c r="F3253" s="2">
        <f>IFERROR(__xludf.DUMMYFUNCTION("""COMPUTED_VALUE"""),1.28818746E8)</f>
        <v>128818746</v>
      </c>
    </row>
    <row r="3254">
      <c r="A3254" s="3">
        <f>IFERROR(__xludf.DUMMYFUNCTION("""COMPUTED_VALUE"""),45077.66666666667)</f>
        <v>45077.66667</v>
      </c>
      <c r="B3254" s="2">
        <f>IFERROR(__xludf.DUMMYFUNCTION("""COMPUTED_VALUE"""),199.78)</f>
        <v>199.78</v>
      </c>
      <c r="C3254" s="2">
        <f>IFERROR(__xludf.DUMMYFUNCTION("""COMPUTED_VALUE"""),203.95)</f>
        <v>203.95</v>
      </c>
      <c r="D3254" s="2">
        <f>IFERROR(__xludf.DUMMYFUNCTION("""COMPUTED_VALUE"""),195.12)</f>
        <v>195.12</v>
      </c>
      <c r="E3254" s="2">
        <f>IFERROR(__xludf.DUMMYFUNCTION("""COMPUTED_VALUE"""),203.93)</f>
        <v>203.93</v>
      </c>
      <c r="F3254" s="2">
        <f>IFERROR(__xludf.DUMMYFUNCTION("""COMPUTED_VALUE"""),1.50711736E8)</f>
        <v>150711736</v>
      </c>
    </row>
    <row r="3255">
      <c r="A3255" s="3">
        <f>IFERROR(__xludf.DUMMYFUNCTION("""COMPUTED_VALUE"""),45078.66666666667)</f>
        <v>45078.66667</v>
      </c>
      <c r="B3255" s="2">
        <f>IFERROR(__xludf.DUMMYFUNCTION("""COMPUTED_VALUE"""),202.59)</f>
        <v>202.59</v>
      </c>
      <c r="C3255" s="2">
        <f>IFERROR(__xludf.DUMMYFUNCTION("""COMPUTED_VALUE"""),209.8)</f>
        <v>209.8</v>
      </c>
      <c r="D3255" s="2">
        <f>IFERROR(__xludf.DUMMYFUNCTION("""COMPUTED_VALUE"""),199.37)</f>
        <v>199.37</v>
      </c>
      <c r="E3255" s="2">
        <f>IFERROR(__xludf.DUMMYFUNCTION("""COMPUTED_VALUE"""),207.52)</f>
        <v>207.52</v>
      </c>
      <c r="F3255" s="2">
        <f>IFERROR(__xludf.DUMMYFUNCTION("""COMPUTED_VALUE"""),1.48029931E8)</f>
        <v>148029931</v>
      </c>
    </row>
    <row r="3256">
      <c r="A3256" s="3">
        <f>IFERROR(__xludf.DUMMYFUNCTION("""COMPUTED_VALUE"""),45079.66666666667)</f>
        <v>45079.66667</v>
      </c>
      <c r="B3256" s="2">
        <f>IFERROR(__xludf.DUMMYFUNCTION("""COMPUTED_VALUE"""),210.15)</f>
        <v>210.15</v>
      </c>
      <c r="C3256" s="2">
        <f>IFERROR(__xludf.DUMMYFUNCTION("""COMPUTED_VALUE"""),217.25)</f>
        <v>217.25</v>
      </c>
      <c r="D3256" s="2">
        <f>IFERROR(__xludf.DUMMYFUNCTION("""COMPUTED_VALUE"""),209.75)</f>
        <v>209.75</v>
      </c>
      <c r="E3256" s="2">
        <f>IFERROR(__xludf.DUMMYFUNCTION("""COMPUTED_VALUE"""),213.97)</f>
        <v>213.97</v>
      </c>
      <c r="F3256" s="2">
        <f>IFERROR(__xludf.DUMMYFUNCTION("""COMPUTED_VALUE"""),1.64398372E8)</f>
        <v>164398372</v>
      </c>
    </row>
    <row r="3257">
      <c r="A3257" s="3">
        <f>IFERROR(__xludf.DUMMYFUNCTION("""COMPUTED_VALUE"""),45082.66666666667)</f>
        <v>45082.66667</v>
      </c>
      <c r="B3257" s="2">
        <f>IFERROR(__xludf.DUMMYFUNCTION("""COMPUTED_VALUE"""),217.8)</f>
        <v>217.8</v>
      </c>
      <c r="C3257" s="2">
        <f>IFERROR(__xludf.DUMMYFUNCTION("""COMPUTED_VALUE"""),221.29)</f>
        <v>221.29</v>
      </c>
      <c r="D3257" s="2">
        <f>IFERROR(__xludf.DUMMYFUNCTION("""COMPUTED_VALUE"""),214.52)</f>
        <v>214.52</v>
      </c>
      <c r="E3257" s="2">
        <f>IFERROR(__xludf.DUMMYFUNCTION("""COMPUTED_VALUE"""),217.61)</f>
        <v>217.61</v>
      </c>
      <c r="F3257" s="2">
        <f>IFERROR(__xludf.DUMMYFUNCTION("""COMPUTED_VALUE"""),1.51143052E8)</f>
        <v>151143052</v>
      </c>
    </row>
    <row r="3258">
      <c r="A3258" s="3">
        <f>IFERROR(__xludf.DUMMYFUNCTION("""COMPUTED_VALUE"""),45083.66666666667)</f>
        <v>45083.66667</v>
      </c>
      <c r="B3258" s="2">
        <f>IFERROR(__xludf.DUMMYFUNCTION("""COMPUTED_VALUE"""),216.14)</f>
        <v>216.14</v>
      </c>
      <c r="C3258" s="2">
        <f>IFERROR(__xludf.DUMMYFUNCTION("""COMPUTED_VALUE"""),221.91)</f>
        <v>221.91</v>
      </c>
      <c r="D3258" s="2">
        <f>IFERROR(__xludf.DUMMYFUNCTION("""COMPUTED_VALUE"""),212.53)</f>
        <v>212.53</v>
      </c>
      <c r="E3258" s="2">
        <f>IFERROR(__xludf.DUMMYFUNCTION("""COMPUTED_VALUE"""),221.31)</f>
        <v>221.31</v>
      </c>
      <c r="F3258" s="2">
        <f>IFERROR(__xludf.DUMMYFUNCTION("""COMPUTED_VALUE"""),1.46911576E8)</f>
        <v>146911576</v>
      </c>
    </row>
    <row r="3259">
      <c r="A3259" s="3">
        <f>IFERROR(__xludf.DUMMYFUNCTION("""COMPUTED_VALUE"""),45084.66666666667)</f>
        <v>45084.66667</v>
      </c>
      <c r="B3259" s="2">
        <f>IFERROR(__xludf.DUMMYFUNCTION("""COMPUTED_VALUE"""),228.0)</f>
        <v>228</v>
      </c>
      <c r="C3259" s="2">
        <f>IFERROR(__xludf.DUMMYFUNCTION("""COMPUTED_VALUE"""),230.83)</f>
        <v>230.83</v>
      </c>
      <c r="D3259" s="2">
        <f>IFERROR(__xludf.DUMMYFUNCTION("""COMPUTED_VALUE"""),223.2)</f>
        <v>223.2</v>
      </c>
      <c r="E3259" s="2">
        <f>IFERROR(__xludf.DUMMYFUNCTION("""COMPUTED_VALUE"""),224.57)</f>
        <v>224.57</v>
      </c>
      <c r="F3259" s="2">
        <f>IFERROR(__xludf.DUMMYFUNCTION("""COMPUTED_VALUE"""),1.85710777E8)</f>
        <v>185710777</v>
      </c>
    </row>
    <row r="3260">
      <c r="A3260" s="3">
        <f>IFERROR(__xludf.DUMMYFUNCTION("""COMPUTED_VALUE"""),45085.66666666667)</f>
        <v>45085.66667</v>
      </c>
      <c r="B3260" s="2">
        <f>IFERROR(__xludf.DUMMYFUNCTION("""COMPUTED_VALUE"""),224.22)</f>
        <v>224.22</v>
      </c>
      <c r="C3260" s="2">
        <f>IFERROR(__xludf.DUMMYFUNCTION("""COMPUTED_VALUE"""),235.23)</f>
        <v>235.23</v>
      </c>
      <c r="D3260" s="2">
        <f>IFERROR(__xludf.DUMMYFUNCTION("""COMPUTED_VALUE"""),223.01)</f>
        <v>223.01</v>
      </c>
      <c r="E3260" s="2">
        <f>IFERROR(__xludf.DUMMYFUNCTION("""COMPUTED_VALUE"""),234.86)</f>
        <v>234.86</v>
      </c>
      <c r="F3260" s="2">
        <f>IFERROR(__xludf.DUMMYFUNCTION("""COMPUTED_VALUE"""),1.64489739E8)</f>
        <v>164489739</v>
      </c>
    </row>
    <row r="3261">
      <c r="A3261" s="3">
        <f>IFERROR(__xludf.DUMMYFUNCTION("""COMPUTED_VALUE"""),45086.66666666667)</f>
        <v>45086.66667</v>
      </c>
      <c r="B3261" s="2">
        <f>IFERROR(__xludf.DUMMYFUNCTION("""COMPUTED_VALUE"""),249.07)</f>
        <v>249.07</v>
      </c>
      <c r="C3261" s="2">
        <f>IFERROR(__xludf.DUMMYFUNCTION("""COMPUTED_VALUE"""),252.42)</f>
        <v>252.42</v>
      </c>
      <c r="D3261" s="2">
        <f>IFERROR(__xludf.DUMMYFUNCTION("""COMPUTED_VALUE"""),242.02)</f>
        <v>242.02</v>
      </c>
      <c r="E3261" s="2">
        <f>IFERROR(__xludf.DUMMYFUNCTION("""COMPUTED_VALUE"""),244.4)</f>
        <v>244.4</v>
      </c>
      <c r="F3261" s="2">
        <f>IFERROR(__xludf.DUMMYFUNCTION("""COMPUTED_VALUE"""),2.00242371E8)</f>
        <v>200242371</v>
      </c>
    </row>
    <row r="3262">
      <c r="A3262" s="3">
        <f>IFERROR(__xludf.DUMMYFUNCTION("""COMPUTED_VALUE"""),45089.66666666667)</f>
        <v>45089.66667</v>
      </c>
      <c r="B3262" s="2">
        <f>IFERROR(__xludf.DUMMYFUNCTION("""COMPUTED_VALUE"""),247.94)</f>
        <v>247.94</v>
      </c>
      <c r="C3262" s="2">
        <f>IFERROR(__xludf.DUMMYFUNCTION("""COMPUTED_VALUE"""),250.97)</f>
        <v>250.97</v>
      </c>
      <c r="D3262" s="2">
        <f>IFERROR(__xludf.DUMMYFUNCTION("""COMPUTED_VALUE"""),244.59)</f>
        <v>244.59</v>
      </c>
      <c r="E3262" s="2">
        <f>IFERROR(__xludf.DUMMYFUNCTION("""COMPUTED_VALUE"""),249.83)</f>
        <v>249.83</v>
      </c>
      <c r="F3262" s="2">
        <f>IFERROR(__xludf.DUMMYFUNCTION("""COMPUTED_VALUE"""),1.50740523E8)</f>
        <v>150740523</v>
      </c>
    </row>
    <row r="3263">
      <c r="A3263" s="3">
        <f>IFERROR(__xludf.DUMMYFUNCTION("""COMPUTED_VALUE"""),45090.66666666667)</f>
        <v>45090.66667</v>
      </c>
      <c r="B3263" s="2">
        <f>IFERROR(__xludf.DUMMYFUNCTION("""COMPUTED_VALUE"""),253.51)</f>
        <v>253.51</v>
      </c>
      <c r="C3263" s="2">
        <f>IFERROR(__xludf.DUMMYFUNCTION("""COMPUTED_VALUE"""),259.68)</f>
        <v>259.68</v>
      </c>
      <c r="D3263" s="2">
        <f>IFERROR(__xludf.DUMMYFUNCTION("""COMPUTED_VALUE"""),251.34)</f>
        <v>251.34</v>
      </c>
      <c r="E3263" s="2">
        <f>IFERROR(__xludf.DUMMYFUNCTION("""COMPUTED_VALUE"""),258.71)</f>
        <v>258.71</v>
      </c>
      <c r="F3263" s="2">
        <f>IFERROR(__xludf.DUMMYFUNCTION("""COMPUTED_VALUE"""),1.62384343E8)</f>
        <v>162384343</v>
      </c>
    </row>
    <row r="3264">
      <c r="A3264" s="3">
        <f>IFERROR(__xludf.DUMMYFUNCTION("""COMPUTED_VALUE"""),45091.66666666667)</f>
        <v>45091.66667</v>
      </c>
      <c r="B3264" s="2">
        <f>IFERROR(__xludf.DUMMYFUNCTION("""COMPUTED_VALUE"""),260.17)</f>
        <v>260.17</v>
      </c>
      <c r="C3264" s="2">
        <f>IFERROR(__xludf.DUMMYFUNCTION("""COMPUTED_VALUE"""),261.57)</f>
        <v>261.57</v>
      </c>
      <c r="D3264" s="2">
        <f>IFERROR(__xludf.DUMMYFUNCTION("""COMPUTED_VALUE"""),250.5)</f>
        <v>250.5</v>
      </c>
      <c r="E3264" s="2">
        <f>IFERROR(__xludf.DUMMYFUNCTION("""COMPUTED_VALUE"""),256.79)</f>
        <v>256.79</v>
      </c>
      <c r="F3264" s="2">
        <f>IFERROR(__xludf.DUMMYFUNCTION("""COMPUTED_VALUE"""),1.70575536E8)</f>
        <v>170575536</v>
      </c>
    </row>
    <row r="3265">
      <c r="A3265" s="3">
        <f>IFERROR(__xludf.DUMMYFUNCTION("""COMPUTED_VALUE"""),45092.66666666667)</f>
        <v>45092.66667</v>
      </c>
      <c r="B3265" s="2">
        <f>IFERROR(__xludf.DUMMYFUNCTION("""COMPUTED_VALUE"""),248.4)</f>
        <v>248.4</v>
      </c>
      <c r="C3265" s="2">
        <f>IFERROR(__xludf.DUMMYFUNCTION("""COMPUTED_VALUE"""),258.95)</f>
        <v>258.95</v>
      </c>
      <c r="D3265" s="2">
        <f>IFERROR(__xludf.DUMMYFUNCTION("""COMPUTED_VALUE"""),247.29)</f>
        <v>247.29</v>
      </c>
      <c r="E3265" s="2">
        <f>IFERROR(__xludf.DUMMYFUNCTION("""COMPUTED_VALUE"""),255.9)</f>
        <v>255.9</v>
      </c>
      <c r="F3265" s="2">
        <f>IFERROR(__xludf.DUMMYFUNCTION("""COMPUTED_VALUE"""),1.60171238E8)</f>
        <v>160171238</v>
      </c>
    </row>
    <row r="3266">
      <c r="A3266" s="3">
        <f>IFERROR(__xludf.DUMMYFUNCTION("""COMPUTED_VALUE"""),45093.66666666667)</f>
        <v>45093.66667</v>
      </c>
      <c r="B3266" s="2">
        <f>IFERROR(__xludf.DUMMYFUNCTION("""COMPUTED_VALUE"""),258.92)</f>
        <v>258.92</v>
      </c>
      <c r="C3266" s="2">
        <f>IFERROR(__xludf.DUMMYFUNCTION("""COMPUTED_VALUE"""),263.6)</f>
        <v>263.6</v>
      </c>
      <c r="D3266" s="2">
        <f>IFERROR(__xludf.DUMMYFUNCTION("""COMPUTED_VALUE"""),257.21)</f>
        <v>257.21</v>
      </c>
      <c r="E3266" s="2">
        <f>IFERROR(__xludf.DUMMYFUNCTION("""COMPUTED_VALUE"""),260.54)</f>
        <v>260.54</v>
      </c>
      <c r="F3266" s="2">
        <f>IFERROR(__xludf.DUMMYFUNCTION("""COMPUTED_VALUE"""),1.67915649E8)</f>
        <v>167915649</v>
      </c>
    </row>
    <row r="3267">
      <c r="A3267" s="3">
        <f>IFERROR(__xludf.DUMMYFUNCTION("""COMPUTED_VALUE"""),45097.66666666667)</f>
        <v>45097.66667</v>
      </c>
      <c r="B3267" s="2">
        <f>IFERROR(__xludf.DUMMYFUNCTION("""COMPUTED_VALUE"""),261.5)</f>
        <v>261.5</v>
      </c>
      <c r="C3267" s="2">
        <f>IFERROR(__xludf.DUMMYFUNCTION("""COMPUTED_VALUE"""),274.75)</f>
        <v>274.75</v>
      </c>
      <c r="D3267" s="2">
        <f>IFERROR(__xludf.DUMMYFUNCTION("""COMPUTED_VALUE"""),261.12)</f>
        <v>261.12</v>
      </c>
      <c r="E3267" s="2">
        <f>IFERROR(__xludf.DUMMYFUNCTION("""COMPUTED_VALUE"""),274.45)</f>
        <v>274.45</v>
      </c>
      <c r="F3267" s="2">
        <f>IFERROR(__xludf.DUMMYFUNCTION("""COMPUTED_VALUE"""),1.65611217E8)</f>
        <v>165611217</v>
      </c>
    </row>
    <row r="3268">
      <c r="A3268" s="3">
        <f>IFERROR(__xludf.DUMMYFUNCTION("""COMPUTED_VALUE"""),45098.66666666667)</f>
        <v>45098.66667</v>
      </c>
      <c r="B3268" s="2">
        <f>IFERROR(__xludf.DUMMYFUNCTION("""COMPUTED_VALUE"""),275.13)</f>
        <v>275.13</v>
      </c>
      <c r="C3268" s="2">
        <f>IFERROR(__xludf.DUMMYFUNCTION("""COMPUTED_VALUE"""),276.99)</f>
        <v>276.99</v>
      </c>
      <c r="D3268" s="2">
        <f>IFERROR(__xludf.DUMMYFUNCTION("""COMPUTED_VALUE"""),257.78)</f>
        <v>257.78</v>
      </c>
      <c r="E3268" s="2">
        <f>IFERROR(__xludf.DUMMYFUNCTION("""COMPUTED_VALUE"""),259.46)</f>
        <v>259.46</v>
      </c>
      <c r="F3268" s="2">
        <f>IFERROR(__xludf.DUMMYFUNCTION("""COMPUTED_VALUE"""),2.11797109E8)</f>
        <v>211797109</v>
      </c>
    </row>
    <row r="3269">
      <c r="A3269" s="3">
        <f>IFERROR(__xludf.DUMMYFUNCTION("""COMPUTED_VALUE"""),45099.66666666667)</f>
        <v>45099.66667</v>
      </c>
      <c r="B3269" s="2">
        <f>IFERROR(__xludf.DUMMYFUNCTION("""COMPUTED_VALUE"""),250.77)</f>
        <v>250.77</v>
      </c>
      <c r="C3269" s="2">
        <f>IFERROR(__xludf.DUMMYFUNCTION("""COMPUTED_VALUE"""),265.0)</f>
        <v>265</v>
      </c>
      <c r="D3269" s="2">
        <f>IFERROR(__xludf.DUMMYFUNCTION("""COMPUTED_VALUE"""),248.25)</f>
        <v>248.25</v>
      </c>
      <c r="E3269" s="2">
        <f>IFERROR(__xludf.DUMMYFUNCTION("""COMPUTED_VALUE"""),264.61)</f>
        <v>264.61</v>
      </c>
      <c r="F3269" s="2">
        <f>IFERROR(__xludf.DUMMYFUNCTION("""COMPUTED_VALUE"""),1.66875944E8)</f>
        <v>166875944</v>
      </c>
    </row>
    <row r="3270">
      <c r="A3270" s="3">
        <f>IFERROR(__xludf.DUMMYFUNCTION("""COMPUTED_VALUE"""),45100.66666666667)</f>
        <v>45100.66667</v>
      </c>
      <c r="B3270" s="2">
        <f>IFERROR(__xludf.DUMMYFUNCTION("""COMPUTED_VALUE"""),259.29)</f>
        <v>259.29</v>
      </c>
      <c r="C3270" s="2">
        <f>IFERROR(__xludf.DUMMYFUNCTION("""COMPUTED_VALUE"""),262.45)</f>
        <v>262.45</v>
      </c>
      <c r="D3270" s="2">
        <f>IFERROR(__xludf.DUMMYFUNCTION("""COMPUTED_VALUE"""),252.8)</f>
        <v>252.8</v>
      </c>
      <c r="E3270" s="2">
        <f>IFERROR(__xludf.DUMMYFUNCTION("""COMPUTED_VALUE"""),256.6)</f>
        <v>256.6</v>
      </c>
      <c r="F3270" s="2">
        <f>IFERROR(__xludf.DUMMYFUNCTION("""COMPUTED_VALUE"""),1.77460803E8)</f>
        <v>177460803</v>
      </c>
    </row>
    <row r="3271">
      <c r="A3271" s="3">
        <f>IFERROR(__xludf.DUMMYFUNCTION("""COMPUTED_VALUE"""),45103.66666666667)</f>
        <v>45103.66667</v>
      </c>
      <c r="B3271" s="2">
        <f>IFERROR(__xludf.DUMMYFUNCTION("""COMPUTED_VALUE"""),250.07)</f>
        <v>250.07</v>
      </c>
      <c r="C3271" s="2">
        <f>IFERROR(__xludf.DUMMYFUNCTION("""COMPUTED_VALUE"""),258.37)</f>
        <v>258.37</v>
      </c>
      <c r="D3271" s="2">
        <f>IFERROR(__xludf.DUMMYFUNCTION("""COMPUTED_VALUE"""),240.7)</f>
        <v>240.7</v>
      </c>
      <c r="E3271" s="2">
        <f>IFERROR(__xludf.DUMMYFUNCTION("""COMPUTED_VALUE"""),241.05)</f>
        <v>241.05</v>
      </c>
      <c r="F3271" s="2">
        <f>IFERROR(__xludf.DUMMYFUNCTION("""COMPUTED_VALUE"""),1.79990552E8)</f>
        <v>179990552</v>
      </c>
    </row>
    <row r="3272">
      <c r="A3272" s="3">
        <f>IFERROR(__xludf.DUMMYFUNCTION("""COMPUTED_VALUE"""),45104.66666666667)</f>
        <v>45104.66667</v>
      </c>
      <c r="B3272" s="2">
        <f>IFERROR(__xludf.DUMMYFUNCTION("""COMPUTED_VALUE"""),243.24)</f>
        <v>243.24</v>
      </c>
      <c r="C3272" s="2">
        <f>IFERROR(__xludf.DUMMYFUNCTION("""COMPUTED_VALUE"""),250.39)</f>
        <v>250.39</v>
      </c>
      <c r="D3272" s="2">
        <f>IFERROR(__xludf.DUMMYFUNCTION("""COMPUTED_VALUE"""),240.85)</f>
        <v>240.85</v>
      </c>
      <c r="E3272" s="2">
        <f>IFERROR(__xludf.DUMMYFUNCTION("""COMPUTED_VALUE"""),250.21)</f>
        <v>250.21</v>
      </c>
      <c r="F3272" s="2">
        <f>IFERROR(__xludf.DUMMYFUNCTION("""COMPUTED_VALUE"""),1.64968214E8)</f>
        <v>164968214</v>
      </c>
    </row>
    <row r="3273">
      <c r="A3273" s="3">
        <f>IFERROR(__xludf.DUMMYFUNCTION("""COMPUTED_VALUE"""),45105.66666666667)</f>
        <v>45105.66667</v>
      </c>
      <c r="B3273" s="2">
        <f>IFERROR(__xludf.DUMMYFUNCTION("""COMPUTED_VALUE"""),249.7)</f>
        <v>249.7</v>
      </c>
      <c r="C3273" s="2">
        <f>IFERROR(__xludf.DUMMYFUNCTION("""COMPUTED_VALUE"""),259.88)</f>
        <v>259.88</v>
      </c>
      <c r="D3273" s="2">
        <f>IFERROR(__xludf.DUMMYFUNCTION("""COMPUTED_VALUE"""),248.89)</f>
        <v>248.89</v>
      </c>
      <c r="E3273" s="2">
        <f>IFERROR(__xludf.DUMMYFUNCTION("""COMPUTED_VALUE"""),256.24)</f>
        <v>256.24</v>
      </c>
      <c r="F3273" s="2">
        <f>IFERROR(__xludf.DUMMYFUNCTION("""COMPUTED_VALUE"""),1.59770797E8)</f>
        <v>159770797</v>
      </c>
    </row>
    <row r="3274">
      <c r="A3274" s="3">
        <f>IFERROR(__xludf.DUMMYFUNCTION("""COMPUTED_VALUE"""),45106.66666666667)</f>
        <v>45106.66667</v>
      </c>
      <c r="B3274" s="2">
        <f>IFERROR(__xludf.DUMMYFUNCTION("""COMPUTED_VALUE"""),258.03)</f>
        <v>258.03</v>
      </c>
      <c r="C3274" s="2">
        <f>IFERROR(__xludf.DUMMYFUNCTION("""COMPUTED_VALUE"""),260.74)</f>
        <v>260.74</v>
      </c>
      <c r="D3274" s="2">
        <f>IFERROR(__xludf.DUMMYFUNCTION("""COMPUTED_VALUE"""),253.61)</f>
        <v>253.61</v>
      </c>
      <c r="E3274" s="2">
        <f>IFERROR(__xludf.DUMMYFUNCTION("""COMPUTED_VALUE"""),257.5)</f>
        <v>257.5</v>
      </c>
      <c r="F3274" s="2">
        <f>IFERROR(__xludf.DUMMYFUNCTION("""COMPUTED_VALUE"""),1.3128336E8)</f>
        <v>131283360</v>
      </c>
    </row>
    <row r="3275">
      <c r="A3275" s="3">
        <f>IFERROR(__xludf.DUMMYFUNCTION("""COMPUTED_VALUE"""),45107.66666666667)</f>
        <v>45107.66667</v>
      </c>
      <c r="B3275" s="2">
        <f>IFERROR(__xludf.DUMMYFUNCTION("""COMPUTED_VALUE"""),260.6)</f>
        <v>260.6</v>
      </c>
      <c r="C3275" s="2">
        <f>IFERROR(__xludf.DUMMYFUNCTION("""COMPUTED_VALUE"""),264.45)</f>
        <v>264.45</v>
      </c>
      <c r="D3275" s="2">
        <f>IFERROR(__xludf.DUMMYFUNCTION("""COMPUTED_VALUE"""),259.89)</f>
        <v>259.89</v>
      </c>
      <c r="E3275" s="2">
        <f>IFERROR(__xludf.DUMMYFUNCTION("""COMPUTED_VALUE"""),261.77)</f>
        <v>261.77</v>
      </c>
      <c r="F3275" s="2">
        <f>IFERROR(__xludf.DUMMYFUNCTION("""COMPUTED_VALUE"""),1.12620784E8)</f>
        <v>112620784</v>
      </c>
    </row>
    <row r="3276">
      <c r="A3276" s="3">
        <f>IFERROR(__xludf.DUMMYFUNCTION("""COMPUTED_VALUE"""),45110.54513888889)</f>
        <v>45110.54514</v>
      </c>
      <c r="B3276" s="2">
        <f>IFERROR(__xludf.DUMMYFUNCTION("""COMPUTED_VALUE"""),276.49)</f>
        <v>276.49</v>
      </c>
      <c r="C3276" s="2">
        <f>IFERROR(__xludf.DUMMYFUNCTION("""COMPUTED_VALUE"""),284.25)</f>
        <v>284.25</v>
      </c>
      <c r="D3276" s="2">
        <f>IFERROR(__xludf.DUMMYFUNCTION("""COMPUTED_VALUE"""),275.11)</f>
        <v>275.11</v>
      </c>
      <c r="E3276" s="2">
        <f>IFERROR(__xludf.DUMMYFUNCTION("""COMPUTED_VALUE"""),279.82)</f>
        <v>279.82</v>
      </c>
      <c r="F3276" s="2">
        <f>IFERROR(__xludf.DUMMYFUNCTION("""COMPUTED_VALUE"""),1.19685891E8)</f>
        <v>119685891</v>
      </c>
    </row>
    <row r="3277">
      <c r="A3277" s="3">
        <f>IFERROR(__xludf.DUMMYFUNCTION("""COMPUTED_VALUE"""),45112.66666666667)</f>
        <v>45112.66667</v>
      </c>
      <c r="B3277" s="2">
        <f>IFERROR(__xludf.DUMMYFUNCTION("""COMPUTED_VALUE"""),278.82)</f>
        <v>278.82</v>
      </c>
      <c r="C3277" s="2">
        <f>IFERROR(__xludf.DUMMYFUNCTION("""COMPUTED_VALUE"""),283.85)</f>
        <v>283.85</v>
      </c>
      <c r="D3277" s="2">
        <f>IFERROR(__xludf.DUMMYFUNCTION("""COMPUTED_VALUE"""),277.6)</f>
        <v>277.6</v>
      </c>
      <c r="E3277" s="2">
        <f>IFERROR(__xludf.DUMMYFUNCTION("""COMPUTED_VALUE"""),282.48)</f>
        <v>282.48</v>
      </c>
      <c r="F3277" s="2">
        <f>IFERROR(__xludf.DUMMYFUNCTION("""COMPUTED_VALUE"""),1.31530862E8)</f>
        <v>131530862</v>
      </c>
    </row>
    <row r="3278">
      <c r="A3278" s="3">
        <f>IFERROR(__xludf.DUMMYFUNCTION("""COMPUTED_VALUE"""),45113.66666666667)</f>
        <v>45113.66667</v>
      </c>
      <c r="B3278" s="2">
        <f>IFERROR(__xludf.DUMMYFUNCTION("""COMPUTED_VALUE"""),278.09)</f>
        <v>278.09</v>
      </c>
      <c r="C3278" s="2">
        <f>IFERROR(__xludf.DUMMYFUNCTION("""COMPUTED_VALUE"""),279.97)</f>
        <v>279.97</v>
      </c>
      <c r="D3278" s="2">
        <f>IFERROR(__xludf.DUMMYFUNCTION("""COMPUTED_VALUE"""),272.88)</f>
        <v>272.88</v>
      </c>
      <c r="E3278" s="2">
        <f>IFERROR(__xludf.DUMMYFUNCTION("""COMPUTED_VALUE"""),276.54)</f>
        <v>276.54</v>
      </c>
      <c r="F3278" s="2">
        <f>IFERROR(__xludf.DUMMYFUNCTION("""COMPUTED_VALUE"""),1.20707419E8)</f>
        <v>120707419</v>
      </c>
    </row>
    <row r="3279">
      <c r="A3279" s="3">
        <f>IFERROR(__xludf.DUMMYFUNCTION("""COMPUTED_VALUE"""),45114.66666666667)</f>
        <v>45114.66667</v>
      </c>
      <c r="B3279" s="2">
        <f>IFERROR(__xludf.DUMMYFUNCTION("""COMPUTED_VALUE"""),278.43)</f>
        <v>278.43</v>
      </c>
      <c r="C3279" s="2">
        <f>IFERROR(__xludf.DUMMYFUNCTION("""COMPUTED_VALUE"""),280.78)</f>
        <v>280.78</v>
      </c>
      <c r="D3279" s="2">
        <f>IFERROR(__xludf.DUMMYFUNCTION("""COMPUTED_VALUE"""),273.77)</f>
        <v>273.77</v>
      </c>
      <c r="E3279" s="2">
        <f>IFERROR(__xludf.DUMMYFUNCTION("""COMPUTED_VALUE"""),274.43)</f>
        <v>274.43</v>
      </c>
      <c r="F3279" s="2">
        <f>IFERROR(__xludf.DUMMYFUNCTION("""COMPUTED_VALUE"""),1.13879174E8)</f>
        <v>113879174</v>
      </c>
    </row>
    <row r="3280">
      <c r="A3280" s="3">
        <f>IFERROR(__xludf.DUMMYFUNCTION("""COMPUTED_VALUE"""),45117.66666666667)</f>
        <v>45117.66667</v>
      </c>
      <c r="B3280" s="2">
        <f>IFERROR(__xludf.DUMMYFUNCTION("""COMPUTED_VALUE"""),276.47)</f>
        <v>276.47</v>
      </c>
      <c r="C3280" s="2">
        <f>IFERROR(__xludf.DUMMYFUNCTION("""COMPUTED_VALUE"""),277.52)</f>
        <v>277.52</v>
      </c>
      <c r="D3280" s="2">
        <f>IFERROR(__xludf.DUMMYFUNCTION("""COMPUTED_VALUE"""),265.1)</f>
        <v>265.1</v>
      </c>
      <c r="E3280" s="2">
        <f>IFERROR(__xludf.DUMMYFUNCTION("""COMPUTED_VALUE"""),269.61)</f>
        <v>269.61</v>
      </c>
      <c r="F3280" s="2">
        <f>IFERROR(__xludf.DUMMYFUNCTION("""COMPUTED_VALUE"""),1.19425405E8)</f>
        <v>119425405</v>
      </c>
    </row>
    <row r="3281">
      <c r="A3281" s="3">
        <f>IFERROR(__xludf.DUMMYFUNCTION("""COMPUTED_VALUE"""),45118.66666666667)</f>
        <v>45118.66667</v>
      </c>
      <c r="B3281" s="2">
        <f>IFERROR(__xludf.DUMMYFUNCTION("""COMPUTED_VALUE"""),268.65)</f>
        <v>268.65</v>
      </c>
      <c r="C3281" s="2">
        <f>IFERROR(__xludf.DUMMYFUNCTION("""COMPUTED_VALUE"""),270.9)</f>
        <v>270.9</v>
      </c>
      <c r="D3281" s="2">
        <f>IFERROR(__xludf.DUMMYFUNCTION("""COMPUTED_VALUE"""),266.37)</f>
        <v>266.37</v>
      </c>
      <c r="E3281" s="2">
        <f>IFERROR(__xludf.DUMMYFUNCTION("""COMPUTED_VALUE"""),269.79)</f>
        <v>269.79</v>
      </c>
      <c r="F3281" s="2">
        <f>IFERROR(__xludf.DUMMYFUNCTION("""COMPUTED_VALUE"""),9.1972358E7)</f>
        <v>91972358</v>
      </c>
    </row>
    <row r="3282">
      <c r="A3282" s="3">
        <f>IFERROR(__xludf.DUMMYFUNCTION("""COMPUTED_VALUE"""),45119.66666666667)</f>
        <v>45119.66667</v>
      </c>
      <c r="B3282" s="2">
        <f>IFERROR(__xludf.DUMMYFUNCTION("""COMPUTED_VALUE"""),276.33)</f>
        <v>276.33</v>
      </c>
      <c r="C3282" s="2">
        <f>IFERROR(__xludf.DUMMYFUNCTION("""COMPUTED_VALUE"""),276.52)</f>
        <v>276.52</v>
      </c>
      <c r="D3282" s="2">
        <f>IFERROR(__xludf.DUMMYFUNCTION("""COMPUTED_VALUE"""),271.46)</f>
        <v>271.46</v>
      </c>
      <c r="E3282" s="2">
        <f>IFERROR(__xludf.DUMMYFUNCTION("""COMPUTED_VALUE"""),271.99)</f>
        <v>271.99</v>
      </c>
      <c r="F3282" s="2">
        <f>IFERROR(__xludf.DUMMYFUNCTION("""COMPUTED_VALUE"""),9.5672139E7)</f>
        <v>95672139</v>
      </c>
    </row>
    <row r="3283">
      <c r="A3283" s="3">
        <f>IFERROR(__xludf.DUMMYFUNCTION("""COMPUTED_VALUE"""),45120.66666666667)</f>
        <v>45120.66667</v>
      </c>
      <c r="B3283" s="2">
        <f>IFERROR(__xludf.DUMMYFUNCTION("""COMPUTED_VALUE"""),274.59)</f>
        <v>274.59</v>
      </c>
      <c r="C3283" s="2">
        <f>IFERROR(__xludf.DUMMYFUNCTION("""COMPUTED_VALUE"""),279.45)</f>
        <v>279.45</v>
      </c>
      <c r="D3283" s="2">
        <f>IFERROR(__xludf.DUMMYFUNCTION("""COMPUTED_VALUE"""),270.6)</f>
        <v>270.6</v>
      </c>
      <c r="E3283" s="2">
        <f>IFERROR(__xludf.DUMMYFUNCTION("""COMPUTED_VALUE"""),277.9)</f>
        <v>277.9</v>
      </c>
      <c r="F3283" s="2">
        <f>IFERROR(__xludf.DUMMYFUNCTION("""COMPUTED_VALUE"""),1.12681458E8)</f>
        <v>112681458</v>
      </c>
    </row>
    <row r="3284">
      <c r="A3284" s="3">
        <f>IFERROR(__xludf.DUMMYFUNCTION("""COMPUTED_VALUE"""),45121.66666666667)</f>
        <v>45121.66667</v>
      </c>
      <c r="B3284" s="2">
        <f>IFERROR(__xludf.DUMMYFUNCTION("""COMPUTED_VALUE"""),277.01)</f>
        <v>277.01</v>
      </c>
      <c r="C3284" s="2">
        <f>IFERROR(__xludf.DUMMYFUNCTION("""COMPUTED_VALUE"""),285.3)</f>
        <v>285.3</v>
      </c>
      <c r="D3284" s="2">
        <f>IFERROR(__xludf.DUMMYFUNCTION("""COMPUTED_VALUE"""),276.31)</f>
        <v>276.31</v>
      </c>
      <c r="E3284" s="2">
        <f>IFERROR(__xludf.DUMMYFUNCTION("""COMPUTED_VALUE"""),281.38)</f>
        <v>281.38</v>
      </c>
      <c r="F3284" s="2">
        <f>IFERROR(__xludf.DUMMYFUNCTION("""COMPUTED_VALUE"""),1.20062369E8)</f>
        <v>120062369</v>
      </c>
    </row>
    <row r="3285">
      <c r="A3285" s="3">
        <f>IFERROR(__xludf.DUMMYFUNCTION("""COMPUTED_VALUE"""),45124.66666666667)</f>
        <v>45124.66667</v>
      </c>
      <c r="B3285" s="2">
        <f>IFERROR(__xludf.DUMMYFUNCTION("""COMPUTED_VALUE"""),286.63)</f>
        <v>286.63</v>
      </c>
      <c r="C3285" s="2">
        <f>IFERROR(__xludf.DUMMYFUNCTION("""COMPUTED_VALUE"""),292.23)</f>
        <v>292.23</v>
      </c>
      <c r="D3285" s="2">
        <f>IFERROR(__xludf.DUMMYFUNCTION("""COMPUTED_VALUE"""),283.57)</f>
        <v>283.57</v>
      </c>
      <c r="E3285" s="2">
        <f>IFERROR(__xludf.DUMMYFUNCTION("""COMPUTED_VALUE"""),290.38)</f>
        <v>290.38</v>
      </c>
      <c r="F3285" s="2">
        <f>IFERROR(__xludf.DUMMYFUNCTION("""COMPUTED_VALUE"""),1.31569593E8)</f>
        <v>131569593</v>
      </c>
    </row>
    <row r="3286">
      <c r="A3286" s="3">
        <f>IFERROR(__xludf.DUMMYFUNCTION("""COMPUTED_VALUE"""),45125.66666666667)</f>
        <v>45125.66667</v>
      </c>
      <c r="B3286" s="2">
        <f>IFERROR(__xludf.DUMMYFUNCTION("""COMPUTED_VALUE"""),290.15)</f>
        <v>290.15</v>
      </c>
      <c r="C3286" s="2">
        <f>IFERROR(__xludf.DUMMYFUNCTION("""COMPUTED_VALUE"""),295.26)</f>
        <v>295.26</v>
      </c>
      <c r="D3286" s="2">
        <f>IFERROR(__xludf.DUMMYFUNCTION("""COMPUTED_VALUE"""),286.01)</f>
        <v>286.01</v>
      </c>
      <c r="E3286" s="2">
        <f>IFERROR(__xludf.DUMMYFUNCTION("""COMPUTED_VALUE"""),293.34)</f>
        <v>293.34</v>
      </c>
      <c r="F3286" s="2">
        <f>IFERROR(__xludf.DUMMYFUNCTION("""COMPUTED_VALUE"""),1.12434713E8)</f>
        <v>112434713</v>
      </c>
    </row>
    <row r="3287">
      <c r="A3287" s="3">
        <f>IFERROR(__xludf.DUMMYFUNCTION("""COMPUTED_VALUE"""),45126.66666666667)</f>
        <v>45126.66667</v>
      </c>
      <c r="B3287" s="2">
        <f>IFERROR(__xludf.DUMMYFUNCTION("""COMPUTED_VALUE"""),296.04)</f>
        <v>296.04</v>
      </c>
      <c r="C3287" s="2">
        <f>IFERROR(__xludf.DUMMYFUNCTION("""COMPUTED_VALUE"""),299.29)</f>
        <v>299.29</v>
      </c>
      <c r="D3287" s="2">
        <f>IFERROR(__xludf.DUMMYFUNCTION("""COMPUTED_VALUE"""),289.52)</f>
        <v>289.52</v>
      </c>
      <c r="E3287" s="2">
        <f>IFERROR(__xludf.DUMMYFUNCTION("""COMPUTED_VALUE"""),291.26)</f>
        <v>291.26</v>
      </c>
      <c r="F3287" s="2">
        <f>IFERROR(__xludf.DUMMYFUNCTION("""COMPUTED_VALUE"""),1.42355353E8)</f>
        <v>142355353</v>
      </c>
    </row>
    <row r="3288">
      <c r="A3288" s="3">
        <f>IFERROR(__xludf.DUMMYFUNCTION("""COMPUTED_VALUE"""),45127.66666666667)</f>
        <v>45127.66667</v>
      </c>
      <c r="B3288" s="2">
        <f>IFERROR(__xludf.DUMMYFUNCTION("""COMPUTED_VALUE"""),279.56)</f>
        <v>279.56</v>
      </c>
      <c r="C3288" s="2">
        <f>IFERROR(__xludf.DUMMYFUNCTION("""COMPUTED_VALUE"""),280.93)</f>
        <v>280.93</v>
      </c>
      <c r="D3288" s="2">
        <f>IFERROR(__xludf.DUMMYFUNCTION("""COMPUTED_VALUE"""),261.2)</f>
        <v>261.2</v>
      </c>
      <c r="E3288" s="2">
        <f>IFERROR(__xludf.DUMMYFUNCTION("""COMPUTED_VALUE"""),262.9)</f>
        <v>262.9</v>
      </c>
      <c r="F3288" s="2">
        <f>IFERROR(__xludf.DUMMYFUNCTION("""COMPUTED_VALUE"""),1.75158273E8)</f>
        <v>175158273</v>
      </c>
    </row>
    <row r="3289">
      <c r="A3289" s="3">
        <f>IFERROR(__xludf.DUMMYFUNCTION("""COMPUTED_VALUE"""),45128.66666666667)</f>
        <v>45128.66667</v>
      </c>
      <c r="B3289" s="2">
        <f>IFERROR(__xludf.DUMMYFUNCTION("""COMPUTED_VALUE"""),268.0)</f>
        <v>268</v>
      </c>
      <c r="C3289" s="2">
        <f>IFERROR(__xludf.DUMMYFUNCTION("""COMPUTED_VALUE"""),268.0)</f>
        <v>268</v>
      </c>
      <c r="D3289" s="2">
        <f>IFERROR(__xludf.DUMMYFUNCTION("""COMPUTED_VALUE"""),255.8)</f>
        <v>255.8</v>
      </c>
      <c r="E3289" s="2">
        <f>IFERROR(__xludf.DUMMYFUNCTION("""COMPUTED_VALUE"""),260.02)</f>
        <v>260.02</v>
      </c>
      <c r="F3289" s="2">
        <f>IFERROR(__xludf.DUMMYFUNCTION("""COMPUTED_VALUE"""),1.61796073E8)</f>
        <v>161796073</v>
      </c>
    </row>
    <row r="3290">
      <c r="A3290" s="3">
        <f>IFERROR(__xludf.DUMMYFUNCTION("""COMPUTED_VALUE"""),45131.66666666667)</f>
        <v>45131.66667</v>
      </c>
      <c r="B3290" s="2">
        <f>IFERROR(__xludf.DUMMYFUNCTION("""COMPUTED_VALUE"""),255.85)</f>
        <v>255.85</v>
      </c>
      <c r="C3290" s="2">
        <f>IFERROR(__xludf.DUMMYFUNCTION("""COMPUTED_VALUE"""),269.85)</f>
        <v>269.85</v>
      </c>
      <c r="D3290" s="2">
        <f>IFERROR(__xludf.DUMMYFUNCTION("""COMPUTED_VALUE"""),254.12)</f>
        <v>254.12</v>
      </c>
      <c r="E3290" s="2">
        <f>IFERROR(__xludf.DUMMYFUNCTION("""COMPUTED_VALUE"""),269.06)</f>
        <v>269.06</v>
      </c>
      <c r="F3290" s="2">
        <f>IFERROR(__xludf.DUMMYFUNCTION("""COMPUTED_VALUE"""),1.37005037E8)</f>
        <v>137005037</v>
      </c>
    </row>
    <row r="3291">
      <c r="A3291" s="3">
        <f>IFERROR(__xludf.DUMMYFUNCTION("""COMPUTED_VALUE"""),45132.66666666667)</f>
        <v>45132.66667</v>
      </c>
      <c r="B3291" s="2">
        <f>IFERROR(__xludf.DUMMYFUNCTION("""COMPUTED_VALUE"""),272.38)</f>
        <v>272.38</v>
      </c>
      <c r="C3291" s="2">
        <f>IFERROR(__xludf.DUMMYFUNCTION("""COMPUTED_VALUE"""),272.9)</f>
        <v>272.9</v>
      </c>
      <c r="D3291" s="2">
        <f>IFERROR(__xludf.DUMMYFUNCTION("""COMPUTED_VALUE"""),265.0)</f>
        <v>265</v>
      </c>
      <c r="E3291" s="2">
        <f>IFERROR(__xludf.DUMMYFUNCTION("""COMPUTED_VALUE"""),265.28)</f>
        <v>265.28</v>
      </c>
      <c r="F3291" s="2">
        <f>IFERROR(__xludf.DUMMYFUNCTION("""COMPUTED_VALUE"""),1.12757327E8)</f>
        <v>112757327</v>
      </c>
    </row>
    <row r="3292">
      <c r="A3292" s="3">
        <f>IFERROR(__xludf.DUMMYFUNCTION("""COMPUTED_VALUE"""),45133.66666666667)</f>
        <v>45133.66667</v>
      </c>
      <c r="B3292" s="2">
        <f>IFERROR(__xludf.DUMMYFUNCTION("""COMPUTED_VALUE"""),263.25)</f>
        <v>263.25</v>
      </c>
      <c r="C3292" s="2">
        <f>IFERROR(__xludf.DUMMYFUNCTION("""COMPUTED_VALUE"""),268.04)</f>
        <v>268.04</v>
      </c>
      <c r="D3292" s="2">
        <f>IFERROR(__xludf.DUMMYFUNCTION("""COMPUTED_VALUE"""),261.75)</f>
        <v>261.75</v>
      </c>
      <c r="E3292" s="2">
        <f>IFERROR(__xludf.DUMMYFUNCTION("""COMPUTED_VALUE"""),264.35)</f>
        <v>264.35</v>
      </c>
      <c r="F3292" s="2">
        <f>IFERROR(__xludf.DUMMYFUNCTION("""COMPUTED_VALUE"""),9.5856177E7)</f>
        <v>95856177</v>
      </c>
    </row>
    <row r="3293">
      <c r="A3293" s="3">
        <f>IFERROR(__xludf.DUMMYFUNCTION("""COMPUTED_VALUE"""),45134.66666666667)</f>
        <v>45134.66667</v>
      </c>
      <c r="B3293" s="2">
        <f>IFERROR(__xludf.DUMMYFUNCTION("""COMPUTED_VALUE"""),268.31)</f>
        <v>268.31</v>
      </c>
      <c r="C3293" s="2">
        <f>IFERROR(__xludf.DUMMYFUNCTION("""COMPUTED_VALUE"""),269.13)</f>
        <v>269.13</v>
      </c>
      <c r="D3293" s="2">
        <f>IFERROR(__xludf.DUMMYFUNCTION("""COMPUTED_VALUE"""),255.3)</f>
        <v>255.3</v>
      </c>
      <c r="E3293" s="2">
        <f>IFERROR(__xludf.DUMMYFUNCTION("""COMPUTED_VALUE"""),255.71)</f>
        <v>255.71</v>
      </c>
      <c r="F3293" s="2">
        <f>IFERROR(__xludf.DUMMYFUNCTION("""COMPUTED_VALUE"""),1.03697263E8)</f>
        <v>103697263</v>
      </c>
    </row>
    <row r="3294">
      <c r="A3294" s="3">
        <f>IFERROR(__xludf.DUMMYFUNCTION("""COMPUTED_VALUE"""),45135.66666666667)</f>
        <v>45135.66667</v>
      </c>
      <c r="B3294" s="2">
        <f>IFERROR(__xludf.DUMMYFUNCTION("""COMPUTED_VALUE"""),259.86)</f>
        <v>259.86</v>
      </c>
      <c r="C3294" s="2">
        <f>IFERROR(__xludf.DUMMYFUNCTION("""COMPUTED_VALUE"""),267.25)</f>
        <v>267.25</v>
      </c>
      <c r="D3294" s="2">
        <f>IFERROR(__xludf.DUMMYFUNCTION("""COMPUTED_VALUE"""),258.23)</f>
        <v>258.23</v>
      </c>
      <c r="E3294" s="2">
        <f>IFERROR(__xludf.DUMMYFUNCTION("""COMPUTED_VALUE"""),266.44)</f>
        <v>266.44</v>
      </c>
      <c r="F3294" s="2">
        <f>IFERROR(__xludf.DUMMYFUNCTION("""COMPUTED_VALUE"""),1.11446026E8)</f>
        <v>111446026</v>
      </c>
    </row>
    <row r="3295">
      <c r="A3295" s="3">
        <f>IFERROR(__xludf.DUMMYFUNCTION("""COMPUTED_VALUE"""),45138.66666666667)</f>
        <v>45138.66667</v>
      </c>
      <c r="B3295" s="2">
        <f>IFERROR(__xludf.DUMMYFUNCTION("""COMPUTED_VALUE"""),267.48)</f>
        <v>267.48</v>
      </c>
      <c r="C3295" s="2">
        <f>IFERROR(__xludf.DUMMYFUNCTION("""COMPUTED_VALUE"""),269.08)</f>
        <v>269.08</v>
      </c>
      <c r="D3295" s="2">
        <f>IFERROR(__xludf.DUMMYFUNCTION("""COMPUTED_VALUE"""),263.78)</f>
        <v>263.78</v>
      </c>
      <c r="E3295" s="2">
        <f>IFERROR(__xludf.DUMMYFUNCTION("""COMPUTED_VALUE"""),267.43)</f>
        <v>267.43</v>
      </c>
      <c r="F3295" s="2">
        <f>IFERROR(__xludf.DUMMYFUNCTION("""COMPUTED_VALUE"""),8.4582172E7)</f>
        <v>84582172</v>
      </c>
    </row>
    <row r="3296">
      <c r="A3296" s="3">
        <f>IFERROR(__xludf.DUMMYFUNCTION("""COMPUTED_VALUE"""),45139.66666666667)</f>
        <v>45139.66667</v>
      </c>
      <c r="B3296" s="2">
        <f>IFERROR(__xludf.DUMMYFUNCTION("""COMPUTED_VALUE"""),266.26)</f>
        <v>266.26</v>
      </c>
      <c r="C3296" s="2">
        <f>IFERROR(__xludf.DUMMYFUNCTION("""COMPUTED_VALUE"""),266.47)</f>
        <v>266.47</v>
      </c>
      <c r="D3296" s="2">
        <f>IFERROR(__xludf.DUMMYFUNCTION("""COMPUTED_VALUE"""),260.25)</f>
        <v>260.25</v>
      </c>
      <c r="E3296" s="2">
        <f>IFERROR(__xludf.DUMMYFUNCTION("""COMPUTED_VALUE"""),261.07)</f>
        <v>261.07</v>
      </c>
      <c r="F3296" s="2">
        <f>IFERROR(__xludf.DUMMYFUNCTION("""COMPUTED_VALUE"""),8.364572E7)</f>
        <v>83645720</v>
      </c>
    </row>
    <row r="3297">
      <c r="A3297" s="3">
        <f>IFERROR(__xludf.DUMMYFUNCTION("""COMPUTED_VALUE"""),45140.66666666667)</f>
        <v>45140.66667</v>
      </c>
      <c r="B3297" s="2">
        <f>IFERROR(__xludf.DUMMYFUNCTION("""COMPUTED_VALUE"""),255.57)</f>
        <v>255.57</v>
      </c>
      <c r="C3297" s="2">
        <f>IFERROR(__xludf.DUMMYFUNCTION("""COMPUTED_VALUE"""),259.52)</f>
        <v>259.52</v>
      </c>
      <c r="D3297" s="2">
        <f>IFERROR(__xludf.DUMMYFUNCTION("""COMPUTED_VALUE"""),250.49)</f>
        <v>250.49</v>
      </c>
      <c r="E3297" s="2">
        <f>IFERROR(__xludf.DUMMYFUNCTION("""COMPUTED_VALUE"""),254.11)</f>
        <v>254.11</v>
      </c>
      <c r="F3297" s="2">
        <f>IFERROR(__xludf.DUMMYFUNCTION("""COMPUTED_VALUE"""),1.01752865E8)</f>
        <v>101752865</v>
      </c>
    </row>
    <row r="3298">
      <c r="A3298" s="3">
        <f>IFERROR(__xludf.DUMMYFUNCTION("""COMPUTED_VALUE"""),45141.66666666667)</f>
        <v>45141.66667</v>
      </c>
      <c r="B3298" s="2">
        <f>IFERROR(__xludf.DUMMYFUNCTION("""COMPUTED_VALUE"""),252.04)</f>
        <v>252.04</v>
      </c>
      <c r="C3298" s="2">
        <f>IFERROR(__xludf.DUMMYFUNCTION("""COMPUTED_VALUE"""),260.49)</f>
        <v>260.49</v>
      </c>
      <c r="D3298" s="2">
        <f>IFERROR(__xludf.DUMMYFUNCTION("""COMPUTED_VALUE"""),252.0)</f>
        <v>252</v>
      </c>
      <c r="E3298" s="2">
        <f>IFERROR(__xludf.DUMMYFUNCTION("""COMPUTED_VALUE"""),259.32)</f>
        <v>259.32</v>
      </c>
      <c r="F3298" s="2">
        <f>IFERROR(__xludf.DUMMYFUNCTION("""COMPUTED_VALUE"""),9.7829545E7)</f>
        <v>97829545</v>
      </c>
    </row>
    <row r="3299">
      <c r="A3299" s="3">
        <f>IFERROR(__xludf.DUMMYFUNCTION("""COMPUTED_VALUE"""),45142.66666666667)</f>
        <v>45142.66667</v>
      </c>
      <c r="B3299" s="2">
        <f>IFERROR(__xludf.DUMMYFUNCTION("""COMPUTED_VALUE"""),260.97)</f>
        <v>260.97</v>
      </c>
      <c r="C3299" s="2">
        <f>IFERROR(__xludf.DUMMYFUNCTION("""COMPUTED_VALUE"""),264.77)</f>
        <v>264.77</v>
      </c>
      <c r="D3299" s="2">
        <f>IFERROR(__xludf.DUMMYFUNCTION("""COMPUTED_VALUE"""),253.11)</f>
        <v>253.11</v>
      </c>
      <c r="E3299" s="2">
        <f>IFERROR(__xludf.DUMMYFUNCTION("""COMPUTED_VALUE"""),253.86)</f>
        <v>253.86</v>
      </c>
      <c r="F3299" s="2">
        <f>IFERROR(__xludf.DUMMYFUNCTION("""COMPUTED_VALUE"""),9.9539907E7)</f>
        <v>99539907</v>
      </c>
    </row>
    <row r="3300">
      <c r="A3300" s="3">
        <f>IFERROR(__xludf.DUMMYFUNCTION("""COMPUTED_VALUE"""),45145.66666666667)</f>
        <v>45145.66667</v>
      </c>
      <c r="B3300" s="2">
        <f>IFERROR(__xludf.DUMMYFUNCTION("""COMPUTED_VALUE"""),251.45)</f>
        <v>251.45</v>
      </c>
      <c r="C3300" s="2">
        <f>IFERROR(__xludf.DUMMYFUNCTION("""COMPUTED_VALUE"""),253.65)</f>
        <v>253.65</v>
      </c>
      <c r="D3300" s="2">
        <f>IFERROR(__xludf.DUMMYFUNCTION("""COMPUTED_VALUE"""),242.76)</f>
        <v>242.76</v>
      </c>
      <c r="E3300" s="2">
        <f>IFERROR(__xludf.DUMMYFUNCTION("""COMPUTED_VALUE"""),251.45)</f>
        <v>251.45</v>
      </c>
      <c r="F3300" s="2">
        <f>IFERROR(__xludf.DUMMYFUNCTION("""COMPUTED_VALUE"""),1.11097943E8)</f>
        <v>111097943</v>
      </c>
    </row>
    <row r="3301">
      <c r="A3301" s="3">
        <f>IFERROR(__xludf.DUMMYFUNCTION("""COMPUTED_VALUE"""),45146.66666666667)</f>
        <v>45146.66667</v>
      </c>
      <c r="B3301" s="2">
        <f>IFERROR(__xludf.DUMMYFUNCTION("""COMPUTED_VALUE"""),247.45)</f>
        <v>247.45</v>
      </c>
      <c r="C3301" s="2">
        <f>IFERROR(__xludf.DUMMYFUNCTION("""COMPUTED_VALUE"""),250.92)</f>
        <v>250.92</v>
      </c>
      <c r="D3301" s="2">
        <f>IFERROR(__xludf.DUMMYFUNCTION("""COMPUTED_VALUE"""),245.01)</f>
        <v>245.01</v>
      </c>
      <c r="E3301" s="2">
        <f>IFERROR(__xludf.DUMMYFUNCTION("""COMPUTED_VALUE"""),249.7)</f>
        <v>249.7</v>
      </c>
      <c r="F3301" s="2">
        <f>IFERROR(__xludf.DUMMYFUNCTION("""COMPUTED_VALUE"""),9.6642183E7)</f>
        <v>96642183</v>
      </c>
    </row>
    <row r="3302">
      <c r="A3302" s="3">
        <f>IFERROR(__xludf.DUMMYFUNCTION("""COMPUTED_VALUE"""),45147.66666666667)</f>
        <v>45147.66667</v>
      </c>
      <c r="B3302" s="2">
        <f>IFERROR(__xludf.DUMMYFUNCTION("""COMPUTED_VALUE"""),250.87)</f>
        <v>250.87</v>
      </c>
      <c r="C3302" s="2">
        <f>IFERROR(__xludf.DUMMYFUNCTION("""COMPUTED_VALUE"""),251.1)</f>
        <v>251.1</v>
      </c>
      <c r="D3302" s="2">
        <f>IFERROR(__xludf.DUMMYFUNCTION("""COMPUTED_VALUE"""),241.9)</f>
        <v>241.9</v>
      </c>
      <c r="E3302" s="2">
        <f>IFERROR(__xludf.DUMMYFUNCTION("""COMPUTED_VALUE"""),242.19)</f>
        <v>242.19</v>
      </c>
      <c r="F3302" s="2">
        <f>IFERROR(__xludf.DUMMYFUNCTION("""COMPUTED_VALUE"""),1.01596324E8)</f>
        <v>101596324</v>
      </c>
    </row>
    <row r="3303">
      <c r="A3303" s="3">
        <f>IFERROR(__xludf.DUMMYFUNCTION("""COMPUTED_VALUE"""),45148.66666666667)</f>
        <v>45148.66667</v>
      </c>
      <c r="B3303" s="2">
        <f>IFERROR(__xludf.DUMMYFUNCTION("""COMPUTED_VALUE"""),245.4)</f>
        <v>245.4</v>
      </c>
      <c r="C3303" s="2">
        <f>IFERROR(__xludf.DUMMYFUNCTION("""COMPUTED_VALUE"""),251.8)</f>
        <v>251.8</v>
      </c>
      <c r="D3303" s="2">
        <f>IFERROR(__xludf.DUMMYFUNCTION("""COMPUTED_VALUE"""),243.0)</f>
        <v>243</v>
      </c>
      <c r="E3303" s="2">
        <f>IFERROR(__xludf.DUMMYFUNCTION("""COMPUTED_VALUE"""),245.34)</f>
        <v>245.34</v>
      </c>
      <c r="F3303" s="2">
        <f>IFERROR(__xludf.DUMMYFUNCTION("""COMPUTED_VALUE"""),1.09498608E8)</f>
        <v>109498608</v>
      </c>
    </row>
    <row r="3304">
      <c r="A3304" s="3">
        <f>IFERROR(__xludf.DUMMYFUNCTION("""COMPUTED_VALUE"""),45149.66666666667)</f>
        <v>45149.66667</v>
      </c>
      <c r="B3304" s="2">
        <f>IFERROR(__xludf.DUMMYFUNCTION("""COMPUTED_VALUE"""),241.77)</f>
        <v>241.77</v>
      </c>
      <c r="C3304" s="2">
        <f>IFERROR(__xludf.DUMMYFUNCTION("""COMPUTED_VALUE"""),243.79)</f>
        <v>243.79</v>
      </c>
      <c r="D3304" s="2">
        <f>IFERROR(__xludf.DUMMYFUNCTION("""COMPUTED_VALUE"""),238.02)</f>
        <v>238.02</v>
      </c>
      <c r="E3304" s="2">
        <f>IFERROR(__xludf.DUMMYFUNCTION("""COMPUTED_VALUE"""),242.65)</f>
        <v>242.65</v>
      </c>
      <c r="F3304" s="2">
        <f>IFERROR(__xludf.DUMMYFUNCTION("""COMPUTED_VALUE"""),9.9038642E7)</f>
        <v>99038642</v>
      </c>
    </row>
    <row r="3305">
      <c r="A3305" s="3">
        <f>IFERROR(__xludf.DUMMYFUNCTION("""COMPUTED_VALUE"""),45152.66666666667)</f>
        <v>45152.66667</v>
      </c>
      <c r="B3305" s="2">
        <f>IFERROR(__xludf.DUMMYFUNCTION("""COMPUTED_VALUE"""),235.7)</f>
        <v>235.7</v>
      </c>
      <c r="C3305" s="2">
        <f>IFERROR(__xludf.DUMMYFUNCTION("""COMPUTED_VALUE"""),240.66)</f>
        <v>240.66</v>
      </c>
      <c r="D3305" s="2">
        <f>IFERROR(__xludf.DUMMYFUNCTION("""COMPUTED_VALUE"""),233.75)</f>
        <v>233.75</v>
      </c>
      <c r="E3305" s="2">
        <f>IFERROR(__xludf.DUMMYFUNCTION("""COMPUTED_VALUE"""),239.76)</f>
        <v>239.76</v>
      </c>
      <c r="F3305" s="2">
        <f>IFERROR(__xludf.DUMMYFUNCTION("""COMPUTED_VALUE"""),9.8595331E7)</f>
        <v>98595331</v>
      </c>
    </row>
    <row r="3306">
      <c r="A3306" s="3">
        <f>IFERROR(__xludf.DUMMYFUNCTION("""COMPUTED_VALUE"""),45153.66666666667)</f>
        <v>45153.66667</v>
      </c>
      <c r="B3306" s="2">
        <f>IFERROR(__xludf.DUMMYFUNCTION("""COMPUTED_VALUE"""),238.73)</f>
        <v>238.73</v>
      </c>
      <c r="C3306" s="2">
        <f>IFERROR(__xludf.DUMMYFUNCTION("""COMPUTED_VALUE"""),240.5)</f>
        <v>240.5</v>
      </c>
      <c r="D3306" s="2">
        <f>IFERROR(__xludf.DUMMYFUNCTION("""COMPUTED_VALUE"""),232.61)</f>
        <v>232.61</v>
      </c>
      <c r="E3306" s="2">
        <f>IFERROR(__xludf.DUMMYFUNCTION("""COMPUTED_VALUE"""),232.96)</f>
        <v>232.96</v>
      </c>
      <c r="F3306" s="2">
        <f>IFERROR(__xludf.DUMMYFUNCTION("""COMPUTED_VALUE"""),8.8197599E7)</f>
        <v>88197599</v>
      </c>
    </row>
    <row r="3307">
      <c r="A3307" s="3">
        <f>IFERROR(__xludf.DUMMYFUNCTION("""COMPUTED_VALUE"""),45154.66666666667)</f>
        <v>45154.66667</v>
      </c>
      <c r="B3307" s="2">
        <f>IFERROR(__xludf.DUMMYFUNCTION("""COMPUTED_VALUE"""),228.02)</f>
        <v>228.02</v>
      </c>
      <c r="C3307" s="2">
        <f>IFERROR(__xludf.DUMMYFUNCTION("""COMPUTED_VALUE"""),233.97)</f>
        <v>233.97</v>
      </c>
      <c r="D3307" s="2">
        <f>IFERROR(__xludf.DUMMYFUNCTION("""COMPUTED_VALUE"""),225.38)</f>
        <v>225.38</v>
      </c>
      <c r="E3307" s="2">
        <f>IFERROR(__xludf.DUMMYFUNCTION("""COMPUTED_VALUE"""),225.6)</f>
        <v>225.6</v>
      </c>
      <c r="F3307" s="2">
        <f>IFERROR(__xludf.DUMMYFUNCTION("""COMPUTED_VALUE"""),1.1248452E8)</f>
        <v>112484520</v>
      </c>
    </row>
    <row r="3308">
      <c r="A3308" s="3">
        <f>IFERROR(__xludf.DUMMYFUNCTION("""COMPUTED_VALUE"""),45155.66666666667)</f>
        <v>45155.66667</v>
      </c>
      <c r="B3308" s="2">
        <f>IFERROR(__xludf.DUMMYFUNCTION("""COMPUTED_VALUE"""),226.06)</f>
        <v>226.06</v>
      </c>
      <c r="C3308" s="2">
        <f>IFERROR(__xludf.DUMMYFUNCTION("""COMPUTED_VALUE"""),226.74)</f>
        <v>226.74</v>
      </c>
      <c r="D3308" s="2">
        <f>IFERROR(__xludf.DUMMYFUNCTION("""COMPUTED_VALUE"""),218.83)</f>
        <v>218.83</v>
      </c>
      <c r="E3308" s="2">
        <f>IFERROR(__xludf.DUMMYFUNCTION("""COMPUTED_VALUE"""),219.22)</f>
        <v>219.22</v>
      </c>
      <c r="F3308" s="2">
        <f>IFERROR(__xludf.DUMMYFUNCTION("""COMPUTED_VALUE"""),1.20718417E8)</f>
        <v>120718417</v>
      </c>
    </row>
    <row r="3309">
      <c r="A3309" s="3">
        <f>IFERROR(__xludf.DUMMYFUNCTION("""COMPUTED_VALUE"""),45156.66666666667)</f>
        <v>45156.66667</v>
      </c>
      <c r="B3309" s="2">
        <f>IFERROR(__xludf.DUMMYFUNCTION("""COMPUTED_VALUE"""),214.12)</f>
        <v>214.12</v>
      </c>
      <c r="C3309" s="2">
        <f>IFERROR(__xludf.DUMMYFUNCTION("""COMPUTED_VALUE"""),217.58)</f>
        <v>217.58</v>
      </c>
      <c r="D3309" s="2">
        <f>IFERROR(__xludf.DUMMYFUNCTION("""COMPUTED_VALUE"""),212.36)</f>
        <v>212.36</v>
      </c>
      <c r="E3309" s="2">
        <f>IFERROR(__xludf.DUMMYFUNCTION("""COMPUTED_VALUE"""),215.49)</f>
        <v>215.49</v>
      </c>
      <c r="F3309" s="2">
        <f>IFERROR(__xludf.DUMMYFUNCTION("""COMPUTED_VALUE"""),1.36276584E8)</f>
        <v>136276584</v>
      </c>
    </row>
    <row r="3310">
      <c r="A3310" s="3">
        <f>IFERROR(__xludf.DUMMYFUNCTION("""COMPUTED_VALUE"""),45159.66666666667)</f>
        <v>45159.66667</v>
      </c>
      <c r="B3310" s="2">
        <f>IFERROR(__xludf.DUMMYFUNCTION("""COMPUTED_VALUE"""),221.55)</f>
        <v>221.55</v>
      </c>
      <c r="C3310" s="2">
        <f>IFERROR(__xludf.DUMMYFUNCTION("""COMPUTED_VALUE"""),232.13)</f>
        <v>232.13</v>
      </c>
      <c r="D3310" s="2">
        <f>IFERROR(__xludf.DUMMYFUNCTION("""COMPUTED_VALUE"""),220.58)</f>
        <v>220.58</v>
      </c>
      <c r="E3310" s="2">
        <f>IFERROR(__xludf.DUMMYFUNCTION("""COMPUTED_VALUE"""),231.28)</f>
        <v>231.28</v>
      </c>
      <c r="F3310" s="2">
        <f>IFERROR(__xludf.DUMMYFUNCTION("""COMPUTED_VALUE"""),1.35702671E8)</f>
        <v>135702671</v>
      </c>
    </row>
    <row r="3311">
      <c r="A3311" s="3">
        <f>IFERROR(__xludf.DUMMYFUNCTION("""COMPUTED_VALUE"""),45160.66666666667)</f>
        <v>45160.66667</v>
      </c>
      <c r="B3311" s="2">
        <f>IFERROR(__xludf.DUMMYFUNCTION("""COMPUTED_VALUE"""),240.25)</f>
        <v>240.25</v>
      </c>
      <c r="C3311" s="2">
        <f>IFERROR(__xludf.DUMMYFUNCTION("""COMPUTED_VALUE"""),240.82)</f>
        <v>240.82</v>
      </c>
      <c r="D3311" s="2">
        <f>IFERROR(__xludf.DUMMYFUNCTION("""COMPUTED_VALUE"""),229.55)</f>
        <v>229.55</v>
      </c>
      <c r="E3311" s="2">
        <f>IFERROR(__xludf.DUMMYFUNCTION("""COMPUTED_VALUE"""),233.19)</f>
        <v>233.19</v>
      </c>
      <c r="F3311" s="2">
        <f>IFERROR(__xludf.DUMMYFUNCTION("""COMPUTED_VALUE"""),1.30597886E8)</f>
        <v>130597886</v>
      </c>
    </row>
    <row r="3312">
      <c r="A3312" s="3">
        <f>IFERROR(__xludf.DUMMYFUNCTION("""COMPUTED_VALUE"""),45161.66666666667)</f>
        <v>45161.66667</v>
      </c>
      <c r="B3312" s="2">
        <f>IFERROR(__xludf.DUMMYFUNCTION("""COMPUTED_VALUE"""),229.34)</f>
        <v>229.34</v>
      </c>
      <c r="C3312" s="2">
        <f>IFERROR(__xludf.DUMMYFUNCTION("""COMPUTED_VALUE"""),238.98)</f>
        <v>238.98</v>
      </c>
      <c r="D3312" s="2">
        <f>IFERROR(__xludf.DUMMYFUNCTION("""COMPUTED_VALUE"""),229.29)</f>
        <v>229.29</v>
      </c>
      <c r="E3312" s="2">
        <f>IFERROR(__xludf.DUMMYFUNCTION("""COMPUTED_VALUE"""),236.86)</f>
        <v>236.86</v>
      </c>
      <c r="F3312" s="2">
        <f>IFERROR(__xludf.DUMMYFUNCTION("""COMPUTED_VALUE"""),1.01077635E8)</f>
        <v>101077635</v>
      </c>
    </row>
    <row r="3313">
      <c r="A3313" s="3">
        <f>IFERROR(__xludf.DUMMYFUNCTION("""COMPUTED_VALUE"""),45162.66666666667)</f>
        <v>45162.66667</v>
      </c>
      <c r="B3313" s="2">
        <f>IFERROR(__xludf.DUMMYFUNCTION("""COMPUTED_VALUE"""),238.66)</f>
        <v>238.66</v>
      </c>
      <c r="C3313" s="2">
        <f>IFERROR(__xludf.DUMMYFUNCTION("""COMPUTED_VALUE"""),238.92)</f>
        <v>238.92</v>
      </c>
      <c r="D3313" s="2">
        <f>IFERROR(__xludf.DUMMYFUNCTION("""COMPUTED_VALUE"""),228.18)</f>
        <v>228.18</v>
      </c>
      <c r="E3313" s="2">
        <f>IFERROR(__xludf.DUMMYFUNCTION("""COMPUTED_VALUE"""),230.04)</f>
        <v>230.04</v>
      </c>
      <c r="F3313" s="2">
        <f>IFERROR(__xludf.DUMMYFUNCTION("""COMPUTED_VALUE"""),9.9777432E7)</f>
        <v>99777432</v>
      </c>
    </row>
    <row r="3314">
      <c r="A3314" s="3">
        <f>IFERROR(__xludf.DUMMYFUNCTION("""COMPUTED_VALUE"""),45163.66666666667)</f>
        <v>45163.66667</v>
      </c>
      <c r="B3314" s="2">
        <f>IFERROR(__xludf.DUMMYFUNCTION("""COMPUTED_VALUE"""),231.31)</f>
        <v>231.31</v>
      </c>
      <c r="C3314" s="2">
        <f>IFERROR(__xludf.DUMMYFUNCTION("""COMPUTED_VALUE"""),239.0)</f>
        <v>239</v>
      </c>
      <c r="D3314" s="2">
        <f>IFERROR(__xludf.DUMMYFUNCTION("""COMPUTED_VALUE"""),230.35)</f>
        <v>230.35</v>
      </c>
      <c r="E3314" s="2">
        <f>IFERROR(__xludf.DUMMYFUNCTION("""COMPUTED_VALUE"""),238.59)</f>
        <v>238.59</v>
      </c>
      <c r="F3314" s="2">
        <f>IFERROR(__xludf.DUMMYFUNCTION("""COMPUTED_VALUE"""),1.06612231E8)</f>
        <v>106612231</v>
      </c>
    </row>
    <row r="3315">
      <c r="A3315" s="3">
        <f>IFERROR(__xludf.DUMMYFUNCTION("""COMPUTED_VALUE"""),45166.66666666667)</f>
        <v>45166.66667</v>
      </c>
      <c r="B3315" s="2">
        <f>IFERROR(__xludf.DUMMYFUNCTION("""COMPUTED_VALUE"""),242.58)</f>
        <v>242.58</v>
      </c>
      <c r="C3315" s="2">
        <f>IFERROR(__xludf.DUMMYFUNCTION("""COMPUTED_VALUE"""),244.38)</f>
        <v>244.38</v>
      </c>
      <c r="D3315" s="2">
        <f>IFERROR(__xludf.DUMMYFUNCTION("""COMPUTED_VALUE"""),235.35)</f>
        <v>235.35</v>
      </c>
      <c r="E3315" s="2">
        <f>IFERROR(__xludf.DUMMYFUNCTION("""COMPUTED_VALUE"""),238.82)</f>
        <v>238.82</v>
      </c>
      <c r="F3315" s="2">
        <f>IFERROR(__xludf.DUMMYFUNCTION("""COMPUTED_VALUE"""),1.07673727E8)</f>
        <v>107673727</v>
      </c>
    </row>
    <row r="3316">
      <c r="A3316" s="3">
        <f>IFERROR(__xludf.DUMMYFUNCTION("""COMPUTED_VALUE"""),45167.66666666667)</f>
        <v>45167.66667</v>
      </c>
      <c r="B3316" s="2">
        <f>IFERROR(__xludf.DUMMYFUNCTION("""COMPUTED_VALUE"""),238.58)</f>
        <v>238.58</v>
      </c>
      <c r="C3316" s="2">
        <f>IFERROR(__xludf.DUMMYFUNCTION("""COMPUTED_VALUE"""),257.48)</f>
        <v>257.48</v>
      </c>
      <c r="D3316" s="2">
        <f>IFERROR(__xludf.DUMMYFUNCTION("""COMPUTED_VALUE"""),237.77)</f>
        <v>237.77</v>
      </c>
      <c r="E3316" s="2">
        <f>IFERROR(__xludf.DUMMYFUNCTION("""COMPUTED_VALUE"""),257.18)</f>
        <v>257.18</v>
      </c>
      <c r="F3316" s="2">
        <f>IFERROR(__xludf.DUMMYFUNCTION("""COMPUTED_VALUE"""),1.34047603E8)</f>
        <v>134047603</v>
      </c>
    </row>
    <row r="3317">
      <c r="A3317" s="3">
        <f>IFERROR(__xludf.DUMMYFUNCTION("""COMPUTED_VALUE"""),45168.66666666667)</f>
        <v>45168.66667</v>
      </c>
      <c r="B3317" s="2">
        <f>IFERROR(__xludf.DUMMYFUNCTION("""COMPUTED_VALUE"""),254.2)</f>
        <v>254.2</v>
      </c>
      <c r="C3317" s="2">
        <f>IFERROR(__xludf.DUMMYFUNCTION("""COMPUTED_VALUE"""),260.51)</f>
        <v>260.51</v>
      </c>
      <c r="D3317" s="2">
        <f>IFERROR(__xludf.DUMMYFUNCTION("""COMPUTED_VALUE"""),250.59)</f>
        <v>250.59</v>
      </c>
      <c r="E3317" s="2">
        <f>IFERROR(__xludf.DUMMYFUNCTION("""COMPUTED_VALUE"""),256.9)</f>
        <v>256.9</v>
      </c>
      <c r="F3317" s="2">
        <f>IFERROR(__xludf.DUMMYFUNCTION("""COMPUTED_VALUE"""),1.21988437E8)</f>
        <v>121988437</v>
      </c>
    </row>
    <row r="3318">
      <c r="A3318" s="3">
        <f>IFERROR(__xludf.DUMMYFUNCTION("""COMPUTED_VALUE"""),45169.66666666667)</f>
        <v>45169.66667</v>
      </c>
      <c r="B3318" s="2">
        <f>IFERROR(__xludf.DUMMYFUNCTION("""COMPUTED_VALUE"""),255.98)</f>
        <v>255.98</v>
      </c>
      <c r="C3318" s="2">
        <f>IFERROR(__xludf.DUMMYFUNCTION("""COMPUTED_VALUE"""),261.18)</f>
        <v>261.18</v>
      </c>
      <c r="D3318" s="2">
        <f>IFERROR(__xludf.DUMMYFUNCTION("""COMPUTED_VALUE"""),255.05)</f>
        <v>255.05</v>
      </c>
      <c r="E3318" s="2">
        <f>IFERROR(__xludf.DUMMYFUNCTION("""COMPUTED_VALUE"""),258.08)</f>
        <v>258.08</v>
      </c>
      <c r="F3318" s="2">
        <f>IFERROR(__xludf.DUMMYFUNCTION("""COMPUTED_VALUE"""),1.08861698E8)</f>
        <v>108861698</v>
      </c>
    </row>
    <row r="3319">
      <c r="A3319" s="3">
        <f>IFERROR(__xludf.DUMMYFUNCTION("""COMPUTED_VALUE"""),45170.66666666667)</f>
        <v>45170.66667</v>
      </c>
      <c r="B3319" s="2">
        <f>IFERROR(__xludf.DUMMYFUNCTION("""COMPUTED_VALUE"""),257.26)</f>
        <v>257.26</v>
      </c>
      <c r="C3319" s="2">
        <f>IFERROR(__xludf.DUMMYFUNCTION("""COMPUTED_VALUE"""),259.08)</f>
        <v>259.08</v>
      </c>
      <c r="D3319" s="2">
        <f>IFERROR(__xludf.DUMMYFUNCTION("""COMPUTED_VALUE"""),242.01)</f>
        <v>242.01</v>
      </c>
      <c r="E3319" s="2">
        <f>IFERROR(__xludf.DUMMYFUNCTION("""COMPUTED_VALUE"""),245.01)</f>
        <v>245.01</v>
      </c>
      <c r="F3319" s="2">
        <f>IFERROR(__xludf.DUMMYFUNCTION("""COMPUTED_VALUE"""),1.3254164E8)</f>
        <v>132541640</v>
      </c>
    </row>
    <row r="3320">
      <c r="A3320" s="3">
        <f>IFERROR(__xludf.DUMMYFUNCTION("""COMPUTED_VALUE"""),45174.66666666667)</f>
        <v>45174.66667</v>
      </c>
      <c r="B3320" s="2">
        <f>IFERROR(__xludf.DUMMYFUNCTION("""COMPUTED_VALUE"""),245.0)</f>
        <v>245</v>
      </c>
      <c r="C3320" s="2">
        <f>IFERROR(__xludf.DUMMYFUNCTION("""COMPUTED_VALUE"""),258.0)</f>
        <v>258</v>
      </c>
      <c r="D3320" s="2">
        <f>IFERROR(__xludf.DUMMYFUNCTION("""COMPUTED_VALUE"""),244.86)</f>
        <v>244.86</v>
      </c>
      <c r="E3320" s="2">
        <f>IFERROR(__xludf.DUMMYFUNCTION("""COMPUTED_VALUE"""),256.49)</f>
        <v>256.49</v>
      </c>
      <c r="F3320" s="2">
        <f>IFERROR(__xludf.DUMMYFUNCTION("""COMPUTED_VALUE"""),1.29469565E8)</f>
        <v>129469565</v>
      </c>
    </row>
    <row r="3321">
      <c r="A3321" s="3">
        <f>IFERROR(__xludf.DUMMYFUNCTION("""COMPUTED_VALUE"""),45175.66666666667)</f>
        <v>45175.66667</v>
      </c>
      <c r="B3321" s="2">
        <f>IFERROR(__xludf.DUMMYFUNCTION("""COMPUTED_VALUE"""),255.14)</f>
        <v>255.14</v>
      </c>
      <c r="C3321" s="2">
        <f>IFERROR(__xludf.DUMMYFUNCTION("""COMPUTED_VALUE"""),255.39)</f>
        <v>255.39</v>
      </c>
      <c r="D3321" s="2">
        <f>IFERROR(__xludf.DUMMYFUNCTION("""COMPUTED_VALUE"""),245.06)</f>
        <v>245.06</v>
      </c>
      <c r="E3321" s="2">
        <f>IFERROR(__xludf.DUMMYFUNCTION("""COMPUTED_VALUE"""),251.92)</f>
        <v>251.92</v>
      </c>
      <c r="F3321" s="2">
        <f>IFERROR(__xludf.DUMMYFUNCTION("""COMPUTED_VALUE"""),1.16959759E8)</f>
        <v>116959759</v>
      </c>
    </row>
    <row r="3322">
      <c r="A3322" s="3">
        <f>IFERROR(__xludf.DUMMYFUNCTION("""COMPUTED_VALUE"""),45176.66666666667)</f>
        <v>45176.66667</v>
      </c>
      <c r="B3322" s="2">
        <f>IFERROR(__xludf.DUMMYFUNCTION("""COMPUTED_VALUE"""),245.07)</f>
        <v>245.07</v>
      </c>
      <c r="C3322" s="2">
        <f>IFERROR(__xludf.DUMMYFUNCTION("""COMPUTED_VALUE"""),252.81)</f>
        <v>252.81</v>
      </c>
      <c r="D3322" s="2">
        <f>IFERROR(__xludf.DUMMYFUNCTION("""COMPUTED_VALUE"""),243.27)</f>
        <v>243.27</v>
      </c>
      <c r="E3322" s="2">
        <f>IFERROR(__xludf.DUMMYFUNCTION("""COMPUTED_VALUE"""),251.49)</f>
        <v>251.49</v>
      </c>
      <c r="F3322" s="2">
        <f>IFERROR(__xludf.DUMMYFUNCTION("""COMPUTED_VALUE"""),1.15312886E8)</f>
        <v>115312886</v>
      </c>
    </row>
    <row r="3323">
      <c r="A3323" s="3">
        <f>IFERROR(__xludf.DUMMYFUNCTION("""COMPUTED_VALUE"""),45177.66666666667)</f>
        <v>45177.66667</v>
      </c>
      <c r="B3323" s="2">
        <f>IFERROR(__xludf.DUMMYFUNCTION("""COMPUTED_VALUE"""),251.22)</f>
        <v>251.22</v>
      </c>
      <c r="C3323" s="2">
        <f>IFERROR(__xludf.DUMMYFUNCTION("""COMPUTED_VALUE"""),256.52)</f>
        <v>256.52</v>
      </c>
      <c r="D3323" s="2">
        <f>IFERROR(__xludf.DUMMYFUNCTION("""COMPUTED_VALUE"""),246.67)</f>
        <v>246.67</v>
      </c>
      <c r="E3323" s="2">
        <f>IFERROR(__xludf.DUMMYFUNCTION("""COMPUTED_VALUE"""),248.5)</f>
        <v>248.5</v>
      </c>
      <c r="F3323" s="2">
        <f>IFERROR(__xludf.DUMMYFUNCTION("""COMPUTED_VALUE"""),1.18559635E8)</f>
        <v>118559635</v>
      </c>
    </row>
    <row r="3324">
      <c r="A3324" s="3">
        <f>IFERROR(__xludf.DUMMYFUNCTION("""COMPUTED_VALUE"""),45180.66666666667)</f>
        <v>45180.66667</v>
      </c>
      <c r="B3324" s="2">
        <f>IFERROR(__xludf.DUMMYFUNCTION("""COMPUTED_VALUE"""),264.27)</f>
        <v>264.27</v>
      </c>
      <c r="C3324" s="2">
        <f>IFERROR(__xludf.DUMMYFUNCTION("""COMPUTED_VALUE"""),274.85)</f>
        <v>274.85</v>
      </c>
      <c r="D3324" s="2">
        <f>IFERROR(__xludf.DUMMYFUNCTION("""COMPUTED_VALUE"""),260.61)</f>
        <v>260.61</v>
      </c>
      <c r="E3324" s="2">
        <f>IFERROR(__xludf.DUMMYFUNCTION("""COMPUTED_VALUE"""),273.58)</f>
        <v>273.58</v>
      </c>
      <c r="F3324" s="2">
        <f>IFERROR(__xludf.DUMMYFUNCTION("""COMPUTED_VALUE"""),1.74667852E8)</f>
        <v>174667852</v>
      </c>
    </row>
    <row r="3325">
      <c r="A3325" s="3">
        <f>IFERROR(__xludf.DUMMYFUNCTION("""COMPUTED_VALUE"""),45181.66666666667)</f>
        <v>45181.66667</v>
      </c>
      <c r="B3325" s="2">
        <f>IFERROR(__xludf.DUMMYFUNCTION("""COMPUTED_VALUE"""),270.76)</f>
        <v>270.76</v>
      </c>
      <c r="C3325" s="2">
        <f>IFERROR(__xludf.DUMMYFUNCTION("""COMPUTED_VALUE"""),278.39)</f>
        <v>278.39</v>
      </c>
      <c r="D3325" s="2">
        <f>IFERROR(__xludf.DUMMYFUNCTION("""COMPUTED_VALUE"""),266.6)</f>
        <v>266.6</v>
      </c>
      <c r="E3325" s="2">
        <f>IFERROR(__xludf.DUMMYFUNCTION("""COMPUTED_VALUE"""),267.48)</f>
        <v>267.48</v>
      </c>
      <c r="F3325" s="2">
        <f>IFERROR(__xludf.DUMMYFUNCTION("""COMPUTED_VALUE"""),1.35999866E8)</f>
        <v>135999866</v>
      </c>
    </row>
    <row r="3326">
      <c r="A3326" s="3">
        <f>IFERROR(__xludf.DUMMYFUNCTION("""COMPUTED_VALUE"""),45182.66666666667)</f>
        <v>45182.66667</v>
      </c>
      <c r="B3326" s="2">
        <f>IFERROR(__xludf.DUMMYFUNCTION("""COMPUTED_VALUE"""),270.07)</f>
        <v>270.07</v>
      </c>
      <c r="C3326" s="2">
        <f>IFERROR(__xludf.DUMMYFUNCTION("""COMPUTED_VALUE"""),274.98)</f>
        <v>274.98</v>
      </c>
      <c r="D3326" s="2">
        <f>IFERROR(__xludf.DUMMYFUNCTION("""COMPUTED_VALUE"""),268.1)</f>
        <v>268.1</v>
      </c>
      <c r="E3326" s="2">
        <f>IFERROR(__xludf.DUMMYFUNCTION("""COMPUTED_VALUE"""),271.3)</f>
        <v>271.3</v>
      </c>
      <c r="F3326" s="2">
        <f>IFERROR(__xludf.DUMMYFUNCTION("""COMPUTED_VALUE"""),1.11673737E8)</f>
        <v>111673737</v>
      </c>
    </row>
    <row r="3327">
      <c r="A3327" s="3">
        <f>IFERROR(__xludf.DUMMYFUNCTION("""COMPUTED_VALUE"""),45183.66666666667)</f>
        <v>45183.66667</v>
      </c>
      <c r="B3327" s="2">
        <f>IFERROR(__xludf.DUMMYFUNCTION("""COMPUTED_VALUE"""),271.32)</f>
        <v>271.32</v>
      </c>
      <c r="C3327" s="2">
        <f>IFERROR(__xludf.DUMMYFUNCTION("""COMPUTED_VALUE"""),276.71)</f>
        <v>276.71</v>
      </c>
      <c r="D3327" s="2">
        <f>IFERROR(__xludf.DUMMYFUNCTION("""COMPUTED_VALUE"""),270.42)</f>
        <v>270.42</v>
      </c>
      <c r="E3327" s="2">
        <f>IFERROR(__xludf.DUMMYFUNCTION("""COMPUTED_VALUE"""),276.04)</f>
        <v>276.04</v>
      </c>
      <c r="F3327" s="2">
        <f>IFERROR(__xludf.DUMMYFUNCTION("""COMPUTED_VALUE"""),1.07709842E8)</f>
        <v>107709842</v>
      </c>
    </row>
    <row r="3328">
      <c r="A3328" s="3">
        <f>IFERROR(__xludf.DUMMYFUNCTION("""COMPUTED_VALUE"""),45184.66666666667)</f>
        <v>45184.66667</v>
      </c>
      <c r="B3328" s="2">
        <f>IFERROR(__xludf.DUMMYFUNCTION("""COMPUTED_VALUE"""),277.55)</f>
        <v>277.55</v>
      </c>
      <c r="C3328" s="2">
        <f>IFERROR(__xludf.DUMMYFUNCTION("""COMPUTED_VALUE"""),278.98)</f>
        <v>278.98</v>
      </c>
      <c r="D3328" s="2">
        <f>IFERROR(__xludf.DUMMYFUNCTION("""COMPUTED_VALUE"""),271.0)</f>
        <v>271</v>
      </c>
      <c r="E3328" s="2">
        <f>IFERROR(__xludf.DUMMYFUNCTION("""COMPUTED_VALUE"""),274.39)</f>
        <v>274.39</v>
      </c>
      <c r="F3328" s="2">
        <f>IFERROR(__xludf.DUMMYFUNCTION("""COMPUTED_VALUE"""),1.33692313E8)</f>
        <v>133692313</v>
      </c>
    </row>
    <row r="3329">
      <c r="A3329" s="3">
        <f>IFERROR(__xludf.DUMMYFUNCTION("""COMPUTED_VALUE"""),45187.66666666667)</f>
        <v>45187.66667</v>
      </c>
      <c r="B3329" s="2">
        <f>IFERROR(__xludf.DUMMYFUNCTION("""COMPUTED_VALUE"""),271.16)</f>
        <v>271.16</v>
      </c>
      <c r="C3329" s="2">
        <f>IFERROR(__xludf.DUMMYFUNCTION("""COMPUTED_VALUE"""),271.44)</f>
        <v>271.44</v>
      </c>
      <c r="D3329" s="2">
        <f>IFERROR(__xludf.DUMMYFUNCTION("""COMPUTED_VALUE"""),263.76)</f>
        <v>263.76</v>
      </c>
      <c r="E3329" s="2">
        <f>IFERROR(__xludf.DUMMYFUNCTION("""COMPUTED_VALUE"""),265.28)</f>
        <v>265.28</v>
      </c>
      <c r="F3329" s="2">
        <f>IFERROR(__xludf.DUMMYFUNCTION("""COMPUTED_VALUE"""),1.01543305E8)</f>
        <v>101543305</v>
      </c>
    </row>
    <row r="3330">
      <c r="A3330" s="3">
        <f>IFERROR(__xludf.DUMMYFUNCTION("""COMPUTED_VALUE"""),45188.66666666667)</f>
        <v>45188.66667</v>
      </c>
      <c r="B3330" s="2">
        <f>IFERROR(__xludf.DUMMYFUNCTION("""COMPUTED_VALUE"""),264.35)</f>
        <v>264.35</v>
      </c>
      <c r="C3330" s="2">
        <f>IFERROR(__xludf.DUMMYFUNCTION("""COMPUTED_VALUE"""),267.85)</f>
        <v>267.85</v>
      </c>
      <c r="D3330" s="2">
        <f>IFERROR(__xludf.DUMMYFUNCTION("""COMPUTED_VALUE"""),261.2)</f>
        <v>261.2</v>
      </c>
      <c r="E3330" s="2">
        <f>IFERROR(__xludf.DUMMYFUNCTION("""COMPUTED_VALUE"""),266.5)</f>
        <v>266.5</v>
      </c>
      <c r="F3330" s="2">
        <f>IFERROR(__xludf.DUMMYFUNCTION("""COMPUTED_VALUE"""),1.0370404E8)</f>
        <v>103704040</v>
      </c>
    </row>
    <row r="3331">
      <c r="A3331" s="3">
        <f>IFERROR(__xludf.DUMMYFUNCTION("""COMPUTED_VALUE"""),45189.66666666667)</f>
        <v>45189.66667</v>
      </c>
      <c r="B3331" s="2">
        <f>IFERROR(__xludf.DUMMYFUNCTION("""COMPUTED_VALUE"""),267.04)</f>
        <v>267.04</v>
      </c>
      <c r="C3331" s="2">
        <f>IFERROR(__xludf.DUMMYFUNCTION("""COMPUTED_VALUE"""),273.93)</f>
        <v>273.93</v>
      </c>
      <c r="D3331" s="2">
        <f>IFERROR(__xludf.DUMMYFUNCTION("""COMPUTED_VALUE"""),262.46)</f>
        <v>262.46</v>
      </c>
      <c r="E3331" s="2">
        <f>IFERROR(__xludf.DUMMYFUNCTION("""COMPUTED_VALUE"""),262.59)</f>
        <v>262.59</v>
      </c>
      <c r="F3331" s="2">
        <f>IFERROR(__xludf.DUMMYFUNCTION("""COMPUTED_VALUE"""),1.22514643E8)</f>
        <v>122514643</v>
      </c>
    </row>
    <row r="3332">
      <c r="A3332" s="3">
        <f>IFERROR(__xludf.DUMMYFUNCTION("""COMPUTED_VALUE"""),45190.66666666667)</f>
        <v>45190.66667</v>
      </c>
      <c r="B3332" s="2">
        <f>IFERROR(__xludf.DUMMYFUNCTION("""COMPUTED_VALUE"""),257.85)</f>
        <v>257.85</v>
      </c>
      <c r="C3332" s="2">
        <f>IFERROR(__xludf.DUMMYFUNCTION("""COMPUTED_VALUE"""),260.86)</f>
        <v>260.86</v>
      </c>
      <c r="D3332" s="2">
        <f>IFERROR(__xludf.DUMMYFUNCTION("""COMPUTED_VALUE"""),254.21)</f>
        <v>254.21</v>
      </c>
      <c r="E3332" s="2">
        <f>IFERROR(__xludf.DUMMYFUNCTION("""COMPUTED_VALUE"""),255.7)</f>
        <v>255.7</v>
      </c>
      <c r="F3332" s="2">
        <f>IFERROR(__xludf.DUMMYFUNCTION("""COMPUTED_VALUE"""),1.19951516E8)</f>
        <v>119951516</v>
      </c>
    </row>
    <row r="3333">
      <c r="A3333" s="3">
        <f>IFERROR(__xludf.DUMMYFUNCTION("""COMPUTED_VALUE"""),45191.66666666667)</f>
        <v>45191.66667</v>
      </c>
      <c r="B3333" s="2">
        <f>IFERROR(__xludf.DUMMYFUNCTION("""COMPUTED_VALUE"""),257.4)</f>
        <v>257.4</v>
      </c>
      <c r="C3333" s="2">
        <f>IFERROR(__xludf.DUMMYFUNCTION("""COMPUTED_VALUE"""),257.79)</f>
        <v>257.79</v>
      </c>
      <c r="D3333" s="2">
        <f>IFERROR(__xludf.DUMMYFUNCTION("""COMPUTED_VALUE"""),244.48)</f>
        <v>244.48</v>
      </c>
      <c r="E3333" s="2">
        <f>IFERROR(__xludf.DUMMYFUNCTION("""COMPUTED_VALUE"""),244.88)</f>
        <v>244.88</v>
      </c>
      <c r="F3333" s="2">
        <f>IFERROR(__xludf.DUMMYFUNCTION("""COMPUTED_VALUE"""),1.27524083E8)</f>
        <v>127524083</v>
      </c>
    </row>
    <row r="3334">
      <c r="A3334" s="3">
        <f>IFERROR(__xludf.DUMMYFUNCTION("""COMPUTED_VALUE"""),45194.66666666667)</f>
        <v>45194.66667</v>
      </c>
      <c r="B3334" s="2">
        <f>IFERROR(__xludf.DUMMYFUNCTION("""COMPUTED_VALUE"""),243.38)</f>
        <v>243.38</v>
      </c>
      <c r="C3334" s="2">
        <f>IFERROR(__xludf.DUMMYFUNCTION("""COMPUTED_VALUE"""),247.1)</f>
        <v>247.1</v>
      </c>
      <c r="D3334" s="2">
        <f>IFERROR(__xludf.DUMMYFUNCTION("""COMPUTED_VALUE"""),238.31)</f>
        <v>238.31</v>
      </c>
      <c r="E3334" s="2">
        <f>IFERROR(__xludf.DUMMYFUNCTION("""COMPUTED_VALUE"""),246.99)</f>
        <v>246.99</v>
      </c>
      <c r="F3334" s="2">
        <f>IFERROR(__xludf.DUMMYFUNCTION("""COMPUTED_VALUE"""),1.04636557E8)</f>
        <v>104636557</v>
      </c>
    </row>
    <row r="3335">
      <c r="A3335" s="3">
        <f>IFERROR(__xludf.DUMMYFUNCTION("""COMPUTED_VALUE"""),45195.66666666667)</f>
        <v>45195.66667</v>
      </c>
      <c r="B3335" s="2">
        <f>IFERROR(__xludf.DUMMYFUNCTION("""COMPUTED_VALUE"""),242.98)</f>
        <v>242.98</v>
      </c>
      <c r="C3335" s="2">
        <f>IFERROR(__xludf.DUMMYFUNCTION("""COMPUTED_VALUE"""),249.55)</f>
        <v>249.55</v>
      </c>
      <c r="D3335" s="2">
        <f>IFERROR(__xludf.DUMMYFUNCTION("""COMPUTED_VALUE"""),241.66)</f>
        <v>241.66</v>
      </c>
      <c r="E3335" s="2">
        <f>IFERROR(__xludf.DUMMYFUNCTION("""COMPUTED_VALUE"""),244.12)</f>
        <v>244.12</v>
      </c>
      <c r="F3335" s="2">
        <f>IFERROR(__xludf.DUMMYFUNCTION("""COMPUTED_VALUE"""),1.01993631E8)</f>
        <v>101993631</v>
      </c>
    </row>
    <row r="3336">
      <c r="A3336" s="3">
        <f>IFERROR(__xludf.DUMMYFUNCTION("""COMPUTED_VALUE"""),45196.66666666667)</f>
        <v>45196.66667</v>
      </c>
      <c r="B3336" s="2">
        <f>IFERROR(__xludf.DUMMYFUNCTION("""COMPUTED_VALUE"""),244.26)</f>
        <v>244.26</v>
      </c>
      <c r="C3336" s="2">
        <f>IFERROR(__xludf.DUMMYFUNCTION("""COMPUTED_VALUE"""),245.33)</f>
        <v>245.33</v>
      </c>
      <c r="D3336" s="2">
        <f>IFERROR(__xludf.DUMMYFUNCTION("""COMPUTED_VALUE"""),234.58)</f>
        <v>234.58</v>
      </c>
      <c r="E3336" s="2">
        <f>IFERROR(__xludf.DUMMYFUNCTION("""COMPUTED_VALUE"""),240.5)</f>
        <v>240.5</v>
      </c>
      <c r="F3336" s="2">
        <f>IFERROR(__xludf.DUMMYFUNCTION("""COMPUTED_VALUE"""),1.36597184E8)</f>
        <v>136597184</v>
      </c>
    </row>
    <row r="3337">
      <c r="A3337" s="3">
        <f>IFERROR(__xludf.DUMMYFUNCTION("""COMPUTED_VALUE"""),45197.66666666667)</f>
        <v>45197.66667</v>
      </c>
      <c r="B3337" s="2">
        <f>IFERROR(__xludf.DUMMYFUNCTION("""COMPUTED_VALUE"""),240.02)</f>
        <v>240.02</v>
      </c>
      <c r="C3337" s="2">
        <f>IFERROR(__xludf.DUMMYFUNCTION("""COMPUTED_VALUE"""),247.55)</f>
        <v>247.55</v>
      </c>
      <c r="D3337" s="2">
        <f>IFERROR(__xludf.DUMMYFUNCTION("""COMPUTED_VALUE"""),238.65)</f>
        <v>238.65</v>
      </c>
      <c r="E3337" s="2">
        <f>IFERROR(__xludf.DUMMYFUNCTION("""COMPUTED_VALUE"""),246.38)</f>
        <v>246.38</v>
      </c>
      <c r="F3337" s="2">
        <f>IFERROR(__xludf.DUMMYFUNCTION("""COMPUTED_VALUE"""),1.1705887E8)</f>
        <v>117058870</v>
      </c>
    </row>
    <row r="3338">
      <c r="A3338" s="3">
        <f>IFERROR(__xludf.DUMMYFUNCTION("""COMPUTED_VALUE"""),45198.66666666667)</f>
        <v>45198.66667</v>
      </c>
      <c r="B3338" s="2">
        <f>IFERROR(__xludf.DUMMYFUNCTION("""COMPUTED_VALUE"""),250.0)</f>
        <v>250</v>
      </c>
      <c r="C3338" s="2">
        <f>IFERROR(__xludf.DUMMYFUNCTION("""COMPUTED_VALUE"""),254.77)</f>
        <v>254.77</v>
      </c>
      <c r="D3338" s="2">
        <f>IFERROR(__xludf.DUMMYFUNCTION("""COMPUTED_VALUE"""),246.35)</f>
        <v>246.35</v>
      </c>
      <c r="E3338" s="2">
        <f>IFERROR(__xludf.DUMMYFUNCTION("""COMPUTED_VALUE"""),250.22)</f>
        <v>250.22</v>
      </c>
      <c r="F3338" s="2">
        <f>IFERROR(__xludf.DUMMYFUNCTION("""COMPUTED_VALUE"""),1.28522729E8)</f>
        <v>128522729</v>
      </c>
    </row>
    <row r="3339">
      <c r="A3339" s="3">
        <f>IFERROR(__xludf.DUMMYFUNCTION("""COMPUTED_VALUE"""),45201.66666666667)</f>
        <v>45201.66667</v>
      </c>
      <c r="B3339" s="2">
        <f>IFERROR(__xludf.DUMMYFUNCTION("""COMPUTED_VALUE"""),244.81)</f>
        <v>244.81</v>
      </c>
      <c r="C3339" s="2">
        <f>IFERROR(__xludf.DUMMYFUNCTION("""COMPUTED_VALUE"""),254.28)</f>
        <v>254.28</v>
      </c>
      <c r="D3339" s="2">
        <f>IFERROR(__xludf.DUMMYFUNCTION("""COMPUTED_VALUE"""),242.62)</f>
        <v>242.62</v>
      </c>
      <c r="E3339" s="2">
        <f>IFERROR(__xludf.DUMMYFUNCTION("""COMPUTED_VALUE"""),251.6)</f>
        <v>251.6</v>
      </c>
      <c r="F3339" s="2">
        <f>IFERROR(__xludf.DUMMYFUNCTION("""COMPUTED_VALUE"""),1.23810402E8)</f>
        <v>123810402</v>
      </c>
    </row>
    <row r="3340">
      <c r="A3340" s="3">
        <f>IFERROR(__xludf.DUMMYFUNCTION("""COMPUTED_VALUE"""),45202.66666666667)</f>
        <v>45202.66667</v>
      </c>
      <c r="B3340" s="2">
        <f>IFERROR(__xludf.DUMMYFUNCTION("""COMPUTED_VALUE"""),248.61)</f>
        <v>248.61</v>
      </c>
      <c r="C3340" s="2">
        <f>IFERROR(__xludf.DUMMYFUNCTION("""COMPUTED_VALUE"""),250.02)</f>
        <v>250.02</v>
      </c>
      <c r="D3340" s="2">
        <f>IFERROR(__xludf.DUMMYFUNCTION("""COMPUTED_VALUE"""),244.45)</f>
        <v>244.45</v>
      </c>
      <c r="E3340" s="2">
        <f>IFERROR(__xludf.DUMMYFUNCTION("""COMPUTED_VALUE"""),246.53)</f>
        <v>246.53</v>
      </c>
      <c r="F3340" s="2">
        <f>IFERROR(__xludf.DUMMYFUNCTION("""COMPUTED_VALUE"""),1.01985305E8)</f>
        <v>101985305</v>
      </c>
    </row>
    <row r="3341">
      <c r="A3341" s="3">
        <f>IFERROR(__xludf.DUMMYFUNCTION("""COMPUTED_VALUE"""),45203.66666666667)</f>
        <v>45203.66667</v>
      </c>
      <c r="B3341" s="2">
        <f>IFERROR(__xludf.DUMMYFUNCTION("""COMPUTED_VALUE"""),248.14)</f>
        <v>248.14</v>
      </c>
      <c r="C3341" s="2">
        <f>IFERROR(__xludf.DUMMYFUNCTION("""COMPUTED_VALUE"""),261.86)</f>
        <v>261.86</v>
      </c>
      <c r="D3341" s="2">
        <f>IFERROR(__xludf.DUMMYFUNCTION("""COMPUTED_VALUE"""),247.6)</f>
        <v>247.6</v>
      </c>
      <c r="E3341" s="2">
        <f>IFERROR(__xludf.DUMMYFUNCTION("""COMPUTED_VALUE"""),261.16)</f>
        <v>261.16</v>
      </c>
      <c r="F3341" s="2">
        <f>IFERROR(__xludf.DUMMYFUNCTION("""COMPUTED_VALUE"""),1.29721567E8)</f>
        <v>129721567</v>
      </c>
    </row>
    <row r="3342">
      <c r="A3342" s="3">
        <f>IFERROR(__xludf.DUMMYFUNCTION("""COMPUTED_VALUE"""),45204.66666666667)</f>
        <v>45204.66667</v>
      </c>
      <c r="B3342" s="2">
        <f>IFERROR(__xludf.DUMMYFUNCTION("""COMPUTED_VALUE"""),260.0)</f>
        <v>260</v>
      </c>
      <c r="C3342" s="2">
        <f>IFERROR(__xludf.DUMMYFUNCTION("""COMPUTED_VALUE"""),263.6)</f>
        <v>263.6</v>
      </c>
      <c r="D3342" s="2">
        <f>IFERROR(__xludf.DUMMYFUNCTION("""COMPUTED_VALUE"""),256.25)</f>
        <v>256.25</v>
      </c>
      <c r="E3342" s="2">
        <f>IFERROR(__xludf.DUMMYFUNCTION("""COMPUTED_VALUE"""),260.05)</f>
        <v>260.05</v>
      </c>
      <c r="F3342" s="2">
        <f>IFERROR(__xludf.DUMMYFUNCTION("""COMPUTED_VALUE"""),1.19159214E8)</f>
        <v>119159214</v>
      </c>
    </row>
    <row r="3343">
      <c r="A3343" s="3">
        <f>IFERROR(__xludf.DUMMYFUNCTION("""COMPUTED_VALUE"""),45205.66666666667)</f>
        <v>45205.66667</v>
      </c>
      <c r="B3343" s="2">
        <f>IFERROR(__xludf.DUMMYFUNCTION("""COMPUTED_VALUE"""),253.98)</f>
        <v>253.98</v>
      </c>
      <c r="C3343" s="2">
        <f>IFERROR(__xludf.DUMMYFUNCTION("""COMPUTED_VALUE"""),261.65)</f>
        <v>261.65</v>
      </c>
      <c r="D3343" s="2">
        <f>IFERROR(__xludf.DUMMYFUNCTION("""COMPUTED_VALUE"""),250.65)</f>
        <v>250.65</v>
      </c>
      <c r="E3343" s="2">
        <f>IFERROR(__xludf.DUMMYFUNCTION("""COMPUTED_VALUE"""),260.53)</f>
        <v>260.53</v>
      </c>
      <c r="F3343" s="2">
        <f>IFERROR(__xludf.DUMMYFUNCTION("""COMPUTED_VALUE"""),1.18121812E8)</f>
        <v>118121812</v>
      </c>
    </row>
    <row r="3344">
      <c r="A3344" s="3">
        <f>IFERROR(__xludf.DUMMYFUNCTION("""COMPUTED_VALUE"""),45208.66666666667)</f>
        <v>45208.66667</v>
      </c>
      <c r="B3344" s="2">
        <f>IFERROR(__xludf.DUMMYFUNCTION("""COMPUTED_VALUE"""),255.31)</f>
        <v>255.31</v>
      </c>
      <c r="C3344" s="2">
        <f>IFERROR(__xludf.DUMMYFUNCTION("""COMPUTED_VALUE"""),261.36)</f>
        <v>261.36</v>
      </c>
      <c r="D3344" s="2">
        <f>IFERROR(__xludf.DUMMYFUNCTION("""COMPUTED_VALUE"""),252.05)</f>
        <v>252.05</v>
      </c>
      <c r="E3344" s="2">
        <f>IFERROR(__xludf.DUMMYFUNCTION("""COMPUTED_VALUE"""),259.67)</f>
        <v>259.67</v>
      </c>
      <c r="F3344" s="2">
        <f>IFERROR(__xludf.DUMMYFUNCTION("""COMPUTED_VALUE"""),1.01377947E8)</f>
        <v>101377947</v>
      </c>
    </row>
    <row r="3345">
      <c r="A3345" s="3">
        <f>IFERROR(__xludf.DUMMYFUNCTION("""COMPUTED_VALUE"""),45209.66666666667)</f>
        <v>45209.66667</v>
      </c>
      <c r="B3345" s="2">
        <f>IFERROR(__xludf.DUMMYFUNCTION("""COMPUTED_VALUE"""),257.75)</f>
        <v>257.75</v>
      </c>
      <c r="C3345" s="2">
        <f>IFERROR(__xludf.DUMMYFUNCTION("""COMPUTED_VALUE"""),268.94)</f>
        <v>268.94</v>
      </c>
      <c r="D3345" s="2">
        <f>IFERROR(__xludf.DUMMYFUNCTION("""COMPUTED_VALUE"""),257.65)</f>
        <v>257.65</v>
      </c>
      <c r="E3345" s="2">
        <f>IFERROR(__xludf.DUMMYFUNCTION("""COMPUTED_VALUE"""),263.62)</f>
        <v>263.62</v>
      </c>
      <c r="F3345" s="2">
        <f>IFERROR(__xludf.DUMMYFUNCTION("""COMPUTED_VALUE"""),1.2265603E8)</f>
        <v>122656030</v>
      </c>
    </row>
    <row r="3346">
      <c r="A3346" s="3">
        <f>IFERROR(__xludf.DUMMYFUNCTION("""COMPUTED_VALUE"""),45210.66666666667)</f>
        <v>45210.66667</v>
      </c>
      <c r="B3346" s="2">
        <f>IFERROR(__xludf.DUMMYFUNCTION("""COMPUTED_VALUE"""),266.2)</f>
        <v>266.2</v>
      </c>
      <c r="C3346" s="2">
        <f>IFERROR(__xludf.DUMMYFUNCTION("""COMPUTED_VALUE"""),268.6)</f>
        <v>268.6</v>
      </c>
      <c r="D3346" s="2">
        <f>IFERROR(__xludf.DUMMYFUNCTION("""COMPUTED_VALUE"""),260.9)</f>
        <v>260.9</v>
      </c>
      <c r="E3346" s="2">
        <f>IFERROR(__xludf.DUMMYFUNCTION("""COMPUTED_VALUE"""),262.99)</f>
        <v>262.99</v>
      </c>
      <c r="F3346" s="2">
        <f>IFERROR(__xludf.DUMMYFUNCTION("""COMPUTED_VALUE"""),1.03706266E8)</f>
        <v>103706266</v>
      </c>
    </row>
    <row r="3347">
      <c r="A3347" s="3">
        <f>IFERROR(__xludf.DUMMYFUNCTION("""COMPUTED_VALUE"""),45211.66666666667)</f>
        <v>45211.66667</v>
      </c>
      <c r="B3347" s="2">
        <f>IFERROR(__xludf.DUMMYFUNCTION("""COMPUTED_VALUE"""),262.92)</f>
        <v>262.92</v>
      </c>
      <c r="C3347" s="2">
        <f>IFERROR(__xludf.DUMMYFUNCTION("""COMPUTED_VALUE"""),265.41)</f>
        <v>265.41</v>
      </c>
      <c r="D3347" s="2">
        <f>IFERROR(__xludf.DUMMYFUNCTION("""COMPUTED_VALUE"""),256.63)</f>
        <v>256.63</v>
      </c>
      <c r="E3347" s="2">
        <f>IFERROR(__xludf.DUMMYFUNCTION("""COMPUTED_VALUE"""),258.87)</f>
        <v>258.87</v>
      </c>
      <c r="F3347" s="2">
        <f>IFERROR(__xludf.DUMMYFUNCTION("""COMPUTED_VALUE"""),1.11508114E8)</f>
        <v>111508114</v>
      </c>
    </row>
    <row r="3348">
      <c r="A3348" s="3">
        <f>IFERROR(__xludf.DUMMYFUNCTION("""COMPUTED_VALUE"""),45212.66666666667)</f>
        <v>45212.66667</v>
      </c>
      <c r="B3348" s="2">
        <f>IFERROR(__xludf.DUMMYFUNCTION("""COMPUTED_VALUE"""),258.9)</f>
        <v>258.9</v>
      </c>
      <c r="C3348" s="2">
        <f>IFERROR(__xludf.DUMMYFUNCTION("""COMPUTED_VALUE"""),259.6)</f>
        <v>259.6</v>
      </c>
      <c r="D3348" s="2">
        <f>IFERROR(__xludf.DUMMYFUNCTION("""COMPUTED_VALUE"""),250.22)</f>
        <v>250.22</v>
      </c>
      <c r="E3348" s="2">
        <f>IFERROR(__xludf.DUMMYFUNCTION("""COMPUTED_VALUE"""),251.12)</f>
        <v>251.12</v>
      </c>
      <c r="F3348" s="2">
        <f>IFERROR(__xludf.DUMMYFUNCTION("""COMPUTED_VALUE"""),1.02296786E8)</f>
        <v>102296786</v>
      </c>
    </row>
    <row r="3349">
      <c r="A3349" s="3">
        <f>IFERROR(__xludf.DUMMYFUNCTION("""COMPUTED_VALUE"""),45215.66666666667)</f>
        <v>45215.66667</v>
      </c>
      <c r="B3349" s="2">
        <f>IFERROR(__xludf.DUMMYFUNCTION("""COMPUTED_VALUE"""),250.05)</f>
        <v>250.05</v>
      </c>
      <c r="C3349" s="2">
        <f>IFERROR(__xludf.DUMMYFUNCTION("""COMPUTED_VALUE"""),255.4)</f>
        <v>255.4</v>
      </c>
      <c r="D3349" s="2">
        <f>IFERROR(__xludf.DUMMYFUNCTION("""COMPUTED_VALUE"""),248.48)</f>
        <v>248.48</v>
      </c>
      <c r="E3349" s="2">
        <f>IFERROR(__xludf.DUMMYFUNCTION("""COMPUTED_VALUE"""),253.92)</f>
        <v>253.92</v>
      </c>
      <c r="F3349" s="2">
        <f>IFERROR(__xludf.DUMMYFUNCTION("""COMPUTED_VALUE"""),8.8917176E7)</f>
        <v>88917176</v>
      </c>
    </row>
    <row r="3350">
      <c r="A3350" s="3">
        <f>IFERROR(__xludf.DUMMYFUNCTION("""COMPUTED_VALUE"""),45216.66666666667)</f>
        <v>45216.66667</v>
      </c>
      <c r="B3350" s="2">
        <f>IFERROR(__xludf.DUMMYFUNCTION("""COMPUTED_VALUE"""),250.1)</f>
        <v>250.1</v>
      </c>
      <c r="C3350" s="2">
        <f>IFERROR(__xludf.DUMMYFUNCTION("""COMPUTED_VALUE"""),257.18)</f>
        <v>257.18</v>
      </c>
      <c r="D3350" s="2">
        <f>IFERROR(__xludf.DUMMYFUNCTION("""COMPUTED_VALUE"""),247.08)</f>
        <v>247.08</v>
      </c>
      <c r="E3350" s="2">
        <f>IFERROR(__xludf.DUMMYFUNCTION("""COMPUTED_VALUE"""),254.85)</f>
        <v>254.85</v>
      </c>
      <c r="F3350" s="2">
        <f>IFERROR(__xludf.DUMMYFUNCTION("""COMPUTED_VALUE"""),9.3562909E7)</f>
        <v>93562909</v>
      </c>
    </row>
    <row r="3351">
      <c r="A3351" s="3">
        <f>IFERROR(__xludf.DUMMYFUNCTION("""COMPUTED_VALUE"""),45217.66666666667)</f>
        <v>45217.66667</v>
      </c>
      <c r="B3351" s="2">
        <f>IFERROR(__xludf.DUMMYFUNCTION("""COMPUTED_VALUE"""),252.7)</f>
        <v>252.7</v>
      </c>
      <c r="C3351" s="2">
        <f>IFERROR(__xludf.DUMMYFUNCTION("""COMPUTED_VALUE"""),254.63)</f>
        <v>254.63</v>
      </c>
      <c r="D3351" s="2">
        <f>IFERROR(__xludf.DUMMYFUNCTION("""COMPUTED_VALUE"""),242.08)</f>
        <v>242.08</v>
      </c>
      <c r="E3351" s="2">
        <f>IFERROR(__xludf.DUMMYFUNCTION("""COMPUTED_VALUE"""),242.68)</f>
        <v>242.68</v>
      </c>
      <c r="F3351" s="2">
        <f>IFERROR(__xludf.DUMMYFUNCTION("""COMPUTED_VALUE"""),1.25147846E8)</f>
        <v>125147846</v>
      </c>
    </row>
    <row r="3352">
      <c r="A3352" s="3">
        <f>IFERROR(__xludf.DUMMYFUNCTION("""COMPUTED_VALUE"""),45218.66666666667)</f>
        <v>45218.66667</v>
      </c>
      <c r="B3352" s="2">
        <f>IFERROR(__xludf.DUMMYFUNCTION("""COMPUTED_VALUE"""),225.95)</f>
        <v>225.95</v>
      </c>
      <c r="C3352" s="2">
        <f>IFERROR(__xludf.DUMMYFUNCTION("""COMPUTED_VALUE"""),230.61)</f>
        <v>230.61</v>
      </c>
      <c r="D3352" s="2">
        <f>IFERROR(__xludf.DUMMYFUNCTION("""COMPUTED_VALUE"""),216.78)</f>
        <v>216.78</v>
      </c>
      <c r="E3352" s="2">
        <f>IFERROR(__xludf.DUMMYFUNCTION("""COMPUTED_VALUE"""),220.11)</f>
        <v>220.11</v>
      </c>
      <c r="F3352" s="2">
        <f>IFERROR(__xludf.DUMMYFUNCTION("""COMPUTED_VALUE"""),1.70772713E8)</f>
        <v>170772713</v>
      </c>
    </row>
    <row r="3353">
      <c r="A3353" s="3">
        <f>IFERROR(__xludf.DUMMYFUNCTION("""COMPUTED_VALUE"""),45219.66666666667)</f>
        <v>45219.66667</v>
      </c>
      <c r="B3353" s="2">
        <f>IFERROR(__xludf.DUMMYFUNCTION("""COMPUTED_VALUE"""),217.01)</f>
        <v>217.01</v>
      </c>
      <c r="C3353" s="2">
        <f>IFERROR(__xludf.DUMMYFUNCTION("""COMPUTED_VALUE"""),218.86)</f>
        <v>218.86</v>
      </c>
      <c r="D3353" s="2">
        <f>IFERROR(__xludf.DUMMYFUNCTION("""COMPUTED_VALUE"""),210.42)</f>
        <v>210.42</v>
      </c>
      <c r="E3353" s="2">
        <f>IFERROR(__xludf.DUMMYFUNCTION("""COMPUTED_VALUE"""),211.99)</f>
        <v>211.99</v>
      </c>
      <c r="F3353" s="2">
        <f>IFERROR(__xludf.DUMMYFUNCTION("""COMPUTED_VALUE"""),1.38010095E8)</f>
        <v>138010095</v>
      </c>
    </row>
    <row r="3354">
      <c r="A3354" s="3">
        <f>IFERROR(__xludf.DUMMYFUNCTION("""COMPUTED_VALUE"""),45222.66666666667)</f>
        <v>45222.66667</v>
      </c>
      <c r="B3354" s="2">
        <f>IFERROR(__xludf.DUMMYFUNCTION("""COMPUTED_VALUE"""),210.0)</f>
        <v>210</v>
      </c>
      <c r="C3354" s="2">
        <f>IFERROR(__xludf.DUMMYFUNCTION("""COMPUTED_VALUE"""),216.98)</f>
        <v>216.98</v>
      </c>
      <c r="D3354" s="2">
        <f>IFERROR(__xludf.DUMMYFUNCTION("""COMPUTED_VALUE"""),202.51)</f>
        <v>202.51</v>
      </c>
      <c r="E3354" s="2">
        <f>IFERROR(__xludf.DUMMYFUNCTION("""COMPUTED_VALUE"""),212.08)</f>
        <v>212.08</v>
      </c>
      <c r="F3354" s="2">
        <f>IFERROR(__xludf.DUMMYFUNCTION("""COMPUTED_VALUE"""),1.50683368E8)</f>
        <v>150683368</v>
      </c>
    </row>
    <row r="3355">
      <c r="A3355" s="3">
        <f>IFERROR(__xludf.DUMMYFUNCTION("""COMPUTED_VALUE"""),45223.66666666667)</f>
        <v>45223.66667</v>
      </c>
      <c r="B3355" s="2">
        <f>IFERROR(__xludf.DUMMYFUNCTION("""COMPUTED_VALUE"""),216.5)</f>
        <v>216.5</v>
      </c>
      <c r="C3355" s="2">
        <f>IFERROR(__xludf.DUMMYFUNCTION("""COMPUTED_VALUE"""),222.05)</f>
        <v>222.05</v>
      </c>
      <c r="D3355" s="2">
        <f>IFERROR(__xludf.DUMMYFUNCTION("""COMPUTED_VALUE"""),214.11)</f>
        <v>214.11</v>
      </c>
      <c r="E3355" s="2">
        <f>IFERROR(__xludf.DUMMYFUNCTION("""COMPUTED_VALUE"""),216.52)</f>
        <v>216.52</v>
      </c>
      <c r="F3355" s="2">
        <f>IFERROR(__xludf.DUMMYFUNCTION("""COMPUTED_VALUE"""),1.18231113E8)</f>
        <v>118231113</v>
      </c>
    </row>
    <row r="3356">
      <c r="A3356" s="3">
        <f>IFERROR(__xludf.DUMMYFUNCTION("""COMPUTED_VALUE"""),45224.66666666667)</f>
        <v>45224.66667</v>
      </c>
      <c r="B3356" s="2">
        <f>IFERROR(__xludf.DUMMYFUNCTION("""COMPUTED_VALUE"""),215.88)</f>
        <v>215.88</v>
      </c>
      <c r="C3356" s="2">
        <f>IFERROR(__xludf.DUMMYFUNCTION("""COMPUTED_VALUE"""),220.1)</f>
        <v>220.1</v>
      </c>
      <c r="D3356" s="2">
        <f>IFERROR(__xludf.DUMMYFUNCTION("""COMPUTED_VALUE"""),212.2)</f>
        <v>212.2</v>
      </c>
      <c r="E3356" s="2">
        <f>IFERROR(__xludf.DUMMYFUNCTION("""COMPUTED_VALUE"""),212.42)</f>
        <v>212.42</v>
      </c>
      <c r="F3356" s="2">
        <f>IFERROR(__xludf.DUMMYFUNCTION("""COMPUTED_VALUE"""),1.07065087E8)</f>
        <v>107065087</v>
      </c>
    </row>
    <row r="3357">
      <c r="A3357" s="3">
        <f>IFERROR(__xludf.DUMMYFUNCTION("""COMPUTED_VALUE"""),45225.66666666667)</f>
        <v>45225.66667</v>
      </c>
      <c r="B3357" s="2">
        <f>IFERROR(__xludf.DUMMYFUNCTION("""COMPUTED_VALUE"""),211.32)</f>
        <v>211.32</v>
      </c>
      <c r="C3357" s="2">
        <f>IFERROR(__xludf.DUMMYFUNCTION("""COMPUTED_VALUE"""),214.8)</f>
        <v>214.8</v>
      </c>
      <c r="D3357" s="2">
        <f>IFERROR(__xludf.DUMMYFUNCTION("""COMPUTED_VALUE"""),204.88)</f>
        <v>204.88</v>
      </c>
      <c r="E3357" s="2">
        <f>IFERROR(__xludf.DUMMYFUNCTION("""COMPUTED_VALUE"""),205.76)</f>
        <v>205.76</v>
      </c>
      <c r="F3357" s="2">
        <f>IFERROR(__xludf.DUMMYFUNCTION("""COMPUTED_VALUE"""),1.15112635E8)</f>
        <v>115112635</v>
      </c>
    </row>
    <row r="3358">
      <c r="A3358" s="3">
        <f>IFERROR(__xludf.DUMMYFUNCTION("""COMPUTED_VALUE"""),45226.66666666667)</f>
        <v>45226.66667</v>
      </c>
      <c r="B3358" s="2">
        <f>IFERROR(__xludf.DUMMYFUNCTION("""COMPUTED_VALUE"""),210.6)</f>
        <v>210.6</v>
      </c>
      <c r="C3358" s="2">
        <f>IFERROR(__xludf.DUMMYFUNCTION("""COMPUTED_VALUE"""),212.41)</f>
        <v>212.41</v>
      </c>
      <c r="D3358" s="2">
        <f>IFERROR(__xludf.DUMMYFUNCTION("""COMPUTED_VALUE"""),205.77)</f>
        <v>205.77</v>
      </c>
      <c r="E3358" s="2">
        <f>IFERROR(__xludf.DUMMYFUNCTION("""COMPUTED_VALUE"""),207.3)</f>
        <v>207.3</v>
      </c>
      <c r="F3358" s="2">
        <f>IFERROR(__xludf.DUMMYFUNCTION("""COMPUTED_VALUE"""),9.4881173E7)</f>
        <v>94881173</v>
      </c>
    </row>
    <row r="3359">
      <c r="A3359" s="3">
        <f>IFERROR(__xludf.DUMMYFUNCTION("""COMPUTED_VALUE"""),45229.66666666667)</f>
        <v>45229.66667</v>
      </c>
      <c r="B3359" s="2">
        <f>IFERROR(__xludf.DUMMYFUNCTION("""COMPUTED_VALUE"""),209.28)</f>
        <v>209.28</v>
      </c>
      <c r="C3359" s="2">
        <f>IFERROR(__xludf.DUMMYFUNCTION("""COMPUTED_VALUE"""),210.88)</f>
        <v>210.88</v>
      </c>
      <c r="D3359" s="2">
        <f>IFERROR(__xludf.DUMMYFUNCTION("""COMPUTED_VALUE"""),194.67)</f>
        <v>194.67</v>
      </c>
      <c r="E3359" s="2">
        <f>IFERROR(__xludf.DUMMYFUNCTION("""COMPUTED_VALUE"""),197.36)</f>
        <v>197.36</v>
      </c>
      <c r="F3359" s="2">
        <f>IFERROR(__xludf.DUMMYFUNCTION("""COMPUTED_VALUE"""),1.36448167E8)</f>
        <v>136448167</v>
      </c>
    </row>
    <row r="3360">
      <c r="A3360" s="3">
        <f>IFERROR(__xludf.DUMMYFUNCTION("""COMPUTED_VALUE"""),45230.66666666667)</f>
        <v>45230.66667</v>
      </c>
      <c r="B3360" s="2">
        <f>IFERROR(__xludf.DUMMYFUNCTION("""COMPUTED_VALUE"""),196.12)</f>
        <v>196.12</v>
      </c>
      <c r="C3360" s="2">
        <f>IFERROR(__xludf.DUMMYFUNCTION("""COMPUTED_VALUE"""),202.8)</f>
        <v>202.8</v>
      </c>
      <c r="D3360" s="2">
        <f>IFERROR(__xludf.DUMMYFUNCTION("""COMPUTED_VALUE"""),194.07)</f>
        <v>194.07</v>
      </c>
      <c r="E3360" s="2">
        <f>IFERROR(__xludf.DUMMYFUNCTION("""COMPUTED_VALUE"""),200.84)</f>
        <v>200.84</v>
      </c>
      <c r="F3360" s="2">
        <f>IFERROR(__xludf.DUMMYFUNCTION("""COMPUTED_VALUE"""),1.18068273E8)</f>
        <v>118068273</v>
      </c>
    </row>
    <row r="3361">
      <c r="A3361" s="3">
        <f>IFERROR(__xludf.DUMMYFUNCTION("""COMPUTED_VALUE"""),45231.66666666667)</f>
        <v>45231.66667</v>
      </c>
      <c r="B3361" s="2">
        <f>IFERROR(__xludf.DUMMYFUNCTION("""COMPUTED_VALUE"""),204.04)</f>
        <v>204.04</v>
      </c>
      <c r="C3361" s="2">
        <f>IFERROR(__xludf.DUMMYFUNCTION("""COMPUTED_VALUE"""),205.99)</f>
        <v>205.99</v>
      </c>
      <c r="D3361" s="2">
        <f>IFERROR(__xludf.DUMMYFUNCTION("""COMPUTED_VALUE"""),197.85)</f>
        <v>197.85</v>
      </c>
      <c r="E3361" s="2">
        <f>IFERROR(__xludf.DUMMYFUNCTION("""COMPUTED_VALUE"""),205.66)</f>
        <v>205.66</v>
      </c>
      <c r="F3361" s="2">
        <f>IFERROR(__xludf.DUMMYFUNCTION("""COMPUTED_VALUE"""),1.21661656E8)</f>
        <v>121661656</v>
      </c>
    </row>
    <row r="3362">
      <c r="A3362" s="3">
        <f>IFERROR(__xludf.DUMMYFUNCTION("""COMPUTED_VALUE"""),45232.66666666667)</f>
        <v>45232.66667</v>
      </c>
      <c r="B3362" s="2">
        <f>IFERROR(__xludf.DUMMYFUNCTION("""COMPUTED_VALUE"""),212.97)</f>
        <v>212.97</v>
      </c>
      <c r="C3362" s="2">
        <f>IFERROR(__xludf.DUMMYFUNCTION("""COMPUTED_VALUE"""),219.2)</f>
        <v>219.2</v>
      </c>
      <c r="D3362" s="2">
        <f>IFERROR(__xludf.DUMMYFUNCTION("""COMPUTED_VALUE"""),211.45)</f>
        <v>211.45</v>
      </c>
      <c r="E3362" s="2">
        <f>IFERROR(__xludf.DUMMYFUNCTION("""COMPUTED_VALUE"""),218.51)</f>
        <v>218.51</v>
      </c>
      <c r="F3362" s="2">
        <f>IFERROR(__xludf.DUMMYFUNCTION("""COMPUTED_VALUE"""),1.25987621E8)</f>
        <v>125987621</v>
      </c>
    </row>
    <row r="3363">
      <c r="A3363" s="3">
        <f>IFERROR(__xludf.DUMMYFUNCTION("""COMPUTED_VALUE"""),45233.66666666667)</f>
        <v>45233.66667</v>
      </c>
      <c r="B3363" s="2">
        <f>IFERROR(__xludf.DUMMYFUNCTION("""COMPUTED_VALUE"""),221.15)</f>
        <v>221.15</v>
      </c>
      <c r="C3363" s="2">
        <f>IFERROR(__xludf.DUMMYFUNCTION("""COMPUTED_VALUE"""),226.37)</f>
        <v>226.37</v>
      </c>
      <c r="D3363" s="2">
        <f>IFERROR(__xludf.DUMMYFUNCTION("""COMPUTED_VALUE"""),218.4)</f>
        <v>218.4</v>
      </c>
      <c r="E3363" s="2">
        <f>IFERROR(__xludf.DUMMYFUNCTION("""COMPUTED_VALUE"""),219.96)</f>
        <v>219.96</v>
      </c>
      <c r="F3363" s="2">
        <f>IFERROR(__xludf.DUMMYFUNCTION("""COMPUTED_VALUE"""),1.1953479E8)</f>
        <v>119534790</v>
      </c>
    </row>
    <row r="3364">
      <c r="A3364" s="3">
        <f>IFERROR(__xludf.DUMMYFUNCTION("""COMPUTED_VALUE"""),45236.66666666667)</f>
        <v>45236.66667</v>
      </c>
      <c r="B3364" s="2">
        <f>IFERROR(__xludf.DUMMYFUNCTION("""COMPUTED_VALUE"""),223.98)</f>
        <v>223.98</v>
      </c>
      <c r="C3364" s="2">
        <f>IFERROR(__xludf.DUMMYFUNCTION("""COMPUTED_VALUE"""),226.32)</f>
        <v>226.32</v>
      </c>
      <c r="D3364" s="2">
        <f>IFERROR(__xludf.DUMMYFUNCTION("""COMPUTED_VALUE"""),215.0)</f>
        <v>215</v>
      </c>
      <c r="E3364" s="2">
        <f>IFERROR(__xludf.DUMMYFUNCTION("""COMPUTED_VALUE"""),219.27)</f>
        <v>219.27</v>
      </c>
      <c r="F3364" s="2">
        <f>IFERROR(__xludf.DUMMYFUNCTION("""COMPUTED_VALUE"""),1.1733582E8)</f>
        <v>117335820</v>
      </c>
    </row>
    <row r="3365">
      <c r="A3365" s="3">
        <f>IFERROR(__xludf.DUMMYFUNCTION("""COMPUTED_VALUE"""),45237.66666666667)</f>
        <v>45237.66667</v>
      </c>
      <c r="B3365" s="2">
        <f>IFERROR(__xludf.DUMMYFUNCTION("""COMPUTED_VALUE"""),219.98)</f>
        <v>219.98</v>
      </c>
      <c r="C3365" s="2">
        <f>IFERROR(__xludf.DUMMYFUNCTION("""COMPUTED_VALUE"""),223.12)</f>
        <v>223.12</v>
      </c>
      <c r="D3365" s="2">
        <f>IFERROR(__xludf.DUMMYFUNCTION("""COMPUTED_VALUE"""),215.72)</f>
        <v>215.72</v>
      </c>
      <c r="E3365" s="2">
        <f>IFERROR(__xludf.DUMMYFUNCTION("""COMPUTED_VALUE"""),222.18)</f>
        <v>222.18</v>
      </c>
      <c r="F3365" s="2">
        <f>IFERROR(__xludf.DUMMYFUNCTION("""COMPUTED_VALUE"""),1.1690013E8)</f>
        <v>116900130</v>
      </c>
    </row>
    <row r="3366">
      <c r="A3366" s="3">
        <f>IFERROR(__xludf.DUMMYFUNCTION("""COMPUTED_VALUE"""),45238.66666666667)</f>
        <v>45238.66667</v>
      </c>
      <c r="B3366" s="2">
        <f>IFERROR(__xludf.DUMMYFUNCTION("""COMPUTED_VALUE"""),223.15)</f>
        <v>223.15</v>
      </c>
      <c r="C3366" s="2">
        <f>IFERROR(__xludf.DUMMYFUNCTION("""COMPUTED_VALUE"""),224.15)</f>
        <v>224.15</v>
      </c>
      <c r="D3366" s="2">
        <f>IFERROR(__xludf.DUMMYFUNCTION("""COMPUTED_VALUE"""),217.64)</f>
        <v>217.64</v>
      </c>
      <c r="E3366" s="2">
        <f>IFERROR(__xludf.DUMMYFUNCTION("""COMPUTED_VALUE"""),222.11)</f>
        <v>222.11</v>
      </c>
      <c r="F3366" s="2">
        <f>IFERROR(__xludf.DUMMYFUNCTION("""COMPUTED_VALUE"""),1.06584841E8)</f>
        <v>106584841</v>
      </c>
    </row>
    <row r="3367">
      <c r="A3367" s="3">
        <f>IFERROR(__xludf.DUMMYFUNCTION("""COMPUTED_VALUE"""),45239.66666666667)</f>
        <v>45239.66667</v>
      </c>
      <c r="B3367" s="2">
        <f>IFERROR(__xludf.DUMMYFUNCTION("""COMPUTED_VALUE"""),219.75)</f>
        <v>219.75</v>
      </c>
      <c r="C3367" s="2">
        <f>IFERROR(__xludf.DUMMYFUNCTION("""COMPUTED_VALUE"""),220.8)</f>
        <v>220.8</v>
      </c>
      <c r="D3367" s="2">
        <f>IFERROR(__xludf.DUMMYFUNCTION("""COMPUTED_VALUE"""),206.68)</f>
        <v>206.68</v>
      </c>
      <c r="E3367" s="2">
        <f>IFERROR(__xludf.DUMMYFUNCTION("""COMPUTED_VALUE"""),209.98)</f>
        <v>209.98</v>
      </c>
      <c r="F3367" s="2">
        <f>IFERROR(__xludf.DUMMYFUNCTION("""COMPUTED_VALUE"""),1.42110454E8)</f>
        <v>142110454</v>
      </c>
    </row>
    <row r="3368">
      <c r="A3368" s="3">
        <f>IFERROR(__xludf.DUMMYFUNCTION("""COMPUTED_VALUE"""),45240.66666666667)</f>
        <v>45240.66667</v>
      </c>
      <c r="B3368" s="2">
        <f>IFERROR(__xludf.DUMMYFUNCTION("""COMPUTED_VALUE"""),210.03)</f>
        <v>210.03</v>
      </c>
      <c r="C3368" s="2">
        <f>IFERROR(__xludf.DUMMYFUNCTION("""COMPUTED_VALUE"""),215.38)</f>
        <v>215.38</v>
      </c>
      <c r="D3368" s="2">
        <f>IFERROR(__xludf.DUMMYFUNCTION("""COMPUTED_VALUE"""),205.69)</f>
        <v>205.69</v>
      </c>
      <c r="E3368" s="2">
        <f>IFERROR(__xludf.DUMMYFUNCTION("""COMPUTED_VALUE"""),214.65)</f>
        <v>214.65</v>
      </c>
      <c r="F3368" s="2">
        <f>IFERROR(__xludf.DUMMYFUNCTION("""COMPUTED_VALUE"""),1.31310128E8)</f>
        <v>131310128</v>
      </c>
    </row>
    <row r="3369">
      <c r="A3369" s="3">
        <f>IFERROR(__xludf.DUMMYFUNCTION("""COMPUTED_VALUE"""),45243.66666666667)</f>
        <v>45243.66667</v>
      </c>
      <c r="B3369" s="2">
        <f>IFERROR(__xludf.DUMMYFUNCTION("""COMPUTED_VALUE"""),215.6)</f>
        <v>215.6</v>
      </c>
      <c r="C3369" s="2">
        <f>IFERROR(__xludf.DUMMYFUNCTION("""COMPUTED_VALUE"""),225.4)</f>
        <v>225.4</v>
      </c>
      <c r="D3369" s="2">
        <f>IFERROR(__xludf.DUMMYFUNCTION("""COMPUTED_VALUE"""),211.61)</f>
        <v>211.61</v>
      </c>
      <c r="E3369" s="2">
        <f>IFERROR(__xludf.DUMMYFUNCTION("""COMPUTED_VALUE"""),223.71)</f>
        <v>223.71</v>
      </c>
      <c r="F3369" s="2">
        <f>IFERROR(__xludf.DUMMYFUNCTION("""COMPUTED_VALUE"""),1.40447569E8)</f>
        <v>140447569</v>
      </c>
    </row>
    <row r="3370">
      <c r="A3370" s="3">
        <f>IFERROR(__xludf.DUMMYFUNCTION("""COMPUTED_VALUE"""),45244.66666666667)</f>
        <v>45244.66667</v>
      </c>
      <c r="B3370" s="2">
        <f>IFERROR(__xludf.DUMMYFUNCTION("""COMPUTED_VALUE"""),235.03)</f>
        <v>235.03</v>
      </c>
      <c r="C3370" s="2">
        <f>IFERROR(__xludf.DUMMYFUNCTION("""COMPUTED_VALUE"""),238.14)</f>
        <v>238.14</v>
      </c>
      <c r="D3370" s="2">
        <f>IFERROR(__xludf.DUMMYFUNCTION("""COMPUTED_VALUE"""),230.72)</f>
        <v>230.72</v>
      </c>
      <c r="E3370" s="2">
        <f>IFERROR(__xludf.DUMMYFUNCTION("""COMPUTED_VALUE"""),237.41)</f>
        <v>237.41</v>
      </c>
      <c r="F3370" s="2">
        <f>IFERROR(__xludf.DUMMYFUNCTION("""COMPUTED_VALUE"""),1.49771642E8)</f>
        <v>149771642</v>
      </c>
    </row>
    <row r="3371">
      <c r="A3371" s="3">
        <f>IFERROR(__xludf.DUMMYFUNCTION("""COMPUTED_VALUE"""),45245.66666666667)</f>
        <v>45245.66667</v>
      </c>
      <c r="B3371" s="2">
        <f>IFERROR(__xludf.DUMMYFUNCTION("""COMPUTED_VALUE"""),239.29)</f>
        <v>239.29</v>
      </c>
      <c r="C3371" s="2">
        <f>IFERROR(__xludf.DUMMYFUNCTION("""COMPUTED_VALUE"""),246.7)</f>
        <v>246.7</v>
      </c>
      <c r="D3371" s="2">
        <f>IFERROR(__xludf.DUMMYFUNCTION("""COMPUTED_VALUE"""),236.45)</f>
        <v>236.45</v>
      </c>
      <c r="E3371" s="2">
        <f>IFERROR(__xludf.DUMMYFUNCTION("""COMPUTED_VALUE"""),242.84)</f>
        <v>242.84</v>
      </c>
      <c r="F3371" s="2">
        <f>IFERROR(__xludf.DUMMYFUNCTION("""COMPUTED_VALUE"""),1.50353975E8)</f>
        <v>150353975</v>
      </c>
    </row>
    <row r="3372">
      <c r="A3372" s="3">
        <f>IFERROR(__xludf.DUMMYFUNCTION("""COMPUTED_VALUE"""),45246.66666666667)</f>
        <v>45246.66667</v>
      </c>
      <c r="B3372" s="2">
        <f>IFERROR(__xludf.DUMMYFUNCTION("""COMPUTED_VALUE"""),239.49)</f>
        <v>239.49</v>
      </c>
      <c r="C3372" s="2">
        <f>IFERROR(__xludf.DUMMYFUNCTION("""COMPUTED_VALUE"""),240.88)</f>
        <v>240.88</v>
      </c>
      <c r="D3372" s="2">
        <f>IFERROR(__xludf.DUMMYFUNCTION("""COMPUTED_VALUE"""),230.96)</f>
        <v>230.96</v>
      </c>
      <c r="E3372" s="2">
        <f>IFERROR(__xludf.DUMMYFUNCTION("""COMPUTED_VALUE"""),233.59)</f>
        <v>233.59</v>
      </c>
      <c r="F3372" s="2">
        <f>IFERROR(__xludf.DUMMYFUNCTION("""COMPUTED_VALUE"""),1.36816819E8)</f>
        <v>136816819</v>
      </c>
    </row>
    <row r="3373">
      <c r="A3373" s="3">
        <f>IFERROR(__xludf.DUMMYFUNCTION("""COMPUTED_VALUE"""),45247.66666666667)</f>
        <v>45247.66667</v>
      </c>
      <c r="B3373" s="2">
        <f>IFERROR(__xludf.DUMMYFUNCTION("""COMPUTED_VALUE"""),232.0)</f>
        <v>232</v>
      </c>
      <c r="C3373" s="2">
        <f>IFERROR(__xludf.DUMMYFUNCTION("""COMPUTED_VALUE"""),237.39)</f>
        <v>237.39</v>
      </c>
      <c r="D3373" s="2">
        <f>IFERROR(__xludf.DUMMYFUNCTION("""COMPUTED_VALUE"""),226.54)</f>
        <v>226.54</v>
      </c>
      <c r="E3373" s="2">
        <f>IFERROR(__xludf.DUMMYFUNCTION("""COMPUTED_VALUE"""),234.3)</f>
        <v>234.3</v>
      </c>
      <c r="F3373" s="2">
        <f>IFERROR(__xludf.DUMMYFUNCTION("""COMPUTED_VALUE"""),1.42766234E8)</f>
        <v>142766234</v>
      </c>
    </row>
    <row r="3374">
      <c r="A3374" s="3">
        <f>IFERROR(__xludf.DUMMYFUNCTION("""COMPUTED_VALUE"""),45250.66666666667)</f>
        <v>45250.66667</v>
      </c>
      <c r="B3374" s="2">
        <f>IFERROR(__xludf.DUMMYFUNCTION("""COMPUTED_VALUE"""),234.04)</f>
        <v>234.04</v>
      </c>
      <c r="C3374" s="2">
        <f>IFERROR(__xludf.DUMMYFUNCTION("""COMPUTED_VALUE"""),237.1)</f>
        <v>237.1</v>
      </c>
      <c r="D3374" s="2">
        <f>IFERROR(__xludf.DUMMYFUNCTION("""COMPUTED_VALUE"""),231.02)</f>
        <v>231.02</v>
      </c>
      <c r="E3374" s="2">
        <f>IFERROR(__xludf.DUMMYFUNCTION("""COMPUTED_VALUE"""),235.6)</f>
        <v>235.6</v>
      </c>
      <c r="F3374" s="2">
        <f>IFERROR(__xludf.DUMMYFUNCTION("""COMPUTED_VALUE"""),1.16562402E8)</f>
        <v>116562402</v>
      </c>
    </row>
    <row r="3375">
      <c r="A3375" s="3">
        <f>IFERROR(__xludf.DUMMYFUNCTION("""COMPUTED_VALUE"""),45251.66666666667)</f>
        <v>45251.66667</v>
      </c>
      <c r="B3375" s="2">
        <f>IFERROR(__xludf.DUMMYFUNCTION("""COMPUTED_VALUE"""),235.04)</f>
        <v>235.04</v>
      </c>
      <c r="C3375" s="2">
        <f>IFERROR(__xludf.DUMMYFUNCTION("""COMPUTED_VALUE"""),243.62)</f>
        <v>243.62</v>
      </c>
      <c r="D3375" s="2">
        <f>IFERROR(__xludf.DUMMYFUNCTION("""COMPUTED_VALUE"""),233.34)</f>
        <v>233.34</v>
      </c>
      <c r="E3375" s="2">
        <f>IFERROR(__xludf.DUMMYFUNCTION("""COMPUTED_VALUE"""),241.2)</f>
        <v>241.2</v>
      </c>
      <c r="F3375" s="2">
        <f>IFERROR(__xludf.DUMMYFUNCTION("""COMPUTED_VALUE"""),1.22288E8)</f>
        <v>122288000</v>
      </c>
    </row>
    <row r="3376">
      <c r="A3376" s="3">
        <f>IFERROR(__xludf.DUMMYFUNCTION("""COMPUTED_VALUE"""),45252.66666666667)</f>
        <v>45252.66667</v>
      </c>
      <c r="B3376" s="2">
        <f>IFERROR(__xludf.DUMMYFUNCTION("""COMPUTED_VALUE"""),242.04)</f>
        <v>242.04</v>
      </c>
      <c r="C3376" s="2">
        <f>IFERROR(__xludf.DUMMYFUNCTION("""COMPUTED_VALUE"""),244.01)</f>
        <v>244.01</v>
      </c>
      <c r="D3376" s="2">
        <f>IFERROR(__xludf.DUMMYFUNCTION("""COMPUTED_VALUE"""),231.4)</f>
        <v>231.4</v>
      </c>
      <c r="E3376" s="2">
        <f>IFERROR(__xludf.DUMMYFUNCTION("""COMPUTED_VALUE"""),234.21)</f>
        <v>234.21</v>
      </c>
      <c r="F3376" s="2">
        <f>IFERROR(__xludf.DUMMYFUNCTION("""COMPUTED_VALUE"""),1.18117078E8)</f>
        <v>118117078</v>
      </c>
    </row>
    <row r="3377">
      <c r="A3377" s="3">
        <f>IFERROR(__xludf.DUMMYFUNCTION("""COMPUTED_VALUE"""),45254.54513888889)</f>
        <v>45254.54514</v>
      </c>
      <c r="B3377" s="2">
        <f>IFERROR(__xludf.DUMMYFUNCTION("""COMPUTED_VALUE"""),233.75)</f>
        <v>233.75</v>
      </c>
      <c r="C3377" s="2">
        <f>IFERROR(__xludf.DUMMYFUNCTION("""COMPUTED_VALUE"""),238.75)</f>
        <v>238.75</v>
      </c>
      <c r="D3377" s="2">
        <f>IFERROR(__xludf.DUMMYFUNCTION("""COMPUTED_VALUE"""),232.33)</f>
        <v>232.33</v>
      </c>
      <c r="E3377" s="2">
        <f>IFERROR(__xludf.DUMMYFUNCTION("""COMPUTED_VALUE"""),235.45)</f>
        <v>235.45</v>
      </c>
      <c r="F3377" s="2">
        <f>IFERROR(__xludf.DUMMYFUNCTION("""COMPUTED_VALUE"""),6.5125203E7)</f>
        <v>65125203</v>
      </c>
    </row>
    <row r="3378">
      <c r="A3378" s="3">
        <f>IFERROR(__xludf.DUMMYFUNCTION("""COMPUTED_VALUE"""),45257.66666666667)</f>
        <v>45257.66667</v>
      </c>
      <c r="B3378" s="2">
        <f>IFERROR(__xludf.DUMMYFUNCTION("""COMPUTED_VALUE"""),236.89)</f>
        <v>236.89</v>
      </c>
      <c r="C3378" s="2">
        <f>IFERROR(__xludf.DUMMYFUNCTION("""COMPUTED_VALUE"""),238.33)</f>
        <v>238.33</v>
      </c>
      <c r="D3378" s="2">
        <f>IFERROR(__xludf.DUMMYFUNCTION("""COMPUTED_VALUE"""),232.1)</f>
        <v>232.1</v>
      </c>
      <c r="E3378" s="2">
        <f>IFERROR(__xludf.DUMMYFUNCTION("""COMPUTED_VALUE"""),236.08)</f>
        <v>236.08</v>
      </c>
      <c r="F3378" s="2">
        <f>IFERROR(__xludf.DUMMYFUNCTION("""COMPUTED_VALUE"""),1.12031763E8)</f>
        <v>112031763</v>
      </c>
    </row>
    <row r="3379">
      <c r="A3379" s="3">
        <f>IFERROR(__xludf.DUMMYFUNCTION("""COMPUTED_VALUE"""),45258.66666666667)</f>
        <v>45258.66667</v>
      </c>
      <c r="B3379" s="2">
        <f>IFERROR(__xludf.DUMMYFUNCTION("""COMPUTED_VALUE"""),236.68)</f>
        <v>236.68</v>
      </c>
      <c r="C3379" s="2">
        <f>IFERROR(__xludf.DUMMYFUNCTION("""COMPUTED_VALUE"""),247.0)</f>
        <v>247</v>
      </c>
      <c r="D3379" s="2">
        <f>IFERROR(__xludf.DUMMYFUNCTION("""COMPUTED_VALUE"""),234.01)</f>
        <v>234.01</v>
      </c>
      <c r="E3379" s="2">
        <f>IFERROR(__xludf.DUMMYFUNCTION("""COMPUTED_VALUE"""),246.72)</f>
        <v>246.72</v>
      </c>
      <c r="F3379" s="2">
        <f>IFERROR(__xludf.DUMMYFUNCTION("""COMPUTED_VALUE"""),1.48549913E8)</f>
        <v>148549913</v>
      </c>
    </row>
    <row r="3380">
      <c r="A3380" s="3">
        <f>IFERROR(__xludf.DUMMYFUNCTION("""COMPUTED_VALUE"""),45259.66666666667)</f>
        <v>45259.66667</v>
      </c>
      <c r="B3380" s="2">
        <f>IFERROR(__xludf.DUMMYFUNCTION("""COMPUTED_VALUE"""),249.21)</f>
        <v>249.21</v>
      </c>
      <c r="C3380" s="2">
        <f>IFERROR(__xludf.DUMMYFUNCTION("""COMPUTED_VALUE"""),252.75)</f>
        <v>252.75</v>
      </c>
      <c r="D3380" s="2">
        <f>IFERROR(__xludf.DUMMYFUNCTION("""COMPUTED_VALUE"""),242.76)</f>
        <v>242.76</v>
      </c>
      <c r="E3380" s="2">
        <f>IFERROR(__xludf.DUMMYFUNCTION("""COMPUTED_VALUE"""),244.14)</f>
        <v>244.14</v>
      </c>
      <c r="F3380" s="2">
        <f>IFERROR(__xludf.DUMMYFUNCTION("""COMPUTED_VALUE"""),1.35401335E8)</f>
        <v>135401335</v>
      </c>
    </row>
    <row r="3381">
      <c r="A3381" s="3">
        <f>IFERROR(__xludf.DUMMYFUNCTION("""COMPUTED_VALUE"""),45260.66666666667)</f>
        <v>45260.66667</v>
      </c>
      <c r="B3381" s="2">
        <f>IFERROR(__xludf.DUMMYFUNCTION("""COMPUTED_VALUE"""),245.14)</f>
        <v>245.14</v>
      </c>
      <c r="C3381" s="2">
        <f>IFERROR(__xludf.DUMMYFUNCTION("""COMPUTED_VALUE"""),245.22)</f>
        <v>245.22</v>
      </c>
      <c r="D3381" s="2">
        <f>IFERROR(__xludf.DUMMYFUNCTION("""COMPUTED_VALUE"""),236.91)</f>
        <v>236.91</v>
      </c>
      <c r="E3381" s="2">
        <f>IFERROR(__xludf.DUMMYFUNCTION("""COMPUTED_VALUE"""),240.08)</f>
        <v>240.08</v>
      </c>
      <c r="F3381" s="2">
        <f>IFERROR(__xludf.DUMMYFUNCTION("""COMPUTED_VALUE"""),1.32353196E8)</f>
        <v>132353196</v>
      </c>
    </row>
    <row r="3382">
      <c r="A3382" s="3">
        <f>IFERROR(__xludf.DUMMYFUNCTION("""COMPUTED_VALUE"""),45261.66666666667)</f>
        <v>45261.66667</v>
      </c>
      <c r="B3382" s="2">
        <f>IFERROR(__xludf.DUMMYFUNCTION("""COMPUTED_VALUE"""),233.14)</f>
        <v>233.14</v>
      </c>
      <c r="C3382" s="2">
        <f>IFERROR(__xludf.DUMMYFUNCTION("""COMPUTED_VALUE"""),240.19)</f>
        <v>240.19</v>
      </c>
      <c r="D3382" s="2">
        <f>IFERROR(__xludf.DUMMYFUNCTION("""COMPUTED_VALUE"""),231.9)</f>
        <v>231.9</v>
      </c>
      <c r="E3382" s="2">
        <f>IFERROR(__xludf.DUMMYFUNCTION("""COMPUTED_VALUE"""),238.83)</f>
        <v>238.83</v>
      </c>
      <c r="F3382" s="2">
        <f>IFERROR(__xludf.DUMMYFUNCTION("""COMPUTED_VALUE"""),1.21331709E8)</f>
        <v>121331709</v>
      </c>
    </row>
    <row r="3383">
      <c r="A3383" s="3">
        <f>IFERROR(__xludf.DUMMYFUNCTION("""COMPUTED_VALUE"""),45264.66666666667)</f>
        <v>45264.66667</v>
      </c>
      <c r="B3383" s="2">
        <f>IFERROR(__xludf.DUMMYFUNCTION("""COMPUTED_VALUE"""),235.75)</f>
        <v>235.75</v>
      </c>
      <c r="C3383" s="2">
        <f>IFERROR(__xludf.DUMMYFUNCTION("""COMPUTED_VALUE"""),239.37)</f>
        <v>239.37</v>
      </c>
      <c r="D3383" s="2">
        <f>IFERROR(__xludf.DUMMYFUNCTION("""COMPUTED_VALUE"""),233.29)</f>
        <v>233.29</v>
      </c>
      <c r="E3383" s="2">
        <f>IFERROR(__xludf.DUMMYFUNCTION("""COMPUTED_VALUE"""),235.58)</f>
        <v>235.58</v>
      </c>
      <c r="F3383" s="2">
        <f>IFERROR(__xludf.DUMMYFUNCTION("""COMPUTED_VALUE"""),1.04099817E8)</f>
        <v>104099817</v>
      </c>
    </row>
    <row r="3384">
      <c r="A3384" s="3">
        <f>IFERROR(__xludf.DUMMYFUNCTION("""COMPUTED_VALUE"""),45265.66666666667)</f>
        <v>45265.66667</v>
      </c>
      <c r="B3384" s="2">
        <f>IFERROR(__xludf.DUMMYFUNCTION("""COMPUTED_VALUE"""),233.87)</f>
        <v>233.87</v>
      </c>
      <c r="C3384" s="2">
        <f>IFERROR(__xludf.DUMMYFUNCTION("""COMPUTED_VALUE"""),246.66)</f>
        <v>246.66</v>
      </c>
      <c r="D3384" s="2">
        <f>IFERROR(__xludf.DUMMYFUNCTION("""COMPUTED_VALUE"""),233.7)</f>
        <v>233.7</v>
      </c>
      <c r="E3384" s="2">
        <f>IFERROR(__xludf.DUMMYFUNCTION("""COMPUTED_VALUE"""),238.72)</f>
        <v>238.72</v>
      </c>
      <c r="F3384" s="2">
        <f>IFERROR(__xludf.DUMMYFUNCTION("""COMPUTED_VALUE"""),1.37971115E8)</f>
        <v>137971115</v>
      </c>
    </row>
    <row r="3385">
      <c r="A3385" s="3">
        <f>IFERROR(__xludf.DUMMYFUNCTION("""COMPUTED_VALUE"""),45266.66666666667)</f>
        <v>45266.66667</v>
      </c>
      <c r="B3385" s="2">
        <f>IFERROR(__xludf.DUMMYFUNCTION("""COMPUTED_VALUE"""),242.92)</f>
        <v>242.92</v>
      </c>
      <c r="C3385" s="2">
        <f>IFERROR(__xludf.DUMMYFUNCTION("""COMPUTED_VALUE"""),246.57)</f>
        <v>246.57</v>
      </c>
      <c r="D3385" s="2">
        <f>IFERROR(__xludf.DUMMYFUNCTION("""COMPUTED_VALUE"""),239.17)</f>
        <v>239.17</v>
      </c>
      <c r="E3385" s="2">
        <f>IFERROR(__xludf.DUMMYFUNCTION("""COMPUTED_VALUE"""),239.37)</f>
        <v>239.37</v>
      </c>
      <c r="F3385" s="2">
        <f>IFERROR(__xludf.DUMMYFUNCTION("""COMPUTED_VALUE"""),1.26436179E8)</f>
        <v>126436179</v>
      </c>
    </row>
    <row r="3386">
      <c r="A3386" s="3">
        <f>IFERROR(__xludf.DUMMYFUNCTION("""COMPUTED_VALUE"""),45267.66666666667)</f>
        <v>45267.66667</v>
      </c>
      <c r="B3386" s="2">
        <f>IFERROR(__xludf.DUMMYFUNCTION("""COMPUTED_VALUE"""),241.55)</f>
        <v>241.55</v>
      </c>
      <c r="C3386" s="2">
        <f>IFERROR(__xludf.DUMMYFUNCTION("""COMPUTED_VALUE"""),244.08)</f>
        <v>244.08</v>
      </c>
      <c r="D3386" s="2">
        <f>IFERROR(__xludf.DUMMYFUNCTION("""COMPUTED_VALUE"""),236.98)</f>
        <v>236.98</v>
      </c>
      <c r="E3386" s="2">
        <f>IFERROR(__xludf.DUMMYFUNCTION("""COMPUTED_VALUE"""),242.64)</f>
        <v>242.64</v>
      </c>
      <c r="F3386" s="2">
        <f>IFERROR(__xludf.DUMMYFUNCTION("""COMPUTED_VALUE"""),1.07142262E8)</f>
        <v>107142262</v>
      </c>
    </row>
    <row r="3387">
      <c r="A3387" s="3">
        <f>IFERROR(__xludf.DUMMYFUNCTION("""COMPUTED_VALUE"""),45268.66666666667)</f>
        <v>45268.66667</v>
      </c>
      <c r="B3387" s="2">
        <f>IFERROR(__xludf.DUMMYFUNCTION("""COMPUTED_VALUE"""),240.27)</f>
        <v>240.27</v>
      </c>
      <c r="C3387" s="2">
        <f>IFERROR(__xludf.DUMMYFUNCTION("""COMPUTED_VALUE"""),245.27)</f>
        <v>245.27</v>
      </c>
      <c r="D3387" s="2">
        <f>IFERROR(__xludf.DUMMYFUNCTION("""COMPUTED_VALUE"""),239.27)</f>
        <v>239.27</v>
      </c>
      <c r="E3387" s="2">
        <f>IFERROR(__xludf.DUMMYFUNCTION("""COMPUTED_VALUE"""),243.84)</f>
        <v>243.84</v>
      </c>
      <c r="F3387" s="2">
        <f>IFERROR(__xludf.DUMMYFUNCTION("""COMPUTED_VALUE"""),1.03126829E8)</f>
        <v>103126829</v>
      </c>
    </row>
    <row r="3388">
      <c r="A3388" s="3">
        <f>IFERROR(__xludf.DUMMYFUNCTION("""COMPUTED_VALUE"""),45271.66666666667)</f>
        <v>45271.66667</v>
      </c>
      <c r="B3388" s="2">
        <f>IFERROR(__xludf.DUMMYFUNCTION("""COMPUTED_VALUE"""),242.74)</f>
        <v>242.74</v>
      </c>
      <c r="C3388" s="2">
        <f>IFERROR(__xludf.DUMMYFUNCTION("""COMPUTED_VALUE"""),243.44)</f>
        <v>243.44</v>
      </c>
      <c r="D3388" s="2">
        <f>IFERROR(__xludf.DUMMYFUNCTION("""COMPUTED_VALUE"""),237.45)</f>
        <v>237.45</v>
      </c>
      <c r="E3388" s="2">
        <f>IFERROR(__xludf.DUMMYFUNCTION("""COMPUTED_VALUE"""),239.74)</f>
        <v>239.74</v>
      </c>
      <c r="F3388" s="2">
        <f>IFERROR(__xludf.DUMMYFUNCTION("""COMPUTED_VALUE"""),9.7913888E7)</f>
        <v>97913888</v>
      </c>
    </row>
    <row r="3389">
      <c r="A3389" s="3">
        <f>IFERROR(__xludf.DUMMYFUNCTION("""COMPUTED_VALUE"""),45272.66666666667)</f>
        <v>45272.66667</v>
      </c>
      <c r="B3389" s="2">
        <f>IFERROR(__xludf.DUMMYFUNCTION("""COMPUTED_VALUE"""),238.55)</f>
        <v>238.55</v>
      </c>
      <c r="C3389" s="2">
        <f>IFERROR(__xludf.DUMMYFUNCTION("""COMPUTED_VALUE"""),238.99)</f>
        <v>238.99</v>
      </c>
      <c r="D3389" s="2">
        <f>IFERROR(__xludf.DUMMYFUNCTION("""COMPUTED_VALUE"""),233.87)</f>
        <v>233.87</v>
      </c>
      <c r="E3389" s="2">
        <f>IFERROR(__xludf.DUMMYFUNCTION("""COMPUTED_VALUE"""),237.01)</f>
        <v>237.01</v>
      </c>
      <c r="F3389" s="2">
        <f>IFERROR(__xludf.DUMMYFUNCTION("""COMPUTED_VALUE"""),9.5328313E7)</f>
        <v>95328313</v>
      </c>
    </row>
    <row r="3390">
      <c r="A3390" s="3">
        <f>IFERROR(__xludf.DUMMYFUNCTION("""COMPUTED_VALUE"""),45273.66666666667)</f>
        <v>45273.66667</v>
      </c>
      <c r="B3390" s="2">
        <f>IFERROR(__xludf.DUMMYFUNCTION("""COMPUTED_VALUE"""),234.19)</f>
        <v>234.19</v>
      </c>
      <c r="C3390" s="2">
        <f>IFERROR(__xludf.DUMMYFUNCTION("""COMPUTED_VALUE"""),240.3)</f>
        <v>240.3</v>
      </c>
      <c r="D3390" s="2">
        <f>IFERROR(__xludf.DUMMYFUNCTION("""COMPUTED_VALUE"""),228.2)</f>
        <v>228.2</v>
      </c>
      <c r="E3390" s="2">
        <f>IFERROR(__xludf.DUMMYFUNCTION("""COMPUTED_VALUE"""),239.29)</f>
        <v>239.29</v>
      </c>
      <c r="F3390" s="2">
        <f>IFERROR(__xludf.DUMMYFUNCTION("""COMPUTED_VALUE"""),1.46286348E8)</f>
        <v>146286348</v>
      </c>
    </row>
    <row r="3391">
      <c r="A3391" s="3">
        <f>IFERROR(__xludf.DUMMYFUNCTION("""COMPUTED_VALUE"""),45274.66666666667)</f>
        <v>45274.66667</v>
      </c>
      <c r="B3391" s="2">
        <f>IFERROR(__xludf.DUMMYFUNCTION("""COMPUTED_VALUE"""),241.22)</f>
        <v>241.22</v>
      </c>
      <c r="C3391" s="2">
        <f>IFERROR(__xludf.DUMMYFUNCTION("""COMPUTED_VALUE"""),253.88)</f>
        <v>253.88</v>
      </c>
      <c r="D3391" s="2">
        <f>IFERROR(__xludf.DUMMYFUNCTION("""COMPUTED_VALUE"""),240.79)</f>
        <v>240.79</v>
      </c>
      <c r="E3391" s="2">
        <f>IFERROR(__xludf.DUMMYFUNCTION("""COMPUTED_VALUE"""),251.05)</f>
        <v>251.05</v>
      </c>
      <c r="F3391" s="2">
        <f>IFERROR(__xludf.DUMMYFUNCTION("""COMPUTED_VALUE"""),1.60829239E8)</f>
        <v>160829239</v>
      </c>
    </row>
    <row r="3392">
      <c r="A3392" s="3">
        <f>IFERROR(__xludf.DUMMYFUNCTION("""COMPUTED_VALUE"""),45275.66666666667)</f>
        <v>45275.66667</v>
      </c>
      <c r="B3392" s="2">
        <f>IFERROR(__xludf.DUMMYFUNCTION("""COMPUTED_VALUE"""),251.21)</f>
        <v>251.21</v>
      </c>
      <c r="C3392" s="2">
        <f>IFERROR(__xludf.DUMMYFUNCTION("""COMPUTED_VALUE"""),254.13)</f>
        <v>254.13</v>
      </c>
      <c r="D3392" s="2">
        <f>IFERROR(__xludf.DUMMYFUNCTION("""COMPUTED_VALUE"""),248.3)</f>
        <v>248.3</v>
      </c>
      <c r="E3392" s="2">
        <f>IFERROR(__xludf.DUMMYFUNCTION("""COMPUTED_VALUE"""),253.5)</f>
        <v>253.5</v>
      </c>
      <c r="F3392" s="2">
        <f>IFERROR(__xludf.DUMMYFUNCTION("""COMPUTED_VALUE"""),1.35932762E8)</f>
        <v>135932762</v>
      </c>
    </row>
    <row r="3393">
      <c r="A3393" s="3">
        <f>IFERROR(__xludf.DUMMYFUNCTION("""COMPUTED_VALUE"""),45278.66666666667)</f>
        <v>45278.66667</v>
      </c>
      <c r="B3393" s="2">
        <f>IFERROR(__xludf.DUMMYFUNCTION("""COMPUTED_VALUE"""),253.78)</f>
        <v>253.78</v>
      </c>
      <c r="C3393" s="2">
        <f>IFERROR(__xludf.DUMMYFUNCTION("""COMPUTED_VALUE"""),258.74)</f>
        <v>258.74</v>
      </c>
      <c r="D3393" s="2">
        <f>IFERROR(__xludf.DUMMYFUNCTION("""COMPUTED_VALUE"""),251.36)</f>
        <v>251.36</v>
      </c>
      <c r="E3393" s="2">
        <f>IFERROR(__xludf.DUMMYFUNCTION("""COMPUTED_VALUE"""),252.08)</f>
        <v>252.08</v>
      </c>
      <c r="F3393" s="2">
        <f>IFERROR(__xludf.DUMMYFUNCTION("""COMPUTED_VALUE"""),1.1641649E8)</f>
        <v>116416490</v>
      </c>
    </row>
    <row r="3394">
      <c r="A3394" s="3">
        <f>IFERROR(__xludf.DUMMYFUNCTION("""COMPUTED_VALUE"""),45279.66666666667)</f>
        <v>45279.66667</v>
      </c>
      <c r="B3394" s="2">
        <f>IFERROR(__xludf.DUMMYFUNCTION("""COMPUTED_VALUE"""),253.48)</f>
        <v>253.48</v>
      </c>
      <c r="C3394" s="2">
        <f>IFERROR(__xludf.DUMMYFUNCTION("""COMPUTED_VALUE"""),258.34)</f>
        <v>258.34</v>
      </c>
      <c r="D3394" s="2">
        <f>IFERROR(__xludf.DUMMYFUNCTION("""COMPUTED_VALUE"""),253.01)</f>
        <v>253.01</v>
      </c>
      <c r="E3394" s="2">
        <f>IFERROR(__xludf.DUMMYFUNCTION("""COMPUTED_VALUE"""),257.22)</f>
        <v>257.22</v>
      </c>
      <c r="F3394" s="2">
        <f>IFERROR(__xludf.DUMMYFUNCTION("""COMPUTED_VALUE"""),1.06737369E8)</f>
        <v>106737369</v>
      </c>
    </row>
    <row r="3395">
      <c r="A3395" s="3">
        <f>IFERROR(__xludf.DUMMYFUNCTION("""COMPUTED_VALUE"""),45280.66666666667)</f>
        <v>45280.66667</v>
      </c>
      <c r="B3395" s="2">
        <f>IFERROR(__xludf.DUMMYFUNCTION("""COMPUTED_VALUE"""),256.41)</f>
        <v>256.41</v>
      </c>
      <c r="C3395" s="2">
        <f>IFERROR(__xludf.DUMMYFUNCTION("""COMPUTED_VALUE"""),259.84)</f>
        <v>259.84</v>
      </c>
      <c r="D3395" s="2">
        <f>IFERROR(__xludf.DUMMYFUNCTION("""COMPUTED_VALUE"""),247.0)</f>
        <v>247</v>
      </c>
      <c r="E3395" s="2">
        <f>IFERROR(__xludf.DUMMYFUNCTION("""COMPUTED_VALUE"""),247.14)</f>
        <v>247.14</v>
      </c>
      <c r="F3395" s="2">
        <f>IFERROR(__xludf.DUMMYFUNCTION("""COMPUTED_VALUE"""),1.25096987E8)</f>
        <v>125096987</v>
      </c>
    </row>
    <row r="3396">
      <c r="A3396" s="3">
        <f>IFERROR(__xludf.DUMMYFUNCTION("""COMPUTED_VALUE"""),45281.66666666667)</f>
        <v>45281.66667</v>
      </c>
      <c r="B3396" s="2">
        <f>IFERROR(__xludf.DUMMYFUNCTION("""COMPUTED_VALUE"""),251.9)</f>
        <v>251.9</v>
      </c>
      <c r="C3396" s="2">
        <f>IFERROR(__xludf.DUMMYFUNCTION("""COMPUTED_VALUE"""),254.8)</f>
        <v>254.8</v>
      </c>
      <c r="D3396" s="2">
        <f>IFERROR(__xludf.DUMMYFUNCTION("""COMPUTED_VALUE"""),248.55)</f>
        <v>248.55</v>
      </c>
      <c r="E3396" s="2">
        <f>IFERROR(__xludf.DUMMYFUNCTION("""COMPUTED_VALUE"""),254.5)</f>
        <v>254.5</v>
      </c>
      <c r="F3396" s="2">
        <f>IFERROR(__xludf.DUMMYFUNCTION("""COMPUTED_VALUE"""),1.09594227E8)</f>
        <v>109594227</v>
      </c>
    </row>
    <row r="3397">
      <c r="A3397" s="3">
        <f>IFERROR(__xludf.DUMMYFUNCTION("""COMPUTED_VALUE"""),45282.66666666667)</f>
        <v>45282.66667</v>
      </c>
      <c r="B3397" s="2">
        <f>IFERROR(__xludf.DUMMYFUNCTION("""COMPUTED_VALUE"""),256.76)</f>
        <v>256.76</v>
      </c>
      <c r="C3397" s="2">
        <f>IFERROR(__xludf.DUMMYFUNCTION("""COMPUTED_VALUE"""),258.22)</f>
        <v>258.22</v>
      </c>
      <c r="D3397" s="2">
        <f>IFERROR(__xludf.DUMMYFUNCTION("""COMPUTED_VALUE"""),251.37)</f>
        <v>251.37</v>
      </c>
      <c r="E3397" s="2">
        <f>IFERROR(__xludf.DUMMYFUNCTION("""COMPUTED_VALUE"""),252.54)</f>
        <v>252.54</v>
      </c>
      <c r="F3397" s="2">
        <f>IFERROR(__xludf.DUMMYFUNCTION("""COMPUTED_VALUE"""),9.3370094E7)</f>
        <v>93370094</v>
      </c>
    </row>
    <row r="3398">
      <c r="A3398" s="3">
        <f>IFERROR(__xludf.DUMMYFUNCTION("""COMPUTED_VALUE"""),45286.66666666667)</f>
        <v>45286.66667</v>
      </c>
      <c r="B3398" s="2">
        <f>IFERROR(__xludf.DUMMYFUNCTION("""COMPUTED_VALUE"""),254.49)</f>
        <v>254.49</v>
      </c>
      <c r="C3398" s="2">
        <f>IFERROR(__xludf.DUMMYFUNCTION("""COMPUTED_VALUE"""),257.97)</f>
        <v>257.97</v>
      </c>
      <c r="D3398" s="2">
        <f>IFERROR(__xludf.DUMMYFUNCTION("""COMPUTED_VALUE"""),252.91)</f>
        <v>252.91</v>
      </c>
      <c r="E3398" s="2">
        <f>IFERROR(__xludf.DUMMYFUNCTION("""COMPUTED_VALUE"""),256.61)</f>
        <v>256.61</v>
      </c>
      <c r="F3398" s="2">
        <f>IFERROR(__xludf.DUMMYFUNCTION("""COMPUTED_VALUE"""),8.6892382E7)</f>
        <v>86892382</v>
      </c>
    </row>
    <row r="3399">
      <c r="A3399" s="3">
        <f>IFERROR(__xludf.DUMMYFUNCTION("""COMPUTED_VALUE"""),45287.66666666667)</f>
        <v>45287.66667</v>
      </c>
      <c r="B3399" s="2">
        <f>IFERROR(__xludf.DUMMYFUNCTION("""COMPUTED_VALUE"""),258.35)</f>
        <v>258.35</v>
      </c>
      <c r="C3399" s="2">
        <f>IFERROR(__xludf.DUMMYFUNCTION("""COMPUTED_VALUE"""),263.34)</f>
        <v>263.34</v>
      </c>
      <c r="D3399" s="2">
        <f>IFERROR(__xludf.DUMMYFUNCTION("""COMPUTED_VALUE"""),257.52)</f>
        <v>257.52</v>
      </c>
      <c r="E3399" s="2">
        <f>IFERROR(__xludf.DUMMYFUNCTION("""COMPUTED_VALUE"""),261.44)</f>
        <v>261.44</v>
      </c>
      <c r="F3399" s="2">
        <f>IFERROR(__xludf.DUMMYFUNCTION("""COMPUTED_VALUE"""),1.06494359E8)</f>
        <v>106494359</v>
      </c>
    </row>
    <row r="3400">
      <c r="A3400" s="3">
        <f>IFERROR(__xludf.DUMMYFUNCTION("""COMPUTED_VALUE"""),45288.66666666667)</f>
        <v>45288.66667</v>
      </c>
      <c r="B3400" s="2">
        <f>IFERROR(__xludf.DUMMYFUNCTION("""COMPUTED_VALUE"""),263.66)</f>
        <v>263.66</v>
      </c>
      <c r="C3400" s="2">
        <f>IFERROR(__xludf.DUMMYFUNCTION("""COMPUTED_VALUE"""),265.13)</f>
        <v>265.13</v>
      </c>
      <c r="D3400" s="2">
        <f>IFERROR(__xludf.DUMMYFUNCTION("""COMPUTED_VALUE"""),252.71)</f>
        <v>252.71</v>
      </c>
      <c r="E3400" s="2">
        <f>IFERROR(__xludf.DUMMYFUNCTION("""COMPUTED_VALUE"""),253.18)</f>
        <v>253.18</v>
      </c>
      <c r="F3400" s="2">
        <f>IFERROR(__xludf.DUMMYFUNCTION("""COMPUTED_VALUE"""),1.13619943E8)</f>
        <v>113619943</v>
      </c>
    </row>
    <row r="3401">
      <c r="A3401" s="3">
        <f>IFERROR(__xludf.DUMMYFUNCTION("""COMPUTED_VALUE"""),45289.66666666667)</f>
        <v>45289.66667</v>
      </c>
      <c r="B3401" s="2">
        <f>IFERROR(__xludf.DUMMYFUNCTION("""COMPUTED_VALUE"""),255.1)</f>
        <v>255.1</v>
      </c>
      <c r="C3401" s="2">
        <f>IFERROR(__xludf.DUMMYFUNCTION("""COMPUTED_VALUE"""),255.19)</f>
        <v>255.19</v>
      </c>
      <c r="D3401" s="2">
        <f>IFERROR(__xludf.DUMMYFUNCTION("""COMPUTED_VALUE"""),247.43)</f>
        <v>247.43</v>
      </c>
      <c r="E3401" s="2">
        <f>IFERROR(__xludf.DUMMYFUNCTION("""COMPUTED_VALUE"""),248.48)</f>
        <v>248.48</v>
      </c>
      <c r="F3401" s="2">
        <f>IFERROR(__xludf.DUMMYFUNCTION("""COMPUTED_VALUE"""),1.00891578E8)</f>
        <v>100891578</v>
      </c>
    </row>
    <row r="3402">
      <c r="A3402" s="3">
        <f>IFERROR(__xludf.DUMMYFUNCTION("""COMPUTED_VALUE"""),45293.66666666667)</f>
        <v>45293.66667</v>
      </c>
      <c r="B3402" s="2">
        <f>IFERROR(__xludf.DUMMYFUNCTION("""COMPUTED_VALUE"""),250.08)</f>
        <v>250.08</v>
      </c>
      <c r="C3402" s="2">
        <f>IFERROR(__xludf.DUMMYFUNCTION("""COMPUTED_VALUE"""),251.25)</f>
        <v>251.25</v>
      </c>
      <c r="D3402" s="2">
        <f>IFERROR(__xludf.DUMMYFUNCTION("""COMPUTED_VALUE"""),244.41)</f>
        <v>244.41</v>
      </c>
      <c r="E3402" s="2">
        <f>IFERROR(__xludf.DUMMYFUNCTION("""COMPUTED_VALUE"""),248.42)</f>
        <v>248.42</v>
      </c>
      <c r="F3402" s="2">
        <f>IFERROR(__xludf.DUMMYFUNCTION("""COMPUTED_VALUE"""),1.04654163E8)</f>
        <v>104654163</v>
      </c>
    </row>
    <row r="3403">
      <c r="A3403" s="3">
        <f>IFERROR(__xludf.DUMMYFUNCTION("""COMPUTED_VALUE"""),45294.66666666667)</f>
        <v>45294.66667</v>
      </c>
      <c r="B3403" s="2">
        <f>IFERROR(__xludf.DUMMYFUNCTION("""COMPUTED_VALUE"""),244.98)</f>
        <v>244.98</v>
      </c>
      <c r="C3403" s="2">
        <f>IFERROR(__xludf.DUMMYFUNCTION("""COMPUTED_VALUE"""),245.68)</f>
        <v>245.68</v>
      </c>
      <c r="D3403" s="2">
        <f>IFERROR(__xludf.DUMMYFUNCTION("""COMPUTED_VALUE"""),236.32)</f>
        <v>236.32</v>
      </c>
      <c r="E3403" s="2">
        <f>IFERROR(__xludf.DUMMYFUNCTION("""COMPUTED_VALUE"""),238.45)</f>
        <v>238.45</v>
      </c>
      <c r="F3403" s="2">
        <f>IFERROR(__xludf.DUMMYFUNCTION("""COMPUTED_VALUE"""),1.21082599E8)</f>
        <v>121082599</v>
      </c>
    </row>
    <row r="3404">
      <c r="A3404" s="3">
        <f>IFERROR(__xludf.DUMMYFUNCTION("""COMPUTED_VALUE"""),45295.66666666667)</f>
        <v>45295.66667</v>
      </c>
      <c r="B3404" s="2">
        <f>IFERROR(__xludf.DUMMYFUNCTION("""COMPUTED_VALUE"""),239.25)</f>
        <v>239.25</v>
      </c>
      <c r="C3404" s="2">
        <f>IFERROR(__xludf.DUMMYFUNCTION("""COMPUTED_VALUE"""),242.7)</f>
        <v>242.7</v>
      </c>
      <c r="D3404" s="2">
        <f>IFERROR(__xludf.DUMMYFUNCTION("""COMPUTED_VALUE"""),237.73)</f>
        <v>237.73</v>
      </c>
      <c r="E3404" s="2">
        <f>IFERROR(__xludf.DUMMYFUNCTION("""COMPUTED_VALUE"""),237.93)</f>
        <v>237.93</v>
      </c>
      <c r="F3404" s="2">
        <f>IFERROR(__xludf.DUMMYFUNCTION("""COMPUTED_VALUE"""),1.02629283E8)</f>
        <v>102629283</v>
      </c>
    </row>
    <row r="3405">
      <c r="A3405" s="3">
        <f>IFERROR(__xludf.DUMMYFUNCTION("""COMPUTED_VALUE"""),45296.66666666667)</f>
        <v>45296.66667</v>
      </c>
      <c r="B3405" s="2">
        <f>IFERROR(__xludf.DUMMYFUNCTION("""COMPUTED_VALUE"""),236.86)</f>
        <v>236.86</v>
      </c>
      <c r="C3405" s="2">
        <f>IFERROR(__xludf.DUMMYFUNCTION("""COMPUTED_VALUE"""),240.12)</f>
        <v>240.12</v>
      </c>
      <c r="D3405" s="2">
        <f>IFERROR(__xludf.DUMMYFUNCTION("""COMPUTED_VALUE"""),234.9)</f>
        <v>234.9</v>
      </c>
      <c r="E3405" s="2">
        <f>IFERROR(__xludf.DUMMYFUNCTION("""COMPUTED_VALUE"""),237.49)</f>
        <v>237.49</v>
      </c>
      <c r="F3405" s="2">
        <f>IFERROR(__xludf.DUMMYFUNCTION("""COMPUTED_VALUE"""),9.2488939E7)</f>
        <v>92488939</v>
      </c>
    </row>
    <row r="3406">
      <c r="A3406" s="3">
        <f>IFERROR(__xludf.DUMMYFUNCTION("""COMPUTED_VALUE"""),45299.66666666667)</f>
        <v>45299.66667</v>
      </c>
      <c r="B3406" s="2">
        <f>IFERROR(__xludf.DUMMYFUNCTION("""COMPUTED_VALUE"""),236.14)</f>
        <v>236.14</v>
      </c>
      <c r="C3406" s="2">
        <f>IFERROR(__xludf.DUMMYFUNCTION("""COMPUTED_VALUE"""),241.25)</f>
        <v>241.25</v>
      </c>
      <c r="D3406" s="2">
        <f>IFERROR(__xludf.DUMMYFUNCTION("""COMPUTED_VALUE"""),235.3)</f>
        <v>235.3</v>
      </c>
      <c r="E3406" s="2">
        <f>IFERROR(__xludf.DUMMYFUNCTION("""COMPUTED_VALUE"""),240.45)</f>
        <v>240.45</v>
      </c>
      <c r="F3406" s="2">
        <f>IFERROR(__xludf.DUMMYFUNCTION("""COMPUTED_VALUE"""),8.516658E7)</f>
        <v>85166580</v>
      </c>
    </row>
    <row r="3407">
      <c r="A3407" s="3">
        <f>IFERROR(__xludf.DUMMYFUNCTION("""COMPUTED_VALUE"""),45300.66666666667)</f>
        <v>45300.66667</v>
      </c>
      <c r="B3407" s="2">
        <f>IFERROR(__xludf.DUMMYFUNCTION("""COMPUTED_VALUE"""),238.11)</f>
        <v>238.11</v>
      </c>
      <c r="C3407" s="2">
        <f>IFERROR(__xludf.DUMMYFUNCTION("""COMPUTED_VALUE"""),238.96)</f>
        <v>238.96</v>
      </c>
      <c r="D3407" s="2">
        <f>IFERROR(__xludf.DUMMYFUNCTION("""COMPUTED_VALUE"""),232.04)</f>
        <v>232.04</v>
      </c>
      <c r="E3407" s="2">
        <f>IFERROR(__xludf.DUMMYFUNCTION("""COMPUTED_VALUE"""),234.96)</f>
        <v>234.96</v>
      </c>
      <c r="F3407" s="2">
        <f>IFERROR(__xludf.DUMMYFUNCTION("""COMPUTED_VALUE"""),9.6705664E7)</f>
        <v>96705664</v>
      </c>
    </row>
    <row r="3408">
      <c r="A3408" s="3">
        <f>IFERROR(__xludf.DUMMYFUNCTION("""COMPUTED_VALUE"""),45301.66666666667)</f>
        <v>45301.66667</v>
      </c>
      <c r="B3408" s="2">
        <f>IFERROR(__xludf.DUMMYFUNCTION("""COMPUTED_VALUE"""),235.1)</f>
        <v>235.1</v>
      </c>
      <c r="C3408" s="2">
        <f>IFERROR(__xludf.DUMMYFUNCTION("""COMPUTED_VALUE"""),235.5)</f>
        <v>235.5</v>
      </c>
      <c r="D3408" s="2">
        <f>IFERROR(__xludf.DUMMYFUNCTION("""COMPUTED_VALUE"""),231.29)</f>
        <v>231.29</v>
      </c>
      <c r="E3408" s="2">
        <f>IFERROR(__xludf.DUMMYFUNCTION("""COMPUTED_VALUE"""),233.94)</f>
        <v>233.94</v>
      </c>
      <c r="F3408" s="2">
        <f>IFERROR(__xludf.DUMMYFUNCTION("""COMPUTED_VALUE"""),9.1628502E7)</f>
        <v>91628502</v>
      </c>
    </row>
    <row r="3409">
      <c r="A3409" s="3">
        <f>IFERROR(__xludf.DUMMYFUNCTION("""COMPUTED_VALUE"""),45302.66666666667)</f>
        <v>45302.66667</v>
      </c>
      <c r="B3409" s="2">
        <f>IFERROR(__xludf.DUMMYFUNCTION("""COMPUTED_VALUE"""),230.57)</f>
        <v>230.57</v>
      </c>
      <c r="C3409" s="2">
        <f>IFERROR(__xludf.DUMMYFUNCTION("""COMPUTED_VALUE"""),230.93)</f>
        <v>230.93</v>
      </c>
      <c r="D3409" s="2">
        <f>IFERROR(__xludf.DUMMYFUNCTION("""COMPUTED_VALUE"""),225.37)</f>
        <v>225.37</v>
      </c>
      <c r="E3409" s="2">
        <f>IFERROR(__xludf.DUMMYFUNCTION("""COMPUTED_VALUE"""),227.22)</f>
        <v>227.22</v>
      </c>
      <c r="F3409" s="2">
        <f>IFERROR(__xludf.DUMMYFUNCTION("""COMPUTED_VALUE"""),1.05873612E8)</f>
        <v>105873612</v>
      </c>
    </row>
    <row r="3410">
      <c r="A3410" s="3">
        <f>IFERROR(__xludf.DUMMYFUNCTION("""COMPUTED_VALUE"""),45303.66666666667)</f>
        <v>45303.66667</v>
      </c>
      <c r="B3410" s="2">
        <f>IFERROR(__xludf.DUMMYFUNCTION("""COMPUTED_VALUE"""),220.08)</f>
        <v>220.08</v>
      </c>
      <c r="C3410" s="2">
        <f>IFERROR(__xludf.DUMMYFUNCTION("""COMPUTED_VALUE"""),225.34)</f>
        <v>225.34</v>
      </c>
      <c r="D3410" s="2">
        <f>IFERROR(__xludf.DUMMYFUNCTION("""COMPUTED_VALUE"""),217.15)</f>
        <v>217.15</v>
      </c>
      <c r="E3410" s="2">
        <f>IFERROR(__xludf.DUMMYFUNCTION("""COMPUTED_VALUE"""),218.89)</f>
        <v>218.89</v>
      </c>
      <c r="F3410" s="2">
        <f>IFERROR(__xludf.DUMMYFUNCTION("""COMPUTED_VALUE"""),1.23043812E8)</f>
        <v>123043812</v>
      </c>
    </row>
    <row r="3411">
      <c r="A3411" s="3">
        <f>IFERROR(__xludf.DUMMYFUNCTION("""COMPUTED_VALUE"""),45307.66666666667)</f>
        <v>45307.66667</v>
      </c>
      <c r="B3411" s="2">
        <f>IFERROR(__xludf.DUMMYFUNCTION("""COMPUTED_VALUE"""),215.1)</f>
        <v>215.1</v>
      </c>
      <c r="C3411" s="2">
        <f>IFERROR(__xludf.DUMMYFUNCTION("""COMPUTED_VALUE"""),223.49)</f>
        <v>223.49</v>
      </c>
      <c r="D3411" s="2">
        <f>IFERROR(__xludf.DUMMYFUNCTION("""COMPUTED_VALUE"""),212.18)</f>
        <v>212.18</v>
      </c>
      <c r="E3411" s="2">
        <f>IFERROR(__xludf.DUMMYFUNCTION("""COMPUTED_VALUE"""),219.91)</f>
        <v>219.91</v>
      </c>
      <c r="F3411" s="2">
        <f>IFERROR(__xludf.DUMMYFUNCTION("""COMPUTED_VALUE"""),1.15355046E8)</f>
        <v>115355046</v>
      </c>
    </row>
    <row r="3412">
      <c r="A3412" s="3">
        <f>IFERROR(__xludf.DUMMYFUNCTION("""COMPUTED_VALUE"""),45308.66666666667)</f>
        <v>45308.66667</v>
      </c>
      <c r="B3412" s="2">
        <f>IFERROR(__xludf.DUMMYFUNCTION("""COMPUTED_VALUE"""),214.86)</f>
        <v>214.86</v>
      </c>
      <c r="C3412" s="2">
        <f>IFERROR(__xludf.DUMMYFUNCTION("""COMPUTED_VALUE"""),215.67)</f>
        <v>215.67</v>
      </c>
      <c r="D3412" s="2">
        <f>IFERROR(__xludf.DUMMYFUNCTION("""COMPUTED_VALUE"""),212.01)</f>
        <v>212.01</v>
      </c>
      <c r="E3412" s="2">
        <f>IFERROR(__xludf.DUMMYFUNCTION("""COMPUTED_VALUE"""),215.55)</f>
        <v>215.55</v>
      </c>
      <c r="F3412" s="2">
        <f>IFERROR(__xludf.DUMMYFUNCTION("""COMPUTED_VALUE"""),1.031644E8)</f>
        <v>103164400</v>
      </c>
    </row>
    <row r="3413">
      <c r="A3413" s="3">
        <f>IFERROR(__xludf.DUMMYFUNCTION("""COMPUTED_VALUE"""),45309.66666666667)</f>
        <v>45309.66667</v>
      </c>
      <c r="B3413" s="2">
        <f>IFERROR(__xludf.DUMMYFUNCTION("""COMPUTED_VALUE"""),216.88)</f>
        <v>216.88</v>
      </c>
      <c r="C3413" s="2">
        <f>IFERROR(__xludf.DUMMYFUNCTION("""COMPUTED_VALUE"""),217.45)</f>
        <v>217.45</v>
      </c>
      <c r="D3413" s="2">
        <f>IFERROR(__xludf.DUMMYFUNCTION("""COMPUTED_VALUE"""),208.74)</f>
        <v>208.74</v>
      </c>
      <c r="E3413" s="2">
        <f>IFERROR(__xludf.DUMMYFUNCTION("""COMPUTED_VALUE"""),211.88)</f>
        <v>211.88</v>
      </c>
      <c r="F3413" s="2">
        <f>IFERROR(__xludf.DUMMYFUNCTION("""COMPUTED_VALUE"""),1.08595431E8)</f>
        <v>108595431</v>
      </c>
    </row>
    <row r="3414">
      <c r="A3414" s="3">
        <f>IFERROR(__xludf.DUMMYFUNCTION("""COMPUTED_VALUE"""),45310.66666666667)</f>
        <v>45310.66667</v>
      </c>
      <c r="B3414" s="2">
        <f>IFERROR(__xludf.DUMMYFUNCTION("""COMPUTED_VALUE"""),209.99)</f>
        <v>209.99</v>
      </c>
      <c r="C3414" s="2">
        <f>IFERROR(__xludf.DUMMYFUNCTION("""COMPUTED_VALUE"""),213.19)</f>
        <v>213.19</v>
      </c>
      <c r="D3414" s="2">
        <f>IFERROR(__xludf.DUMMYFUNCTION("""COMPUTED_VALUE"""),207.56)</f>
        <v>207.56</v>
      </c>
      <c r="E3414" s="2">
        <f>IFERROR(__xludf.DUMMYFUNCTION("""COMPUTED_VALUE"""),212.19)</f>
        <v>212.19</v>
      </c>
      <c r="F3414" s="2">
        <f>IFERROR(__xludf.DUMMYFUNCTION("""COMPUTED_VALUE"""),1.02260343E8)</f>
        <v>102260343</v>
      </c>
    </row>
    <row r="3415">
      <c r="A3415" s="3">
        <f>IFERROR(__xludf.DUMMYFUNCTION("""COMPUTED_VALUE"""),45313.66666666667)</f>
        <v>45313.66667</v>
      </c>
      <c r="B3415" s="2">
        <f>IFERROR(__xludf.DUMMYFUNCTION("""COMPUTED_VALUE"""),212.26)</f>
        <v>212.26</v>
      </c>
      <c r="C3415" s="2">
        <f>IFERROR(__xludf.DUMMYFUNCTION("""COMPUTED_VALUE"""),217.8)</f>
        <v>217.8</v>
      </c>
      <c r="D3415" s="2">
        <f>IFERROR(__xludf.DUMMYFUNCTION("""COMPUTED_VALUE"""),206.27)</f>
        <v>206.27</v>
      </c>
      <c r="E3415" s="2">
        <f>IFERROR(__xludf.DUMMYFUNCTION("""COMPUTED_VALUE"""),208.8)</f>
        <v>208.8</v>
      </c>
      <c r="F3415" s="2">
        <f>IFERROR(__xludf.DUMMYFUNCTION("""COMPUTED_VALUE"""),1.17952527E8)</f>
        <v>117952527</v>
      </c>
    </row>
    <row r="3416">
      <c r="A3416" s="3">
        <f>IFERROR(__xludf.DUMMYFUNCTION("""COMPUTED_VALUE"""),45314.66666666667)</f>
        <v>45314.66667</v>
      </c>
      <c r="B3416" s="2">
        <f>IFERROR(__xludf.DUMMYFUNCTION("""COMPUTED_VALUE"""),211.3)</f>
        <v>211.3</v>
      </c>
      <c r="C3416" s="2">
        <f>IFERROR(__xludf.DUMMYFUNCTION("""COMPUTED_VALUE"""),215.65)</f>
        <v>215.65</v>
      </c>
      <c r="D3416" s="2">
        <f>IFERROR(__xludf.DUMMYFUNCTION("""COMPUTED_VALUE"""),207.75)</f>
        <v>207.75</v>
      </c>
      <c r="E3416" s="2">
        <f>IFERROR(__xludf.DUMMYFUNCTION("""COMPUTED_VALUE"""),209.14)</f>
        <v>209.14</v>
      </c>
      <c r="F3416" s="2">
        <f>IFERROR(__xludf.DUMMYFUNCTION("""COMPUTED_VALUE"""),1.06605946E8)</f>
        <v>106605946</v>
      </c>
    </row>
    <row r="3417">
      <c r="A3417" s="3">
        <f>IFERROR(__xludf.DUMMYFUNCTION("""COMPUTED_VALUE"""),45315.66666666667)</f>
        <v>45315.66667</v>
      </c>
      <c r="B3417" s="2">
        <f>IFERROR(__xludf.DUMMYFUNCTION("""COMPUTED_VALUE"""),211.88)</f>
        <v>211.88</v>
      </c>
      <c r="C3417" s="2">
        <f>IFERROR(__xludf.DUMMYFUNCTION("""COMPUTED_VALUE"""),212.73)</f>
        <v>212.73</v>
      </c>
      <c r="D3417" s="2">
        <f>IFERROR(__xludf.DUMMYFUNCTION("""COMPUTED_VALUE"""),206.77)</f>
        <v>206.77</v>
      </c>
      <c r="E3417" s="2">
        <f>IFERROR(__xludf.DUMMYFUNCTION("""COMPUTED_VALUE"""),207.83)</f>
        <v>207.83</v>
      </c>
      <c r="F3417" s="2">
        <f>IFERROR(__xludf.DUMMYFUNCTION("""COMPUTED_VALUE"""),1.23369932E8)</f>
        <v>123369932</v>
      </c>
    </row>
    <row r="3418">
      <c r="A3418" s="3">
        <f>IFERROR(__xludf.DUMMYFUNCTION("""COMPUTED_VALUE"""),45316.66666666667)</f>
        <v>45316.66667</v>
      </c>
      <c r="B3418" s="2">
        <f>IFERROR(__xludf.DUMMYFUNCTION("""COMPUTED_VALUE"""),189.7)</f>
        <v>189.7</v>
      </c>
      <c r="C3418" s="2">
        <f>IFERROR(__xludf.DUMMYFUNCTION("""COMPUTED_VALUE"""),193.0)</f>
        <v>193</v>
      </c>
      <c r="D3418" s="2">
        <f>IFERROR(__xludf.DUMMYFUNCTION("""COMPUTED_VALUE"""),180.06)</f>
        <v>180.06</v>
      </c>
      <c r="E3418" s="2">
        <f>IFERROR(__xludf.DUMMYFUNCTION("""COMPUTED_VALUE"""),182.63)</f>
        <v>182.63</v>
      </c>
      <c r="F3418" s="2">
        <f>IFERROR(__xludf.DUMMYFUNCTION("""COMPUTED_VALUE"""),1.98076787E8)</f>
        <v>198076787</v>
      </c>
    </row>
    <row r="3419">
      <c r="A3419" s="3">
        <f>IFERROR(__xludf.DUMMYFUNCTION("""COMPUTED_VALUE"""),45317.66666666667)</f>
        <v>45317.66667</v>
      </c>
      <c r="B3419" s="2">
        <f>IFERROR(__xludf.DUMMYFUNCTION("""COMPUTED_VALUE"""),185.5)</f>
        <v>185.5</v>
      </c>
      <c r="C3419" s="2">
        <f>IFERROR(__xludf.DUMMYFUNCTION("""COMPUTED_VALUE"""),186.78)</f>
        <v>186.78</v>
      </c>
      <c r="D3419" s="2">
        <f>IFERROR(__xludf.DUMMYFUNCTION("""COMPUTED_VALUE"""),182.1)</f>
        <v>182.1</v>
      </c>
      <c r="E3419" s="2">
        <f>IFERROR(__xludf.DUMMYFUNCTION("""COMPUTED_VALUE"""),183.25)</f>
        <v>183.25</v>
      </c>
      <c r="F3419" s="2">
        <f>IFERROR(__xludf.DUMMYFUNCTION("""COMPUTED_VALUE"""),1.07343231E8)</f>
        <v>107343231</v>
      </c>
    </row>
    <row r="3420">
      <c r="A3420" s="3">
        <f>IFERROR(__xludf.DUMMYFUNCTION("""COMPUTED_VALUE"""),45320.66666666667)</f>
        <v>45320.66667</v>
      </c>
      <c r="B3420" s="2">
        <f>IFERROR(__xludf.DUMMYFUNCTION("""COMPUTED_VALUE"""),185.63)</f>
        <v>185.63</v>
      </c>
      <c r="C3420" s="2">
        <f>IFERROR(__xludf.DUMMYFUNCTION("""COMPUTED_VALUE"""),191.48)</f>
        <v>191.48</v>
      </c>
      <c r="D3420" s="2">
        <f>IFERROR(__xludf.DUMMYFUNCTION("""COMPUTED_VALUE"""),183.67)</f>
        <v>183.67</v>
      </c>
      <c r="E3420" s="2">
        <f>IFERROR(__xludf.DUMMYFUNCTION("""COMPUTED_VALUE"""),190.93)</f>
        <v>190.93</v>
      </c>
      <c r="F3420" s="2">
        <f>IFERROR(__xludf.DUMMYFUNCTION("""COMPUTED_VALUE"""),1.25013148E8)</f>
        <v>125013148</v>
      </c>
    </row>
    <row r="3421">
      <c r="A3421" s="3">
        <f>IFERROR(__xludf.DUMMYFUNCTION("""COMPUTED_VALUE"""),45321.66666666667)</f>
        <v>45321.66667</v>
      </c>
      <c r="B3421" s="2">
        <f>IFERROR(__xludf.DUMMYFUNCTION("""COMPUTED_VALUE"""),195.33)</f>
        <v>195.33</v>
      </c>
      <c r="C3421" s="2">
        <f>IFERROR(__xludf.DUMMYFUNCTION("""COMPUTED_VALUE"""),196.36)</f>
        <v>196.36</v>
      </c>
      <c r="D3421" s="2">
        <f>IFERROR(__xludf.DUMMYFUNCTION("""COMPUTED_VALUE"""),190.61)</f>
        <v>190.61</v>
      </c>
      <c r="E3421" s="2">
        <f>IFERROR(__xludf.DUMMYFUNCTION("""COMPUTED_VALUE"""),191.59)</f>
        <v>191.59</v>
      </c>
      <c r="F3421" s="2">
        <f>IFERROR(__xludf.DUMMYFUNCTION("""COMPUTED_VALUE"""),1.09982327E8)</f>
        <v>109982327</v>
      </c>
    </row>
    <row r="3422">
      <c r="A3422" s="3">
        <f>IFERROR(__xludf.DUMMYFUNCTION("""COMPUTED_VALUE"""),45322.66666666667)</f>
        <v>45322.66667</v>
      </c>
      <c r="B3422" s="2">
        <f>IFERROR(__xludf.DUMMYFUNCTION("""COMPUTED_VALUE"""),187.0)</f>
        <v>187</v>
      </c>
      <c r="C3422" s="2">
        <f>IFERROR(__xludf.DUMMYFUNCTION("""COMPUTED_VALUE"""),193.97)</f>
        <v>193.97</v>
      </c>
      <c r="D3422" s="2">
        <f>IFERROR(__xludf.DUMMYFUNCTION("""COMPUTED_VALUE"""),185.85)</f>
        <v>185.85</v>
      </c>
      <c r="E3422" s="2">
        <f>IFERROR(__xludf.DUMMYFUNCTION("""COMPUTED_VALUE"""),187.29)</f>
        <v>187.29</v>
      </c>
      <c r="F3422" s="2">
        <f>IFERROR(__xludf.DUMMYFUNCTION("""COMPUTED_VALUE"""),1.0322143E8)</f>
        <v>103221430</v>
      </c>
    </row>
    <row r="3423">
      <c r="A3423" s="3">
        <f>IFERROR(__xludf.DUMMYFUNCTION("""COMPUTED_VALUE"""),45323.66666666667)</f>
        <v>45323.66667</v>
      </c>
      <c r="B3423" s="2">
        <f>IFERROR(__xludf.DUMMYFUNCTION("""COMPUTED_VALUE"""),188.5)</f>
        <v>188.5</v>
      </c>
      <c r="C3423" s="2">
        <f>IFERROR(__xludf.DUMMYFUNCTION("""COMPUTED_VALUE"""),189.88)</f>
        <v>189.88</v>
      </c>
      <c r="D3423" s="2">
        <f>IFERROR(__xludf.DUMMYFUNCTION("""COMPUTED_VALUE"""),184.28)</f>
        <v>184.28</v>
      </c>
      <c r="E3423" s="2">
        <f>IFERROR(__xludf.DUMMYFUNCTION("""COMPUTED_VALUE"""),188.86)</f>
        <v>188.86</v>
      </c>
      <c r="F3423" s="2">
        <f>IFERROR(__xludf.DUMMYFUNCTION("""COMPUTED_VALUE"""),9.1843275E7)</f>
        <v>91843275</v>
      </c>
    </row>
    <row r="3424">
      <c r="A3424" s="3">
        <f>IFERROR(__xludf.DUMMYFUNCTION("""COMPUTED_VALUE"""),45324.66666666667)</f>
        <v>45324.66667</v>
      </c>
      <c r="B3424" s="2">
        <f>IFERROR(__xludf.DUMMYFUNCTION("""COMPUTED_VALUE"""),185.04)</f>
        <v>185.04</v>
      </c>
      <c r="C3424" s="2">
        <f>IFERROR(__xludf.DUMMYFUNCTION("""COMPUTED_VALUE"""),188.69)</f>
        <v>188.69</v>
      </c>
      <c r="D3424" s="2">
        <f>IFERROR(__xludf.DUMMYFUNCTION("""COMPUTED_VALUE"""),182.0)</f>
        <v>182</v>
      </c>
      <c r="E3424" s="2">
        <f>IFERROR(__xludf.DUMMYFUNCTION("""COMPUTED_VALUE"""),187.91)</f>
        <v>187.91</v>
      </c>
      <c r="F3424" s="2">
        <f>IFERROR(__xludf.DUMMYFUNCTION("""COMPUTED_VALUE"""),1.10612672E8)</f>
        <v>110612672</v>
      </c>
    </row>
    <row r="3425">
      <c r="A3425" s="3">
        <f>IFERROR(__xludf.DUMMYFUNCTION("""COMPUTED_VALUE"""),45327.66666666667)</f>
        <v>45327.66667</v>
      </c>
      <c r="B3425" s="2">
        <f>IFERROR(__xludf.DUMMYFUNCTION("""COMPUTED_VALUE"""),184.26)</f>
        <v>184.26</v>
      </c>
      <c r="C3425" s="2">
        <f>IFERROR(__xludf.DUMMYFUNCTION("""COMPUTED_VALUE"""),184.68)</f>
        <v>184.68</v>
      </c>
      <c r="D3425" s="2">
        <f>IFERROR(__xludf.DUMMYFUNCTION("""COMPUTED_VALUE"""),175.01)</f>
        <v>175.01</v>
      </c>
      <c r="E3425" s="2">
        <f>IFERROR(__xludf.DUMMYFUNCTION("""COMPUTED_VALUE"""),181.06)</f>
        <v>181.06</v>
      </c>
      <c r="F3425" s="2">
        <f>IFERROR(__xludf.DUMMYFUNCTION("""COMPUTED_VALUE"""),1.34294447E8)</f>
        <v>134294447</v>
      </c>
    </row>
    <row r="3426">
      <c r="A3426" s="3">
        <f>IFERROR(__xludf.DUMMYFUNCTION("""COMPUTED_VALUE"""),45328.66666666667)</f>
        <v>45328.66667</v>
      </c>
      <c r="B3426" s="2">
        <f>IFERROR(__xludf.DUMMYFUNCTION("""COMPUTED_VALUE"""),177.21)</f>
        <v>177.21</v>
      </c>
      <c r="C3426" s="2">
        <f>IFERROR(__xludf.DUMMYFUNCTION("""COMPUTED_VALUE"""),186.49)</f>
        <v>186.49</v>
      </c>
      <c r="D3426" s="2">
        <f>IFERROR(__xludf.DUMMYFUNCTION("""COMPUTED_VALUE"""),177.11)</f>
        <v>177.11</v>
      </c>
      <c r="E3426" s="2">
        <f>IFERROR(__xludf.DUMMYFUNCTION("""COMPUTED_VALUE"""),185.1)</f>
        <v>185.1</v>
      </c>
      <c r="F3426" s="2">
        <f>IFERROR(__xludf.DUMMYFUNCTION("""COMPUTED_VALUE"""),1.22675954E8)</f>
        <v>122675954</v>
      </c>
    </row>
    <row r="3427">
      <c r="A3427" s="3">
        <f>IFERROR(__xludf.DUMMYFUNCTION("""COMPUTED_VALUE"""),45329.66666666667)</f>
        <v>45329.66667</v>
      </c>
      <c r="B3427" s="2">
        <f>IFERROR(__xludf.DUMMYFUNCTION("""COMPUTED_VALUE"""),188.18)</f>
        <v>188.18</v>
      </c>
      <c r="C3427" s="2">
        <f>IFERROR(__xludf.DUMMYFUNCTION("""COMPUTED_VALUE"""),189.79)</f>
        <v>189.79</v>
      </c>
      <c r="D3427" s="2">
        <f>IFERROR(__xludf.DUMMYFUNCTION("""COMPUTED_VALUE"""),182.68)</f>
        <v>182.68</v>
      </c>
      <c r="E3427" s="2">
        <f>IFERROR(__xludf.DUMMYFUNCTION("""COMPUTED_VALUE"""),187.58)</f>
        <v>187.58</v>
      </c>
      <c r="F3427" s="2">
        <f>IFERROR(__xludf.DUMMYFUNCTION("""COMPUTED_VALUE"""),1.11535217E8)</f>
        <v>111535217</v>
      </c>
    </row>
    <row r="3428">
      <c r="A3428" s="3">
        <f>IFERROR(__xludf.DUMMYFUNCTION("""COMPUTED_VALUE"""),45330.66666666667)</f>
        <v>45330.66667</v>
      </c>
      <c r="B3428" s="2">
        <f>IFERROR(__xludf.DUMMYFUNCTION("""COMPUTED_VALUE"""),189.0)</f>
        <v>189</v>
      </c>
      <c r="C3428" s="2">
        <f>IFERROR(__xludf.DUMMYFUNCTION("""COMPUTED_VALUE"""),191.62)</f>
        <v>191.62</v>
      </c>
      <c r="D3428" s="2">
        <f>IFERROR(__xludf.DUMMYFUNCTION("""COMPUTED_VALUE"""),185.58)</f>
        <v>185.58</v>
      </c>
      <c r="E3428" s="2">
        <f>IFERROR(__xludf.DUMMYFUNCTION("""COMPUTED_VALUE"""),189.56)</f>
        <v>189.56</v>
      </c>
      <c r="F3428" s="2">
        <f>IFERROR(__xludf.DUMMYFUNCTION("""COMPUTED_VALUE"""),8.3034043E7)</f>
        <v>83034043</v>
      </c>
    </row>
    <row r="3429">
      <c r="A3429" s="3">
        <f>IFERROR(__xludf.DUMMYFUNCTION("""COMPUTED_VALUE"""),45331.66666666667)</f>
        <v>45331.66667</v>
      </c>
      <c r="B3429" s="2">
        <f>IFERROR(__xludf.DUMMYFUNCTION("""COMPUTED_VALUE"""),190.18)</f>
        <v>190.18</v>
      </c>
      <c r="C3429" s="2">
        <f>IFERROR(__xludf.DUMMYFUNCTION("""COMPUTED_VALUE"""),194.12)</f>
        <v>194.12</v>
      </c>
      <c r="D3429" s="2">
        <f>IFERROR(__xludf.DUMMYFUNCTION("""COMPUTED_VALUE"""),189.48)</f>
        <v>189.48</v>
      </c>
      <c r="E3429" s="2">
        <f>IFERROR(__xludf.DUMMYFUNCTION("""COMPUTED_VALUE"""),193.57)</f>
        <v>193.57</v>
      </c>
      <c r="F3429" s="2">
        <f>IFERROR(__xludf.DUMMYFUNCTION("""COMPUTED_VALUE"""),8.4476347E7)</f>
        <v>84476347</v>
      </c>
    </row>
    <row r="3430">
      <c r="A3430" s="3">
        <f>IFERROR(__xludf.DUMMYFUNCTION("""COMPUTED_VALUE"""),45334.66666666667)</f>
        <v>45334.66667</v>
      </c>
      <c r="B3430" s="2">
        <f>IFERROR(__xludf.DUMMYFUNCTION("""COMPUTED_VALUE"""),192.11)</f>
        <v>192.11</v>
      </c>
      <c r="C3430" s="2">
        <f>IFERROR(__xludf.DUMMYFUNCTION("""COMPUTED_VALUE"""),194.73)</f>
        <v>194.73</v>
      </c>
      <c r="D3430" s="2">
        <f>IFERROR(__xludf.DUMMYFUNCTION("""COMPUTED_VALUE"""),187.28)</f>
        <v>187.28</v>
      </c>
      <c r="E3430" s="2">
        <f>IFERROR(__xludf.DUMMYFUNCTION("""COMPUTED_VALUE"""),188.13)</f>
        <v>188.13</v>
      </c>
      <c r="F3430" s="2">
        <f>IFERROR(__xludf.DUMMYFUNCTION("""COMPUTED_VALUE"""),9.5498597E7)</f>
        <v>95498597</v>
      </c>
    </row>
    <row r="3431">
      <c r="A3431" s="3">
        <f>IFERROR(__xludf.DUMMYFUNCTION("""COMPUTED_VALUE"""),45335.66666666667)</f>
        <v>45335.66667</v>
      </c>
      <c r="B3431" s="2">
        <f>IFERROR(__xludf.DUMMYFUNCTION("""COMPUTED_VALUE"""),183.99)</f>
        <v>183.99</v>
      </c>
      <c r="C3431" s="2">
        <f>IFERROR(__xludf.DUMMYFUNCTION("""COMPUTED_VALUE"""),187.26)</f>
        <v>187.26</v>
      </c>
      <c r="D3431" s="2">
        <f>IFERROR(__xludf.DUMMYFUNCTION("""COMPUTED_VALUE"""),182.11)</f>
        <v>182.11</v>
      </c>
      <c r="E3431" s="2">
        <f>IFERROR(__xludf.DUMMYFUNCTION("""COMPUTED_VALUE"""),184.02)</f>
        <v>184.02</v>
      </c>
      <c r="F3431" s="2">
        <f>IFERROR(__xludf.DUMMYFUNCTION("""COMPUTED_VALUE"""),8.6759478E7)</f>
        <v>86759478</v>
      </c>
    </row>
    <row r="3432">
      <c r="A3432" s="3">
        <f>IFERROR(__xludf.DUMMYFUNCTION("""COMPUTED_VALUE"""),45336.66666666667)</f>
        <v>45336.66667</v>
      </c>
      <c r="B3432" s="2">
        <f>IFERROR(__xludf.DUMMYFUNCTION("""COMPUTED_VALUE"""),185.3)</f>
        <v>185.3</v>
      </c>
      <c r="C3432" s="2">
        <f>IFERROR(__xludf.DUMMYFUNCTION("""COMPUTED_VALUE"""),188.89)</f>
        <v>188.89</v>
      </c>
      <c r="D3432" s="2">
        <f>IFERROR(__xludf.DUMMYFUNCTION("""COMPUTED_VALUE"""),183.35)</f>
        <v>183.35</v>
      </c>
      <c r="E3432" s="2">
        <f>IFERROR(__xludf.DUMMYFUNCTION("""COMPUTED_VALUE"""),188.71)</f>
        <v>188.71</v>
      </c>
      <c r="F3432" s="2">
        <f>IFERROR(__xludf.DUMMYFUNCTION("""COMPUTED_VALUE"""),8.1202987E7)</f>
        <v>81202987</v>
      </c>
    </row>
    <row r="3433">
      <c r="A3433" s="3">
        <f>IFERROR(__xludf.DUMMYFUNCTION("""COMPUTED_VALUE"""),45337.66666666667)</f>
        <v>45337.66667</v>
      </c>
      <c r="B3433" s="2">
        <f>IFERROR(__xludf.DUMMYFUNCTION("""COMPUTED_VALUE"""),189.16)</f>
        <v>189.16</v>
      </c>
      <c r="C3433" s="2">
        <f>IFERROR(__xludf.DUMMYFUNCTION("""COMPUTED_VALUE"""),200.88)</f>
        <v>200.88</v>
      </c>
      <c r="D3433" s="2">
        <f>IFERROR(__xludf.DUMMYFUNCTION("""COMPUTED_VALUE"""),188.86)</f>
        <v>188.86</v>
      </c>
      <c r="E3433" s="2">
        <f>IFERROR(__xludf.DUMMYFUNCTION("""COMPUTED_VALUE"""),200.45)</f>
        <v>200.45</v>
      </c>
      <c r="F3433" s="2">
        <f>IFERROR(__xludf.DUMMYFUNCTION("""COMPUTED_VALUE"""),1.20831762E8)</f>
        <v>120831762</v>
      </c>
    </row>
    <row r="3434">
      <c r="A3434" s="3">
        <f>IFERROR(__xludf.DUMMYFUNCTION("""COMPUTED_VALUE"""),45338.66666666667)</f>
        <v>45338.66667</v>
      </c>
      <c r="B3434" s="2">
        <f>IFERROR(__xludf.DUMMYFUNCTION("""COMPUTED_VALUE"""),202.06)</f>
        <v>202.06</v>
      </c>
      <c r="C3434" s="2">
        <f>IFERROR(__xludf.DUMMYFUNCTION("""COMPUTED_VALUE"""),203.17)</f>
        <v>203.17</v>
      </c>
      <c r="D3434" s="2">
        <f>IFERROR(__xludf.DUMMYFUNCTION("""COMPUTED_VALUE"""),197.4)</f>
        <v>197.4</v>
      </c>
      <c r="E3434" s="2">
        <f>IFERROR(__xludf.DUMMYFUNCTION("""COMPUTED_VALUE"""),199.95)</f>
        <v>199.95</v>
      </c>
      <c r="F3434" s="2">
        <f>IFERROR(__xludf.DUMMYFUNCTION("""COMPUTED_VALUE"""),1.11346705E8)</f>
        <v>111346705</v>
      </c>
    </row>
    <row r="3435">
      <c r="A3435" s="3">
        <f>IFERROR(__xludf.DUMMYFUNCTION("""COMPUTED_VALUE"""),45342.66666666667)</f>
        <v>45342.66667</v>
      </c>
      <c r="B3435" s="2">
        <f>IFERROR(__xludf.DUMMYFUNCTION("""COMPUTED_VALUE"""),196.13)</f>
        <v>196.13</v>
      </c>
      <c r="C3435" s="2">
        <f>IFERROR(__xludf.DUMMYFUNCTION("""COMPUTED_VALUE"""),198.6)</f>
        <v>198.6</v>
      </c>
      <c r="D3435" s="2">
        <f>IFERROR(__xludf.DUMMYFUNCTION("""COMPUTED_VALUE"""),189.13)</f>
        <v>189.13</v>
      </c>
      <c r="E3435" s="2">
        <f>IFERROR(__xludf.DUMMYFUNCTION("""COMPUTED_VALUE"""),193.76)</f>
        <v>193.76</v>
      </c>
      <c r="F3435" s="2">
        <f>IFERROR(__xludf.DUMMYFUNCTION("""COMPUTED_VALUE"""),1.04545762E8)</f>
        <v>104545762</v>
      </c>
    </row>
    <row r="3436">
      <c r="A3436" s="3">
        <f>IFERROR(__xludf.DUMMYFUNCTION("""COMPUTED_VALUE"""),45343.66666666667)</f>
        <v>45343.66667</v>
      </c>
      <c r="B3436" s="2">
        <f>IFERROR(__xludf.DUMMYFUNCTION("""COMPUTED_VALUE"""),193.36)</f>
        <v>193.36</v>
      </c>
      <c r="C3436" s="2">
        <f>IFERROR(__xludf.DUMMYFUNCTION("""COMPUTED_VALUE"""),199.44)</f>
        <v>199.44</v>
      </c>
      <c r="D3436" s="2">
        <f>IFERROR(__xludf.DUMMYFUNCTION("""COMPUTED_VALUE"""),191.95)</f>
        <v>191.95</v>
      </c>
      <c r="E3436" s="2">
        <f>IFERROR(__xludf.DUMMYFUNCTION("""COMPUTED_VALUE"""),194.77)</f>
        <v>194.77</v>
      </c>
      <c r="F3436" s="2">
        <f>IFERROR(__xludf.DUMMYFUNCTION("""COMPUTED_VALUE"""),1.03844008E8)</f>
        <v>103844008</v>
      </c>
    </row>
    <row r="3437">
      <c r="A3437" s="3">
        <f>IFERROR(__xludf.DUMMYFUNCTION("""COMPUTED_VALUE"""),45344.66666666667)</f>
        <v>45344.66667</v>
      </c>
      <c r="B3437" s="2">
        <f>IFERROR(__xludf.DUMMYFUNCTION("""COMPUTED_VALUE"""),194.0)</f>
        <v>194</v>
      </c>
      <c r="C3437" s="2">
        <f>IFERROR(__xludf.DUMMYFUNCTION("""COMPUTED_VALUE"""),198.32)</f>
        <v>198.32</v>
      </c>
      <c r="D3437" s="2">
        <f>IFERROR(__xludf.DUMMYFUNCTION("""COMPUTED_VALUE"""),191.36)</f>
        <v>191.36</v>
      </c>
      <c r="E3437" s="2">
        <f>IFERROR(__xludf.DUMMYFUNCTION("""COMPUTED_VALUE"""),197.41)</f>
        <v>197.41</v>
      </c>
      <c r="F3437" s="2">
        <f>IFERROR(__xludf.DUMMYFUNCTION("""COMPUTED_VALUE"""),9.2739461E7)</f>
        <v>92739461</v>
      </c>
    </row>
    <row r="3438">
      <c r="A3438" s="3">
        <f>IFERROR(__xludf.DUMMYFUNCTION("""COMPUTED_VALUE"""),45345.66666666667)</f>
        <v>45345.66667</v>
      </c>
      <c r="B3438" s="2">
        <f>IFERROR(__xludf.DUMMYFUNCTION("""COMPUTED_VALUE"""),195.31)</f>
        <v>195.31</v>
      </c>
      <c r="C3438" s="2">
        <f>IFERROR(__xludf.DUMMYFUNCTION("""COMPUTED_VALUE"""),197.57)</f>
        <v>197.57</v>
      </c>
      <c r="D3438" s="2">
        <f>IFERROR(__xludf.DUMMYFUNCTION("""COMPUTED_VALUE"""),191.5)</f>
        <v>191.5</v>
      </c>
      <c r="E3438" s="2">
        <f>IFERROR(__xludf.DUMMYFUNCTION("""COMPUTED_VALUE"""),191.97)</f>
        <v>191.97</v>
      </c>
      <c r="F3438" s="2">
        <f>IFERROR(__xludf.DUMMYFUNCTION("""COMPUTED_VALUE"""),7.8841917E7)</f>
        <v>78841917</v>
      </c>
    </row>
    <row r="3439">
      <c r="A3439" s="3">
        <f>IFERROR(__xludf.DUMMYFUNCTION("""COMPUTED_VALUE"""),45348.66666666667)</f>
        <v>45348.66667</v>
      </c>
      <c r="B3439" s="2">
        <f>IFERROR(__xludf.DUMMYFUNCTION("""COMPUTED_VALUE"""),192.29)</f>
        <v>192.29</v>
      </c>
      <c r="C3439" s="2">
        <f>IFERROR(__xludf.DUMMYFUNCTION("""COMPUTED_VALUE"""),201.78)</f>
        <v>201.78</v>
      </c>
      <c r="D3439" s="2">
        <f>IFERROR(__xludf.DUMMYFUNCTION("""COMPUTED_VALUE"""),192.0)</f>
        <v>192</v>
      </c>
      <c r="E3439" s="2">
        <f>IFERROR(__xludf.DUMMYFUNCTION("""COMPUTED_VALUE"""),199.4)</f>
        <v>199.4</v>
      </c>
      <c r="F3439" s="2">
        <f>IFERROR(__xludf.DUMMYFUNCTION("""COMPUTED_VALUE"""),1.11747116E8)</f>
        <v>111747116</v>
      </c>
    </row>
    <row r="3440">
      <c r="A3440" s="3">
        <f>IFERROR(__xludf.DUMMYFUNCTION("""COMPUTED_VALUE"""),45349.66666666667)</f>
        <v>45349.66667</v>
      </c>
      <c r="B3440" s="2">
        <f>IFERROR(__xludf.DUMMYFUNCTION("""COMPUTED_VALUE"""),204.04)</f>
        <v>204.04</v>
      </c>
      <c r="C3440" s="2">
        <f>IFERROR(__xludf.DUMMYFUNCTION("""COMPUTED_VALUE"""),205.6)</f>
        <v>205.6</v>
      </c>
      <c r="D3440" s="2">
        <f>IFERROR(__xludf.DUMMYFUNCTION("""COMPUTED_VALUE"""),198.26)</f>
        <v>198.26</v>
      </c>
      <c r="E3440" s="2">
        <f>IFERROR(__xludf.DUMMYFUNCTION("""COMPUTED_VALUE"""),199.73)</f>
        <v>199.73</v>
      </c>
      <c r="F3440" s="2">
        <f>IFERROR(__xludf.DUMMYFUNCTION("""COMPUTED_VALUE"""),1.08645412E8)</f>
        <v>108645412</v>
      </c>
    </row>
    <row r="3441">
      <c r="A3441" s="3">
        <f>IFERROR(__xludf.DUMMYFUNCTION("""COMPUTED_VALUE"""),45350.66666666667)</f>
        <v>45350.66667</v>
      </c>
      <c r="B3441" s="2">
        <f>IFERROR(__xludf.DUMMYFUNCTION("""COMPUTED_VALUE"""),200.42)</f>
        <v>200.42</v>
      </c>
      <c r="C3441" s="2">
        <f>IFERROR(__xludf.DUMMYFUNCTION("""COMPUTED_VALUE"""),205.3)</f>
        <v>205.3</v>
      </c>
      <c r="D3441" s="2">
        <f>IFERROR(__xludf.DUMMYFUNCTION("""COMPUTED_VALUE"""),198.44)</f>
        <v>198.44</v>
      </c>
      <c r="E3441" s="2">
        <f>IFERROR(__xludf.DUMMYFUNCTION("""COMPUTED_VALUE"""),202.04)</f>
        <v>202.04</v>
      </c>
      <c r="F3441" s="2">
        <f>IFERROR(__xludf.DUMMYFUNCTION("""COMPUTED_VALUE"""),9.9806173E7)</f>
        <v>99806173</v>
      </c>
    </row>
    <row r="3442">
      <c r="A3442" s="3">
        <f>IFERROR(__xludf.DUMMYFUNCTION("""COMPUTED_VALUE"""),45351.66666666667)</f>
        <v>45351.66667</v>
      </c>
      <c r="B3442" s="2">
        <f>IFERROR(__xludf.DUMMYFUNCTION("""COMPUTED_VALUE"""),204.18)</f>
        <v>204.18</v>
      </c>
      <c r="C3442" s="2">
        <f>IFERROR(__xludf.DUMMYFUNCTION("""COMPUTED_VALUE"""),205.28)</f>
        <v>205.28</v>
      </c>
      <c r="D3442" s="2">
        <f>IFERROR(__xludf.DUMMYFUNCTION("""COMPUTED_VALUE"""),198.45)</f>
        <v>198.45</v>
      </c>
      <c r="E3442" s="2">
        <f>IFERROR(__xludf.DUMMYFUNCTION("""COMPUTED_VALUE"""),201.88)</f>
        <v>201.88</v>
      </c>
      <c r="F3442" s="2">
        <f>IFERROR(__xludf.DUMMYFUNCTION("""COMPUTED_VALUE"""),8.5906974E7)</f>
        <v>85906974</v>
      </c>
    </row>
    <row r="3443">
      <c r="A3443" s="3">
        <f>IFERROR(__xludf.DUMMYFUNCTION("""COMPUTED_VALUE"""),45352.66666666667)</f>
        <v>45352.66667</v>
      </c>
      <c r="B3443" s="2">
        <f>IFERROR(__xludf.DUMMYFUNCTION("""COMPUTED_VALUE"""),200.52)</f>
        <v>200.52</v>
      </c>
      <c r="C3443" s="2">
        <f>IFERROR(__xludf.DUMMYFUNCTION("""COMPUTED_VALUE"""),204.52)</f>
        <v>204.52</v>
      </c>
      <c r="D3443" s="2">
        <f>IFERROR(__xludf.DUMMYFUNCTION("""COMPUTED_VALUE"""),198.5)</f>
        <v>198.5</v>
      </c>
      <c r="E3443" s="2">
        <f>IFERROR(__xludf.DUMMYFUNCTION("""COMPUTED_VALUE"""),202.64)</f>
        <v>202.64</v>
      </c>
      <c r="F3443" s="2">
        <f>IFERROR(__xludf.DUMMYFUNCTION("""COMPUTED_VALUE"""),8.2243119E7)</f>
        <v>82243119</v>
      </c>
    </row>
    <row r="3444">
      <c r="A3444" s="3">
        <f>IFERROR(__xludf.DUMMYFUNCTION("""COMPUTED_VALUE"""),45355.66666666667)</f>
        <v>45355.66667</v>
      </c>
      <c r="B3444" s="2">
        <f>IFERROR(__xludf.DUMMYFUNCTION("""COMPUTED_VALUE"""),198.73)</f>
        <v>198.73</v>
      </c>
      <c r="C3444" s="2">
        <f>IFERROR(__xludf.DUMMYFUNCTION("""COMPUTED_VALUE"""),199.75)</f>
        <v>199.75</v>
      </c>
      <c r="D3444" s="2">
        <f>IFERROR(__xludf.DUMMYFUNCTION("""COMPUTED_VALUE"""),186.72)</f>
        <v>186.72</v>
      </c>
      <c r="E3444" s="2">
        <f>IFERROR(__xludf.DUMMYFUNCTION("""COMPUTED_VALUE"""),188.14)</f>
        <v>188.14</v>
      </c>
      <c r="F3444" s="2">
        <f>IFERROR(__xludf.DUMMYFUNCTION("""COMPUTED_VALUE"""),1.34334869E8)</f>
        <v>134334869</v>
      </c>
    </row>
    <row r="3445">
      <c r="A3445" s="3">
        <f>IFERROR(__xludf.DUMMYFUNCTION("""COMPUTED_VALUE"""),45356.66666666667)</f>
        <v>45356.66667</v>
      </c>
      <c r="B3445" s="2">
        <f>IFERROR(__xludf.DUMMYFUNCTION("""COMPUTED_VALUE"""),183.05)</f>
        <v>183.05</v>
      </c>
      <c r="C3445" s="2">
        <f>IFERROR(__xludf.DUMMYFUNCTION("""COMPUTED_VALUE"""),184.59)</f>
        <v>184.59</v>
      </c>
      <c r="D3445" s="2">
        <f>IFERROR(__xludf.DUMMYFUNCTION("""COMPUTED_VALUE"""),177.57)</f>
        <v>177.57</v>
      </c>
      <c r="E3445" s="2">
        <f>IFERROR(__xludf.DUMMYFUNCTION("""COMPUTED_VALUE"""),180.74)</f>
        <v>180.74</v>
      </c>
      <c r="F3445" s="2">
        <f>IFERROR(__xludf.DUMMYFUNCTION("""COMPUTED_VALUE"""),1.19660758E8)</f>
        <v>119660758</v>
      </c>
    </row>
    <row r="3446">
      <c r="A3446" s="3">
        <f>IFERROR(__xludf.DUMMYFUNCTION("""COMPUTED_VALUE"""),45357.66666666667)</f>
        <v>45357.66667</v>
      </c>
      <c r="B3446" s="2">
        <f>IFERROR(__xludf.DUMMYFUNCTION("""COMPUTED_VALUE"""),179.99)</f>
        <v>179.99</v>
      </c>
      <c r="C3446" s="2">
        <f>IFERROR(__xludf.DUMMYFUNCTION("""COMPUTED_VALUE"""),181.58)</f>
        <v>181.58</v>
      </c>
      <c r="D3446" s="2">
        <f>IFERROR(__xludf.DUMMYFUNCTION("""COMPUTED_VALUE"""),173.7)</f>
        <v>173.7</v>
      </c>
      <c r="E3446" s="2">
        <f>IFERROR(__xludf.DUMMYFUNCTION("""COMPUTED_VALUE"""),176.54)</f>
        <v>176.54</v>
      </c>
      <c r="F3446" s="2">
        <f>IFERROR(__xludf.DUMMYFUNCTION("""COMPUTED_VALUE"""),1.07920944E8)</f>
        <v>107920944</v>
      </c>
    </row>
    <row r="3447">
      <c r="A3447" s="3">
        <f>IFERROR(__xludf.DUMMYFUNCTION("""COMPUTED_VALUE"""),45358.66666666667)</f>
        <v>45358.66667</v>
      </c>
      <c r="B3447" s="2">
        <f>IFERROR(__xludf.DUMMYFUNCTION("""COMPUTED_VALUE"""),174.35)</f>
        <v>174.35</v>
      </c>
      <c r="C3447" s="2">
        <f>IFERROR(__xludf.DUMMYFUNCTION("""COMPUTED_VALUE"""),180.04)</f>
        <v>180.04</v>
      </c>
      <c r="D3447" s="2">
        <f>IFERROR(__xludf.DUMMYFUNCTION("""COMPUTED_VALUE"""),173.7)</f>
        <v>173.7</v>
      </c>
      <c r="E3447" s="2">
        <f>IFERROR(__xludf.DUMMYFUNCTION("""COMPUTED_VALUE"""),178.65)</f>
        <v>178.65</v>
      </c>
      <c r="F3447" s="2">
        <f>IFERROR(__xludf.DUMMYFUNCTION("""COMPUTED_VALUE"""),1.02129004E8)</f>
        <v>102129004</v>
      </c>
    </row>
    <row r="3448">
      <c r="A3448" s="3">
        <f>IFERROR(__xludf.DUMMYFUNCTION("""COMPUTED_VALUE"""),45359.66666666667)</f>
        <v>45359.66667</v>
      </c>
      <c r="B3448" s="2">
        <f>IFERROR(__xludf.DUMMYFUNCTION("""COMPUTED_VALUE"""),181.5)</f>
        <v>181.5</v>
      </c>
      <c r="C3448" s="2">
        <f>IFERROR(__xludf.DUMMYFUNCTION("""COMPUTED_VALUE"""),182.73)</f>
        <v>182.73</v>
      </c>
      <c r="D3448" s="2">
        <f>IFERROR(__xludf.DUMMYFUNCTION("""COMPUTED_VALUE"""),174.7)</f>
        <v>174.7</v>
      </c>
      <c r="E3448" s="2">
        <f>IFERROR(__xludf.DUMMYFUNCTION("""COMPUTED_VALUE"""),175.34)</f>
        <v>175.34</v>
      </c>
      <c r="F3448" s="2">
        <f>IFERROR(__xludf.DUMMYFUNCTION("""COMPUTED_VALUE"""),8.5544644E7)</f>
        <v>85544644</v>
      </c>
    </row>
    <row r="3449">
      <c r="A3449" s="3">
        <f>IFERROR(__xludf.DUMMYFUNCTION("""COMPUTED_VALUE"""),45362.66666666667)</f>
        <v>45362.66667</v>
      </c>
      <c r="B3449" s="2">
        <f>IFERROR(__xludf.DUMMYFUNCTION("""COMPUTED_VALUE"""),175.45)</f>
        <v>175.45</v>
      </c>
      <c r="C3449" s="2">
        <f>IFERROR(__xludf.DUMMYFUNCTION("""COMPUTED_VALUE"""),182.87)</f>
        <v>182.87</v>
      </c>
      <c r="D3449" s="2">
        <f>IFERROR(__xludf.DUMMYFUNCTION("""COMPUTED_VALUE"""),174.8)</f>
        <v>174.8</v>
      </c>
      <c r="E3449" s="2">
        <f>IFERROR(__xludf.DUMMYFUNCTION("""COMPUTED_VALUE"""),177.77)</f>
        <v>177.77</v>
      </c>
      <c r="F3449" s="2">
        <f>IFERROR(__xludf.DUMMYFUNCTION("""COMPUTED_VALUE"""),8.5391528E7)</f>
        <v>85391528</v>
      </c>
    </row>
    <row r="3450">
      <c r="A3450" s="3">
        <f>IFERROR(__xludf.DUMMYFUNCTION("""COMPUTED_VALUE"""),45363.66666666667)</f>
        <v>45363.66667</v>
      </c>
      <c r="B3450" s="2">
        <f>IFERROR(__xludf.DUMMYFUNCTION("""COMPUTED_VALUE"""),177.77)</f>
        <v>177.77</v>
      </c>
      <c r="C3450" s="2">
        <f>IFERROR(__xludf.DUMMYFUNCTION("""COMPUTED_VALUE"""),179.43)</f>
        <v>179.43</v>
      </c>
      <c r="D3450" s="2">
        <f>IFERROR(__xludf.DUMMYFUNCTION("""COMPUTED_VALUE"""),172.41)</f>
        <v>172.41</v>
      </c>
      <c r="E3450" s="2">
        <f>IFERROR(__xludf.DUMMYFUNCTION("""COMPUTED_VALUE"""),177.54)</f>
        <v>177.54</v>
      </c>
      <c r="F3450" s="2">
        <f>IFERROR(__xludf.DUMMYFUNCTION("""COMPUTED_VALUE"""),8.7391684E7)</f>
        <v>87391684</v>
      </c>
    </row>
    <row r="3451">
      <c r="A3451" s="3">
        <f>IFERROR(__xludf.DUMMYFUNCTION("""COMPUTED_VALUE"""),45364.66666666667)</f>
        <v>45364.66667</v>
      </c>
      <c r="B3451" s="2">
        <f>IFERROR(__xludf.DUMMYFUNCTION("""COMPUTED_VALUE"""),173.05)</f>
        <v>173.05</v>
      </c>
      <c r="C3451" s="2">
        <f>IFERROR(__xludf.DUMMYFUNCTION("""COMPUTED_VALUE"""),176.05)</f>
        <v>176.05</v>
      </c>
      <c r="D3451" s="2">
        <f>IFERROR(__xludf.DUMMYFUNCTION("""COMPUTED_VALUE"""),169.15)</f>
        <v>169.15</v>
      </c>
      <c r="E3451" s="2">
        <f>IFERROR(__xludf.DUMMYFUNCTION("""COMPUTED_VALUE"""),169.48)</f>
        <v>169.48</v>
      </c>
      <c r="F3451" s="2">
        <f>IFERROR(__xludf.DUMMYFUNCTION("""COMPUTED_VALUE"""),1.06524518E8)</f>
        <v>106524518</v>
      </c>
    </row>
    <row r="3452">
      <c r="A3452" s="3">
        <f>IFERROR(__xludf.DUMMYFUNCTION("""COMPUTED_VALUE"""),45365.66666666667)</f>
        <v>45365.66667</v>
      </c>
      <c r="B3452" s="2">
        <f>IFERROR(__xludf.DUMMYFUNCTION("""COMPUTED_VALUE"""),167.77)</f>
        <v>167.77</v>
      </c>
      <c r="C3452" s="2">
        <f>IFERROR(__xludf.DUMMYFUNCTION("""COMPUTED_VALUE"""),171.17)</f>
        <v>171.17</v>
      </c>
      <c r="D3452" s="2">
        <f>IFERROR(__xludf.DUMMYFUNCTION("""COMPUTED_VALUE"""),160.51)</f>
        <v>160.51</v>
      </c>
      <c r="E3452" s="2">
        <f>IFERROR(__xludf.DUMMYFUNCTION("""COMPUTED_VALUE"""),162.5)</f>
        <v>162.5</v>
      </c>
      <c r="F3452" s="2">
        <f>IFERROR(__xludf.DUMMYFUNCTION("""COMPUTED_VALUE"""),1.26325696E8)</f>
        <v>126325696</v>
      </c>
    </row>
    <row r="3453">
      <c r="A3453" s="3">
        <f>IFERROR(__xludf.DUMMYFUNCTION("""COMPUTED_VALUE"""),45366.66666666667)</f>
        <v>45366.66667</v>
      </c>
      <c r="B3453" s="2">
        <f>IFERROR(__xludf.DUMMYFUNCTION("""COMPUTED_VALUE"""),163.16)</f>
        <v>163.16</v>
      </c>
      <c r="C3453" s="2">
        <f>IFERROR(__xludf.DUMMYFUNCTION("""COMPUTED_VALUE"""),165.18)</f>
        <v>165.18</v>
      </c>
      <c r="D3453" s="2">
        <f>IFERROR(__xludf.DUMMYFUNCTION("""COMPUTED_VALUE"""),160.76)</f>
        <v>160.76</v>
      </c>
      <c r="E3453" s="2">
        <f>IFERROR(__xludf.DUMMYFUNCTION("""COMPUTED_VALUE"""),163.57)</f>
        <v>163.57</v>
      </c>
      <c r="F3453" s="2">
        <f>IFERROR(__xludf.DUMMYFUNCTION("""COMPUTED_VALUE"""),9.7146832E7)</f>
        <v>97146832</v>
      </c>
    </row>
    <row r="3454">
      <c r="A3454" s="3">
        <f>IFERROR(__xludf.DUMMYFUNCTION("""COMPUTED_VALUE"""),45369.66666666667)</f>
        <v>45369.66667</v>
      </c>
      <c r="B3454" s="2">
        <f>IFERROR(__xludf.DUMMYFUNCTION("""COMPUTED_VALUE"""),170.02)</f>
        <v>170.02</v>
      </c>
      <c r="C3454" s="2">
        <f>IFERROR(__xludf.DUMMYFUNCTION("""COMPUTED_VALUE"""),174.72)</f>
        <v>174.72</v>
      </c>
      <c r="D3454" s="2">
        <f>IFERROR(__xludf.DUMMYFUNCTION("""COMPUTED_VALUE"""),165.9)</f>
        <v>165.9</v>
      </c>
      <c r="E3454" s="2">
        <f>IFERROR(__xludf.DUMMYFUNCTION("""COMPUTED_VALUE"""),173.8)</f>
        <v>173.8</v>
      </c>
      <c r="F3454" s="2">
        <f>IFERROR(__xludf.DUMMYFUNCTION("""COMPUTED_VALUE"""),1.08214358E8)</f>
        <v>108214358</v>
      </c>
    </row>
    <row r="3455">
      <c r="A3455" s="3">
        <f>IFERROR(__xludf.DUMMYFUNCTION("""COMPUTED_VALUE"""),45370.66666666667)</f>
        <v>45370.66667</v>
      </c>
      <c r="B3455" s="2">
        <f>IFERROR(__xludf.DUMMYFUNCTION("""COMPUTED_VALUE"""),172.36)</f>
        <v>172.36</v>
      </c>
      <c r="C3455" s="2">
        <f>IFERROR(__xludf.DUMMYFUNCTION("""COMPUTED_VALUE"""),172.82)</f>
        <v>172.82</v>
      </c>
      <c r="D3455" s="2">
        <f>IFERROR(__xludf.DUMMYFUNCTION("""COMPUTED_VALUE"""),167.42)</f>
        <v>167.42</v>
      </c>
      <c r="E3455" s="2">
        <f>IFERROR(__xludf.DUMMYFUNCTION("""COMPUTED_VALUE"""),171.32)</f>
        <v>171.32</v>
      </c>
      <c r="F3455" s="2">
        <f>IFERROR(__xludf.DUMMYFUNCTION("""COMPUTED_VALUE"""),7.7271428E7)</f>
        <v>77271428</v>
      </c>
    </row>
    <row r="3456">
      <c r="A3456" s="3">
        <f>IFERROR(__xludf.DUMMYFUNCTION("""COMPUTED_VALUE"""),45371.66666666667)</f>
        <v>45371.66667</v>
      </c>
      <c r="B3456" s="2">
        <f>IFERROR(__xludf.DUMMYFUNCTION("""COMPUTED_VALUE"""),173.0)</f>
        <v>173</v>
      </c>
      <c r="C3456" s="2">
        <f>IFERROR(__xludf.DUMMYFUNCTION("""COMPUTED_VALUE"""),176.25)</f>
        <v>176.25</v>
      </c>
      <c r="D3456" s="2">
        <f>IFERROR(__xludf.DUMMYFUNCTION("""COMPUTED_VALUE"""),170.82)</f>
        <v>170.82</v>
      </c>
      <c r="E3456" s="2">
        <f>IFERROR(__xludf.DUMMYFUNCTION("""COMPUTED_VALUE"""),175.66)</f>
        <v>175.66</v>
      </c>
      <c r="F3456" s="2">
        <f>IFERROR(__xludf.DUMMYFUNCTION("""COMPUTED_VALUE"""),8.3846726E7)</f>
        <v>83846726</v>
      </c>
    </row>
    <row r="3457">
      <c r="A3457" s="3">
        <f>IFERROR(__xludf.DUMMYFUNCTION("""COMPUTED_VALUE"""),45372.66666666667)</f>
        <v>45372.66667</v>
      </c>
      <c r="B3457" s="2">
        <f>IFERROR(__xludf.DUMMYFUNCTION("""COMPUTED_VALUE"""),176.39)</f>
        <v>176.39</v>
      </c>
      <c r="C3457" s="2">
        <f>IFERROR(__xludf.DUMMYFUNCTION("""COMPUTED_VALUE"""),178.18)</f>
        <v>178.18</v>
      </c>
      <c r="D3457" s="2">
        <f>IFERROR(__xludf.DUMMYFUNCTION("""COMPUTED_VALUE"""),171.8)</f>
        <v>171.8</v>
      </c>
      <c r="E3457" s="2">
        <f>IFERROR(__xludf.DUMMYFUNCTION("""COMPUTED_VALUE"""),172.82)</f>
        <v>172.82</v>
      </c>
      <c r="F3457" s="2">
        <f>IFERROR(__xludf.DUMMYFUNCTION("""COMPUTED_VALUE"""),7.3178014E7)</f>
        <v>73178014</v>
      </c>
    </row>
    <row r="3458">
      <c r="A3458" s="3">
        <f>IFERROR(__xludf.DUMMYFUNCTION("""COMPUTED_VALUE"""),45373.66666666667)</f>
        <v>45373.66667</v>
      </c>
      <c r="B3458" s="2">
        <f>IFERROR(__xludf.DUMMYFUNCTION("""COMPUTED_VALUE"""),166.69)</f>
        <v>166.69</v>
      </c>
      <c r="C3458" s="2">
        <f>IFERROR(__xludf.DUMMYFUNCTION("""COMPUTED_VALUE"""),171.2)</f>
        <v>171.2</v>
      </c>
      <c r="D3458" s="2">
        <f>IFERROR(__xludf.DUMMYFUNCTION("""COMPUTED_VALUE"""),166.3)</f>
        <v>166.3</v>
      </c>
      <c r="E3458" s="2">
        <f>IFERROR(__xludf.DUMMYFUNCTION("""COMPUTED_VALUE"""),170.83)</f>
        <v>170.83</v>
      </c>
      <c r="F3458" s="2">
        <f>IFERROR(__xludf.DUMMYFUNCTION("""COMPUTED_VALUE"""),7.5580637E7)</f>
        <v>75580637</v>
      </c>
    </row>
    <row r="3459">
      <c r="A3459" s="3">
        <f>IFERROR(__xludf.DUMMYFUNCTION("""COMPUTED_VALUE"""),45376.66666666667)</f>
        <v>45376.66667</v>
      </c>
      <c r="B3459" s="2">
        <f>IFERROR(__xludf.DUMMYFUNCTION("""COMPUTED_VALUE"""),168.76)</f>
        <v>168.76</v>
      </c>
      <c r="C3459" s="2">
        <f>IFERROR(__xludf.DUMMYFUNCTION("""COMPUTED_VALUE"""),175.24)</f>
        <v>175.24</v>
      </c>
      <c r="D3459" s="2">
        <f>IFERROR(__xludf.DUMMYFUNCTION("""COMPUTED_VALUE"""),168.73)</f>
        <v>168.73</v>
      </c>
      <c r="E3459" s="2">
        <f>IFERROR(__xludf.DUMMYFUNCTION("""COMPUTED_VALUE"""),172.63)</f>
        <v>172.63</v>
      </c>
      <c r="F3459" s="2">
        <f>IFERROR(__xludf.DUMMYFUNCTION("""COMPUTED_VALUE"""),7.4228615E7)</f>
        <v>74228615</v>
      </c>
    </row>
    <row r="3460">
      <c r="A3460" s="3">
        <f>IFERROR(__xludf.DUMMYFUNCTION("""COMPUTED_VALUE"""),45377.66666666667)</f>
        <v>45377.66667</v>
      </c>
      <c r="B3460" s="2">
        <f>IFERROR(__xludf.DUMMYFUNCTION("""COMPUTED_VALUE"""),178.58)</f>
        <v>178.58</v>
      </c>
      <c r="C3460" s="2">
        <f>IFERROR(__xludf.DUMMYFUNCTION("""COMPUTED_VALUE"""),184.25)</f>
        <v>184.25</v>
      </c>
      <c r="D3460" s="2">
        <f>IFERROR(__xludf.DUMMYFUNCTION("""COMPUTED_VALUE"""),177.38)</f>
        <v>177.38</v>
      </c>
      <c r="E3460" s="2">
        <f>IFERROR(__xludf.DUMMYFUNCTION("""COMPUTED_VALUE"""),177.67)</f>
        <v>177.67</v>
      </c>
      <c r="F3460" s="2">
        <f>IFERROR(__xludf.DUMMYFUNCTION("""COMPUTED_VALUE"""),1.13186227E8)</f>
        <v>113186227</v>
      </c>
    </row>
    <row r="3461">
      <c r="A3461" s="3">
        <f>IFERROR(__xludf.DUMMYFUNCTION("""COMPUTED_VALUE"""),45378.66666666667)</f>
        <v>45378.66667</v>
      </c>
      <c r="B3461" s="2">
        <f>IFERROR(__xludf.DUMMYFUNCTION("""COMPUTED_VALUE"""),181.41)</f>
        <v>181.41</v>
      </c>
      <c r="C3461" s="2">
        <f>IFERROR(__xludf.DUMMYFUNCTION("""COMPUTED_VALUE"""),181.91)</f>
        <v>181.91</v>
      </c>
      <c r="D3461" s="2">
        <f>IFERROR(__xludf.DUMMYFUNCTION("""COMPUTED_VALUE"""),176.0)</f>
        <v>176</v>
      </c>
      <c r="E3461" s="2">
        <f>IFERROR(__xludf.DUMMYFUNCTION("""COMPUTED_VALUE"""),179.83)</f>
        <v>179.83</v>
      </c>
      <c r="F3461" s="2">
        <f>IFERROR(__xludf.DUMMYFUNCTION("""COMPUTED_VALUE"""),8.1804043E7)</f>
        <v>81804043</v>
      </c>
    </row>
    <row r="3462">
      <c r="A3462" s="3">
        <f>IFERROR(__xludf.DUMMYFUNCTION("""COMPUTED_VALUE"""),45379.66666666667)</f>
        <v>45379.66667</v>
      </c>
      <c r="B3462" s="2">
        <f>IFERROR(__xludf.DUMMYFUNCTION("""COMPUTED_VALUE"""),177.45)</f>
        <v>177.45</v>
      </c>
      <c r="C3462" s="2">
        <f>IFERROR(__xludf.DUMMYFUNCTION("""COMPUTED_VALUE"""),179.57)</f>
        <v>179.57</v>
      </c>
      <c r="D3462" s="2">
        <f>IFERROR(__xludf.DUMMYFUNCTION("""COMPUTED_VALUE"""),175.3)</f>
        <v>175.3</v>
      </c>
      <c r="E3462" s="2">
        <f>IFERROR(__xludf.DUMMYFUNCTION("""COMPUTED_VALUE"""),175.79)</f>
        <v>175.79</v>
      </c>
      <c r="F3462" s="2">
        <f>IFERROR(__xludf.DUMMYFUNCTION("""COMPUTED_VALUE"""),7.7654838E7)</f>
        <v>77654838</v>
      </c>
    </row>
    <row r="3463">
      <c r="A3463" s="3">
        <f>IFERROR(__xludf.DUMMYFUNCTION("""COMPUTED_VALUE"""),45383.66666666667)</f>
        <v>45383.66667</v>
      </c>
      <c r="B3463" s="2">
        <f>IFERROR(__xludf.DUMMYFUNCTION("""COMPUTED_VALUE"""),176.17)</f>
        <v>176.17</v>
      </c>
      <c r="C3463" s="2">
        <f>IFERROR(__xludf.DUMMYFUNCTION("""COMPUTED_VALUE"""),176.75)</f>
        <v>176.75</v>
      </c>
      <c r="D3463" s="2">
        <f>IFERROR(__xludf.DUMMYFUNCTION("""COMPUTED_VALUE"""),170.21)</f>
        <v>170.21</v>
      </c>
      <c r="E3463" s="2">
        <f>IFERROR(__xludf.DUMMYFUNCTION("""COMPUTED_VALUE"""),175.22)</f>
        <v>175.22</v>
      </c>
      <c r="F3463" s="2">
        <f>IFERROR(__xludf.DUMMYFUNCTION("""COMPUTED_VALUE"""),8.1562127E7)</f>
        <v>81562127</v>
      </c>
    </row>
    <row r="3464">
      <c r="A3464" s="3">
        <f>IFERROR(__xludf.DUMMYFUNCTION("""COMPUTED_VALUE"""),45384.66666666667)</f>
        <v>45384.66667</v>
      </c>
      <c r="B3464" s="2">
        <f>IFERROR(__xludf.DUMMYFUNCTION("""COMPUTED_VALUE"""),164.75)</f>
        <v>164.75</v>
      </c>
      <c r="C3464" s="2">
        <f>IFERROR(__xludf.DUMMYFUNCTION("""COMPUTED_VALUE"""),167.69)</f>
        <v>167.69</v>
      </c>
      <c r="D3464" s="2">
        <f>IFERROR(__xludf.DUMMYFUNCTION("""COMPUTED_VALUE"""),163.43)</f>
        <v>163.43</v>
      </c>
      <c r="E3464" s="2">
        <f>IFERROR(__xludf.DUMMYFUNCTION("""COMPUTED_VALUE"""),166.63)</f>
        <v>166.63</v>
      </c>
      <c r="F3464" s="2">
        <f>IFERROR(__xludf.DUMMYFUNCTION("""COMPUTED_VALUE"""),1.16650594E8)</f>
        <v>116650594</v>
      </c>
    </row>
    <row r="3465">
      <c r="A3465" s="3">
        <f>IFERROR(__xludf.DUMMYFUNCTION("""COMPUTED_VALUE"""),45385.66666666667)</f>
        <v>45385.66667</v>
      </c>
      <c r="B3465" s="2">
        <f>IFERROR(__xludf.DUMMYFUNCTION("""COMPUTED_VALUE"""),164.02)</f>
        <v>164.02</v>
      </c>
      <c r="C3465" s="2">
        <f>IFERROR(__xludf.DUMMYFUNCTION("""COMPUTED_VALUE"""),168.82)</f>
        <v>168.82</v>
      </c>
      <c r="D3465" s="2">
        <f>IFERROR(__xludf.DUMMYFUNCTION("""COMPUTED_VALUE"""),163.28)</f>
        <v>163.28</v>
      </c>
      <c r="E3465" s="2">
        <f>IFERROR(__xludf.DUMMYFUNCTION("""COMPUTED_VALUE"""),168.38)</f>
        <v>168.38</v>
      </c>
      <c r="F3465" s="2">
        <f>IFERROR(__xludf.DUMMYFUNCTION("""COMPUTED_VALUE"""),8.2950141E7)</f>
        <v>82950141</v>
      </c>
    </row>
    <row r="3466">
      <c r="A3466" s="3">
        <f>IFERROR(__xludf.DUMMYFUNCTION("""COMPUTED_VALUE"""),45386.66666666667)</f>
        <v>45386.66667</v>
      </c>
      <c r="B3466" s="2">
        <f>IFERROR(__xludf.DUMMYFUNCTION("""COMPUTED_VALUE"""),170.07)</f>
        <v>170.07</v>
      </c>
      <c r="C3466" s="2">
        <f>IFERROR(__xludf.DUMMYFUNCTION("""COMPUTED_VALUE"""),177.19)</f>
        <v>177.19</v>
      </c>
      <c r="D3466" s="2">
        <f>IFERROR(__xludf.DUMMYFUNCTION("""COMPUTED_VALUE"""),168.01)</f>
        <v>168.01</v>
      </c>
      <c r="E3466" s="2">
        <f>IFERROR(__xludf.DUMMYFUNCTION("""COMPUTED_VALUE"""),171.11)</f>
        <v>171.11</v>
      </c>
      <c r="F3466" s="2">
        <f>IFERROR(__xludf.DUMMYFUNCTION("""COMPUTED_VALUE"""),1.2316196E8)</f>
        <v>123161960</v>
      </c>
    </row>
    <row r="3467">
      <c r="A3467" s="3">
        <f>IFERROR(__xludf.DUMMYFUNCTION("""COMPUTED_VALUE"""),45387.66666666667)</f>
        <v>45387.66667</v>
      </c>
      <c r="B3467" s="2">
        <f>IFERROR(__xludf.DUMMYFUNCTION("""COMPUTED_VALUE"""),169.08)</f>
        <v>169.08</v>
      </c>
      <c r="C3467" s="2">
        <f>IFERROR(__xludf.DUMMYFUNCTION("""COMPUTED_VALUE"""),170.86)</f>
        <v>170.86</v>
      </c>
      <c r="D3467" s="2">
        <f>IFERROR(__xludf.DUMMYFUNCTION("""COMPUTED_VALUE"""),160.51)</f>
        <v>160.51</v>
      </c>
      <c r="E3467" s="2">
        <f>IFERROR(__xludf.DUMMYFUNCTION("""COMPUTED_VALUE"""),164.9)</f>
        <v>164.9</v>
      </c>
      <c r="F3467" s="2">
        <f>IFERROR(__xludf.DUMMYFUNCTION("""COMPUTED_VALUE"""),1.43157603E8)</f>
        <v>143157603</v>
      </c>
    </row>
    <row r="3468">
      <c r="A3468" s="3">
        <f>IFERROR(__xludf.DUMMYFUNCTION("""COMPUTED_VALUE"""),45390.66666666667)</f>
        <v>45390.66667</v>
      </c>
      <c r="B3468" s="2">
        <f>IFERROR(__xludf.DUMMYFUNCTION("""COMPUTED_VALUE"""),169.34)</f>
        <v>169.34</v>
      </c>
      <c r="C3468" s="2">
        <f>IFERROR(__xludf.DUMMYFUNCTION("""COMPUTED_VALUE"""),174.5)</f>
        <v>174.5</v>
      </c>
      <c r="D3468" s="2">
        <f>IFERROR(__xludf.DUMMYFUNCTION("""COMPUTED_VALUE"""),167.79)</f>
        <v>167.79</v>
      </c>
      <c r="E3468" s="2">
        <f>IFERROR(__xludf.DUMMYFUNCTION("""COMPUTED_VALUE"""),172.98)</f>
        <v>172.98</v>
      </c>
      <c r="F3468" s="2">
        <f>IFERROR(__xludf.DUMMYFUNCTION("""COMPUTED_VALUE"""),1.0442332E8)</f>
        <v>104423320</v>
      </c>
    </row>
    <row r="3469">
      <c r="A3469" s="3">
        <f>IFERROR(__xludf.DUMMYFUNCTION("""COMPUTED_VALUE"""),45391.66666666667)</f>
        <v>45391.66667</v>
      </c>
      <c r="B3469" s="2">
        <f>IFERROR(__xludf.DUMMYFUNCTION("""COMPUTED_VALUE"""),172.91)</f>
        <v>172.91</v>
      </c>
      <c r="C3469" s="2">
        <f>IFERROR(__xludf.DUMMYFUNCTION("""COMPUTED_VALUE"""),179.22)</f>
        <v>179.22</v>
      </c>
      <c r="D3469" s="2">
        <f>IFERROR(__xludf.DUMMYFUNCTION("""COMPUTED_VALUE"""),171.92)</f>
        <v>171.92</v>
      </c>
      <c r="E3469" s="2">
        <f>IFERROR(__xludf.DUMMYFUNCTION("""COMPUTED_VALUE"""),176.88)</f>
        <v>176.88</v>
      </c>
      <c r="F3469" s="2">
        <f>IFERROR(__xludf.DUMMYFUNCTION("""COMPUTED_VALUE"""),1.03232675E8)</f>
        <v>103232675</v>
      </c>
    </row>
    <row r="3470">
      <c r="A3470" s="3">
        <f>IFERROR(__xludf.DUMMYFUNCTION("""COMPUTED_VALUE"""),45392.66666666667)</f>
        <v>45392.66667</v>
      </c>
      <c r="B3470" s="2">
        <f>IFERROR(__xludf.DUMMYFUNCTION("""COMPUTED_VALUE"""),173.04)</f>
        <v>173.04</v>
      </c>
      <c r="C3470" s="2">
        <f>IFERROR(__xludf.DUMMYFUNCTION("""COMPUTED_VALUE"""),174.93)</f>
        <v>174.93</v>
      </c>
      <c r="D3470" s="2">
        <f>IFERROR(__xludf.DUMMYFUNCTION("""COMPUTED_VALUE"""),170.01)</f>
        <v>170.01</v>
      </c>
      <c r="E3470" s="2">
        <f>IFERROR(__xludf.DUMMYFUNCTION("""COMPUTED_VALUE"""),171.76)</f>
        <v>171.76</v>
      </c>
      <c r="F3470" s="2">
        <f>IFERROR(__xludf.DUMMYFUNCTION("""COMPUTED_VALUE"""),8.4532407E7)</f>
        <v>84532407</v>
      </c>
    </row>
    <row r="3471">
      <c r="A3471" s="3">
        <f>IFERROR(__xludf.DUMMYFUNCTION("""COMPUTED_VALUE"""),45393.66666666667)</f>
        <v>45393.66667</v>
      </c>
      <c r="B3471" s="2">
        <f>IFERROR(__xludf.DUMMYFUNCTION("""COMPUTED_VALUE"""),172.55)</f>
        <v>172.55</v>
      </c>
      <c r="C3471" s="2">
        <f>IFERROR(__xludf.DUMMYFUNCTION("""COMPUTED_VALUE"""),175.88)</f>
        <v>175.88</v>
      </c>
      <c r="D3471" s="2">
        <f>IFERROR(__xludf.DUMMYFUNCTION("""COMPUTED_VALUE"""),168.51)</f>
        <v>168.51</v>
      </c>
      <c r="E3471" s="2">
        <f>IFERROR(__xludf.DUMMYFUNCTION("""COMPUTED_VALUE"""),174.6)</f>
        <v>174.6</v>
      </c>
      <c r="F3471" s="2">
        <f>IFERROR(__xludf.DUMMYFUNCTION("""COMPUTED_VALUE"""),9.4515987E7)</f>
        <v>94515987</v>
      </c>
    </row>
    <row r="3472">
      <c r="A3472" s="3">
        <f>IFERROR(__xludf.DUMMYFUNCTION("""COMPUTED_VALUE"""),45394.66666666667)</f>
        <v>45394.66667</v>
      </c>
      <c r="B3472" s="2">
        <f>IFERROR(__xludf.DUMMYFUNCTION("""COMPUTED_VALUE"""),172.34)</f>
        <v>172.34</v>
      </c>
      <c r="C3472" s="2">
        <f>IFERROR(__xludf.DUMMYFUNCTION("""COMPUTED_VALUE"""),173.81)</f>
        <v>173.81</v>
      </c>
      <c r="D3472" s="2">
        <f>IFERROR(__xludf.DUMMYFUNCTION("""COMPUTED_VALUE"""),170.36)</f>
        <v>170.36</v>
      </c>
      <c r="E3472" s="2">
        <f>IFERROR(__xludf.DUMMYFUNCTION("""COMPUTED_VALUE"""),171.05)</f>
        <v>171.05</v>
      </c>
      <c r="F3472" s="2">
        <f>IFERROR(__xludf.DUMMYFUNCTION("""COMPUTED_VALUE"""),6.4722669E7)</f>
        <v>64722669</v>
      </c>
    </row>
    <row r="3473">
      <c r="A3473" s="3">
        <f>IFERROR(__xludf.DUMMYFUNCTION("""COMPUTED_VALUE"""),45397.66666666667)</f>
        <v>45397.66667</v>
      </c>
      <c r="B3473" s="2">
        <f>IFERROR(__xludf.DUMMYFUNCTION("""COMPUTED_VALUE"""),170.24)</f>
        <v>170.24</v>
      </c>
      <c r="C3473" s="2">
        <f>IFERROR(__xludf.DUMMYFUNCTION("""COMPUTED_VALUE"""),170.69)</f>
        <v>170.69</v>
      </c>
      <c r="D3473" s="2">
        <f>IFERROR(__xludf.DUMMYFUNCTION("""COMPUTED_VALUE"""),161.38)</f>
        <v>161.38</v>
      </c>
      <c r="E3473" s="2">
        <f>IFERROR(__xludf.DUMMYFUNCTION("""COMPUTED_VALUE"""),161.48)</f>
        <v>161.48</v>
      </c>
      <c r="F3473" s="2">
        <f>IFERROR(__xludf.DUMMYFUNCTION("""COMPUTED_VALUE"""),1.0024531E8)</f>
        <v>100245310</v>
      </c>
    </row>
    <row r="3474">
      <c r="A3474" s="3">
        <f>IFERROR(__xludf.DUMMYFUNCTION("""COMPUTED_VALUE"""),45398.66666666667)</f>
        <v>45398.66667</v>
      </c>
      <c r="B3474" s="2">
        <f>IFERROR(__xludf.DUMMYFUNCTION("""COMPUTED_VALUE"""),156.74)</f>
        <v>156.74</v>
      </c>
      <c r="C3474" s="2">
        <f>IFERROR(__xludf.DUMMYFUNCTION("""COMPUTED_VALUE"""),158.19)</f>
        <v>158.19</v>
      </c>
      <c r="D3474" s="2">
        <f>IFERROR(__xludf.DUMMYFUNCTION("""COMPUTED_VALUE"""),153.75)</f>
        <v>153.75</v>
      </c>
      <c r="E3474" s="2">
        <f>IFERROR(__xludf.DUMMYFUNCTION("""COMPUTED_VALUE"""),157.11)</f>
        <v>157.11</v>
      </c>
      <c r="F3474" s="2">
        <f>IFERROR(__xludf.DUMMYFUNCTION("""COMPUTED_VALUE"""),9.6999956E7)</f>
        <v>96999956</v>
      </c>
    </row>
    <row r="3475">
      <c r="A3475" s="3">
        <f>IFERROR(__xludf.DUMMYFUNCTION("""COMPUTED_VALUE"""),45399.66666666667)</f>
        <v>45399.66667</v>
      </c>
      <c r="B3475" s="2">
        <f>IFERROR(__xludf.DUMMYFUNCTION("""COMPUTED_VALUE"""),157.64)</f>
        <v>157.64</v>
      </c>
      <c r="C3475" s="2">
        <f>IFERROR(__xludf.DUMMYFUNCTION("""COMPUTED_VALUE"""),158.33)</f>
        <v>158.33</v>
      </c>
      <c r="D3475" s="2">
        <f>IFERROR(__xludf.DUMMYFUNCTION("""COMPUTED_VALUE"""),153.78)</f>
        <v>153.78</v>
      </c>
      <c r="E3475" s="2">
        <f>IFERROR(__xludf.DUMMYFUNCTION("""COMPUTED_VALUE"""),155.45)</f>
        <v>155.45</v>
      </c>
      <c r="F3475" s="2">
        <f>IFERROR(__xludf.DUMMYFUNCTION("""COMPUTED_VALUE"""),8.2439718E7)</f>
        <v>82439718</v>
      </c>
    </row>
    <row r="3476">
      <c r="A3476" s="3">
        <f>IFERROR(__xludf.DUMMYFUNCTION("""COMPUTED_VALUE"""),45400.66666666667)</f>
        <v>45400.66667</v>
      </c>
      <c r="B3476" s="2">
        <f>IFERROR(__xludf.DUMMYFUNCTION("""COMPUTED_VALUE"""),151.25)</f>
        <v>151.25</v>
      </c>
      <c r="C3476" s="2">
        <f>IFERROR(__xludf.DUMMYFUNCTION("""COMPUTED_VALUE"""),152.2)</f>
        <v>152.2</v>
      </c>
      <c r="D3476" s="2">
        <f>IFERROR(__xludf.DUMMYFUNCTION("""COMPUTED_VALUE"""),148.7)</f>
        <v>148.7</v>
      </c>
      <c r="E3476" s="2">
        <f>IFERROR(__xludf.DUMMYFUNCTION("""COMPUTED_VALUE"""),149.93)</f>
        <v>149.93</v>
      </c>
      <c r="F3476" s="2">
        <f>IFERROR(__xludf.DUMMYFUNCTION("""COMPUTED_VALUE"""),9.609883E7)</f>
        <v>96098830</v>
      </c>
    </row>
    <row r="3477">
      <c r="A3477" s="3">
        <f>IFERROR(__xludf.DUMMYFUNCTION("""COMPUTED_VALUE"""),45401.66666666667)</f>
        <v>45401.66667</v>
      </c>
      <c r="B3477" s="2">
        <f>IFERROR(__xludf.DUMMYFUNCTION("""COMPUTED_VALUE"""),148.97)</f>
        <v>148.97</v>
      </c>
      <c r="C3477" s="2">
        <f>IFERROR(__xludf.DUMMYFUNCTION("""COMPUTED_VALUE"""),150.94)</f>
        <v>150.94</v>
      </c>
      <c r="D3477" s="2">
        <f>IFERROR(__xludf.DUMMYFUNCTION("""COMPUTED_VALUE"""),146.22)</f>
        <v>146.22</v>
      </c>
      <c r="E3477" s="2">
        <f>IFERROR(__xludf.DUMMYFUNCTION("""COMPUTED_VALUE"""),147.05)</f>
        <v>147.05</v>
      </c>
      <c r="F3477" s="2">
        <f>IFERROR(__xludf.DUMMYFUNCTION("""COMPUTED_VALUE"""),8.70745E7)</f>
        <v>87074500</v>
      </c>
    </row>
    <row r="3478">
      <c r="A3478" s="3">
        <f>IFERROR(__xludf.DUMMYFUNCTION("""COMPUTED_VALUE"""),45404.66666666667)</f>
        <v>45404.66667</v>
      </c>
      <c r="B3478" s="2">
        <f>IFERROR(__xludf.DUMMYFUNCTION("""COMPUTED_VALUE"""),140.56)</f>
        <v>140.56</v>
      </c>
      <c r="C3478" s="2">
        <f>IFERROR(__xludf.DUMMYFUNCTION("""COMPUTED_VALUE"""),144.44)</f>
        <v>144.44</v>
      </c>
      <c r="D3478" s="2">
        <f>IFERROR(__xludf.DUMMYFUNCTION("""COMPUTED_VALUE"""),138.8)</f>
        <v>138.8</v>
      </c>
      <c r="E3478" s="2">
        <f>IFERROR(__xludf.DUMMYFUNCTION("""COMPUTED_VALUE"""),142.05)</f>
        <v>142.05</v>
      </c>
      <c r="F3478" s="2">
        <f>IFERROR(__xludf.DUMMYFUNCTION("""COMPUTED_VALUE"""),1.07097564E8)</f>
        <v>107097564</v>
      </c>
    </row>
    <row r="3479">
      <c r="A3479" s="3">
        <f>IFERROR(__xludf.DUMMYFUNCTION("""COMPUTED_VALUE"""),45405.66666666667)</f>
        <v>45405.66667</v>
      </c>
      <c r="B3479" s="2">
        <f>IFERROR(__xludf.DUMMYFUNCTION("""COMPUTED_VALUE"""),143.33)</f>
        <v>143.33</v>
      </c>
      <c r="C3479" s="2">
        <f>IFERROR(__xludf.DUMMYFUNCTION("""COMPUTED_VALUE"""),147.26)</f>
        <v>147.26</v>
      </c>
      <c r="D3479" s="2">
        <f>IFERROR(__xludf.DUMMYFUNCTION("""COMPUTED_VALUE"""),141.11)</f>
        <v>141.11</v>
      </c>
      <c r="E3479" s="2">
        <f>IFERROR(__xludf.DUMMYFUNCTION("""COMPUTED_VALUE"""),144.68)</f>
        <v>144.68</v>
      </c>
      <c r="F3479" s="2">
        <f>IFERROR(__xludf.DUMMYFUNCTION("""COMPUTED_VALUE"""),1.24545104E8)</f>
        <v>124545104</v>
      </c>
    </row>
    <row r="3480">
      <c r="A3480" s="3">
        <f>IFERROR(__xludf.DUMMYFUNCTION("""COMPUTED_VALUE"""),45406.66666666667)</f>
        <v>45406.66667</v>
      </c>
      <c r="B3480" s="2">
        <f>IFERROR(__xludf.DUMMYFUNCTION("""COMPUTED_VALUE"""),162.84)</f>
        <v>162.84</v>
      </c>
      <c r="C3480" s="2">
        <f>IFERROR(__xludf.DUMMYFUNCTION("""COMPUTED_VALUE"""),167.97)</f>
        <v>167.97</v>
      </c>
      <c r="D3480" s="2">
        <f>IFERROR(__xludf.DUMMYFUNCTION("""COMPUTED_VALUE"""),157.51)</f>
        <v>157.51</v>
      </c>
      <c r="E3480" s="2">
        <f>IFERROR(__xludf.DUMMYFUNCTION("""COMPUTED_VALUE"""),162.13)</f>
        <v>162.13</v>
      </c>
      <c r="F3480" s="2">
        <f>IFERROR(__xludf.DUMMYFUNCTION("""COMPUTED_VALUE"""),1.8117802E8)</f>
        <v>181178020</v>
      </c>
    </row>
    <row r="3481">
      <c r="A3481" s="3">
        <f>IFERROR(__xludf.DUMMYFUNCTION("""COMPUTED_VALUE"""),45407.66666666667)</f>
        <v>45407.66667</v>
      </c>
      <c r="B3481" s="2">
        <f>IFERROR(__xludf.DUMMYFUNCTION("""COMPUTED_VALUE"""),158.96)</f>
        <v>158.96</v>
      </c>
      <c r="C3481" s="2">
        <f>IFERROR(__xludf.DUMMYFUNCTION("""COMPUTED_VALUE"""),170.88)</f>
        <v>170.88</v>
      </c>
      <c r="D3481" s="2">
        <f>IFERROR(__xludf.DUMMYFUNCTION("""COMPUTED_VALUE"""),158.36)</f>
        <v>158.36</v>
      </c>
      <c r="E3481" s="2">
        <f>IFERROR(__xludf.DUMMYFUNCTION("""COMPUTED_VALUE"""),170.18)</f>
        <v>170.18</v>
      </c>
      <c r="F3481" s="2">
        <f>IFERROR(__xludf.DUMMYFUNCTION("""COMPUTED_VALUE"""),1.26427521E8)</f>
        <v>126427521</v>
      </c>
    </row>
    <row r="3482">
      <c r="A3482" s="3">
        <f>IFERROR(__xludf.DUMMYFUNCTION("""COMPUTED_VALUE"""),45408.66666666667)</f>
        <v>45408.66667</v>
      </c>
      <c r="B3482" s="2">
        <f>IFERROR(__xludf.DUMMYFUNCTION("""COMPUTED_VALUE"""),168.85)</f>
        <v>168.85</v>
      </c>
      <c r="C3482" s="2">
        <f>IFERROR(__xludf.DUMMYFUNCTION("""COMPUTED_VALUE"""),172.12)</f>
        <v>172.12</v>
      </c>
      <c r="D3482" s="2">
        <f>IFERROR(__xludf.DUMMYFUNCTION("""COMPUTED_VALUE"""),166.37)</f>
        <v>166.37</v>
      </c>
      <c r="E3482" s="2">
        <f>IFERROR(__xludf.DUMMYFUNCTION("""COMPUTED_VALUE"""),168.29)</f>
        <v>168.29</v>
      </c>
      <c r="F3482" s="2">
        <f>IFERROR(__xludf.DUMMYFUNCTION("""COMPUTED_VALUE"""),1.09815725E8)</f>
        <v>109815725</v>
      </c>
    </row>
    <row r="3483">
      <c r="A3483" s="3">
        <f>IFERROR(__xludf.DUMMYFUNCTION("""COMPUTED_VALUE"""),45411.66666666667)</f>
        <v>45411.66667</v>
      </c>
      <c r="B3483" s="2">
        <f>IFERROR(__xludf.DUMMYFUNCTION("""COMPUTED_VALUE"""),188.42)</f>
        <v>188.42</v>
      </c>
      <c r="C3483" s="2">
        <f>IFERROR(__xludf.DUMMYFUNCTION("""COMPUTED_VALUE"""),198.87)</f>
        <v>198.87</v>
      </c>
      <c r="D3483" s="2">
        <f>IFERROR(__xludf.DUMMYFUNCTION("""COMPUTED_VALUE"""),184.54)</f>
        <v>184.54</v>
      </c>
      <c r="E3483" s="2">
        <f>IFERROR(__xludf.DUMMYFUNCTION("""COMPUTED_VALUE"""),194.05)</f>
        <v>194.05</v>
      </c>
      <c r="F3483" s="2">
        <f>IFERROR(__xludf.DUMMYFUNCTION("""COMPUTED_VALUE"""),2.43869678E8)</f>
        <v>243869678</v>
      </c>
    </row>
    <row r="3484">
      <c r="A3484" s="3">
        <f>IFERROR(__xludf.DUMMYFUNCTION("""COMPUTED_VALUE"""),45412.66666666667)</f>
        <v>45412.66667</v>
      </c>
      <c r="B3484" s="2">
        <f>IFERROR(__xludf.DUMMYFUNCTION("""COMPUTED_VALUE"""),186.98)</f>
        <v>186.98</v>
      </c>
      <c r="C3484" s="2">
        <f>IFERROR(__xludf.DUMMYFUNCTION("""COMPUTED_VALUE"""),190.95)</f>
        <v>190.95</v>
      </c>
      <c r="D3484" s="2">
        <f>IFERROR(__xludf.DUMMYFUNCTION("""COMPUTED_VALUE"""),182.84)</f>
        <v>182.84</v>
      </c>
      <c r="E3484" s="2">
        <f>IFERROR(__xludf.DUMMYFUNCTION("""COMPUTED_VALUE"""),183.28)</f>
        <v>183.28</v>
      </c>
      <c r="F3484" s="2">
        <f>IFERROR(__xludf.DUMMYFUNCTION("""COMPUTED_VALUE"""),1.27031787E8)</f>
        <v>127031787</v>
      </c>
    </row>
    <row r="3485">
      <c r="A3485" s="3">
        <f>IFERROR(__xludf.DUMMYFUNCTION("""COMPUTED_VALUE"""),45413.66666666667)</f>
        <v>45413.66667</v>
      </c>
      <c r="B3485" s="2">
        <f>IFERROR(__xludf.DUMMYFUNCTION("""COMPUTED_VALUE"""),182.0)</f>
        <v>182</v>
      </c>
      <c r="C3485" s="2">
        <f>IFERROR(__xludf.DUMMYFUNCTION("""COMPUTED_VALUE"""),185.86)</f>
        <v>185.86</v>
      </c>
      <c r="D3485" s="2">
        <f>IFERROR(__xludf.DUMMYFUNCTION("""COMPUTED_VALUE"""),179.01)</f>
        <v>179.01</v>
      </c>
      <c r="E3485" s="2">
        <f>IFERROR(__xludf.DUMMYFUNCTION("""COMPUTED_VALUE"""),179.99)</f>
        <v>179.99</v>
      </c>
      <c r="F3485" s="2">
        <f>IFERROR(__xludf.DUMMYFUNCTION("""COMPUTED_VALUE"""),9.2829719E7)</f>
        <v>92829719</v>
      </c>
    </row>
    <row r="3486">
      <c r="A3486" s="3">
        <f>IFERROR(__xludf.DUMMYFUNCTION("""COMPUTED_VALUE"""),45414.66666666667)</f>
        <v>45414.66667</v>
      </c>
      <c r="B3486" s="2">
        <f>IFERROR(__xludf.DUMMYFUNCTION("""COMPUTED_VALUE"""),182.86)</f>
        <v>182.86</v>
      </c>
      <c r="C3486" s="2">
        <f>IFERROR(__xludf.DUMMYFUNCTION("""COMPUTED_VALUE"""),184.6)</f>
        <v>184.6</v>
      </c>
      <c r="D3486" s="2">
        <f>IFERROR(__xludf.DUMMYFUNCTION("""COMPUTED_VALUE"""),176.02)</f>
        <v>176.02</v>
      </c>
      <c r="E3486" s="2">
        <f>IFERROR(__xludf.DUMMYFUNCTION("""COMPUTED_VALUE"""),180.01)</f>
        <v>180.01</v>
      </c>
      <c r="F3486" s="2">
        <f>IFERROR(__xludf.DUMMYFUNCTION("""COMPUTED_VALUE"""),8.9148041E7)</f>
        <v>89148041</v>
      </c>
    </row>
    <row r="3487">
      <c r="A3487" s="3">
        <f>IFERROR(__xludf.DUMMYFUNCTION("""COMPUTED_VALUE"""),45415.66666666667)</f>
        <v>45415.66667</v>
      </c>
      <c r="B3487" s="2">
        <f>IFERROR(__xludf.DUMMYFUNCTION("""COMPUTED_VALUE"""),182.1)</f>
        <v>182.1</v>
      </c>
      <c r="C3487" s="2">
        <f>IFERROR(__xludf.DUMMYFUNCTION("""COMPUTED_VALUE"""),184.78)</f>
        <v>184.78</v>
      </c>
      <c r="D3487" s="2">
        <f>IFERROR(__xludf.DUMMYFUNCTION("""COMPUTED_VALUE"""),178.42)</f>
        <v>178.42</v>
      </c>
      <c r="E3487" s="2">
        <f>IFERROR(__xludf.DUMMYFUNCTION("""COMPUTED_VALUE"""),181.19)</f>
        <v>181.19</v>
      </c>
      <c r="F3487" s="2">
        <f>IFERROR(__xludf.DUMMYFUNCTION("""COMPUTED_VALUE"""),7.5491539E7)</f>
        <v>75491539</v>
      </c>
    </row>
    <row r="3488">
      <c r="A3488" s="3">
        <f>IFERROR(__xludf.DUMMYFUNCTION("""COMPUTED_VALUE"""),45418.66666666667)</f>
        <v>45418.66667</v>
      </c>
      <c r="B3488" s="2">
        <f>IFERROR(__xludf.DUMMYFUNCTION("""COMPUTED_VALUE"""),183.8)</f>
        <v>183.8</v>
      </c>
      <c r="C3488" s="2">
        <f>IFERROR(__xludf.DUMMYFUNCTION("""COMPUTED_VALUE"""),187.56)</f>
        <v>187.56</v>
      </c>
      <c r="D3488" s="2">
        <f>IFERROR(__xludf.DUMMYFUNCTION("""COMPUTED_VALUE"""),182.2)</f>
        <v>182.2</v>
      </c>
      <c r="E3488" s="2">
        <f>IFERROR(__xludf.DUMMYFUNCTION("""COMPUTED_VALUE"""),184.76)</f>
        <v>184.76</v>
      </c>
      <c r="F3488" s="2">
        <f>IFERROR(__xludf.DUMMYFUNCTION("""COMPUTED_VALUE"""),8.4390253E7)</f>
        <v>84390253</v>
      </c>
    </row>
    <row r="3489">
      <c r="A3489" s="3">
        <f>IFERROR(__xludf.DUMMYFUNCTION("""COMPUTED_VALUE"""),45419.66666666667)</f>
        <v>45419.66667</v>
      </c>
      <c r="B3489" s="2">
        <f>IFERROR(__xludf.DUMMYFUNCTION("""COMPUTED_VALUE"""),182.4)</f>
        <v>182.4</v>
      </c>
      <c r="C3489" s="2">
        <f>IFERROR(__xludf.DUMMYFUNCTION("""COMPUTED_VALUE"""),183.26)</f>
        <v>183.26</v>
      </c>
      <c r="D3489" s="2">
        <f>IFERROR(__xludf.DUMMYFUNCTION("""COMPUTED_VALUE"""),177.4)</f>
        <v>177.4</v>
      </c>
      <c r="E3489" s="2">
        <f>IFERROR(__xludf.DUMMYFUNCTION("""COMPUTED_VALUE"""),177.81)</f>
        <v>177.81</v>
      </c>
      <c r="F3489" s="2">
        <f>IFERROR(__xludf.DUMMYFUNCTION("""COMPUTED_VALUE"""),7.5045854E7)</f>
        <v>75045854</v>
      </c>
    </row>
    <row r="3490">
      <c r="A3490" s="3">
        <f>IFERROR(__xludf.DUMMYFUNCTION("""COMPUTED_VALUE"""),45420.66666666667)</f>
        <v>45420.66667</v>
      </c>
      <c r="B3490" s="2">
        <f>IFERROR(__xludf.DUMMYFUNCTION("""COMPUTED_VALUE"""),171.59)</f>
        <v>171.59</v>
      </c>
      <c r="C3490" s="2">
        <f>IFERROR(__xludf.DUMMYFUNCTION("""COMPUTED_VALUE"""),176.06)</f>
        <v>176.06</v>
      </c>
      <c r="D3490" s="2">
        <f>IFERROR(__xludf.DUMMYFUNCTION("""COMPUTED_VALUE"""),170.15)</f>
        <v>170.15</v>
      </c>
      <c r="E3490" s="2">
        <f>IFERROR(__xludf.DUMMYFUNCTION("""COMPUTED_VALUE"""),174.72)</f>
        <v>174.72</v>
      </c>
      <c r="F3490" s="2">
        <f>IFERROR(__xludf.DUMMYFUNCTION("""COMPUTED_VALUE"""),7.9969488E7)</f>
        <v>79969488</v>
      </c>
    </row>
    <row r="3491">
      <c r="A3491" s="3">
        <f>IFERROR(__xludf.DUMMYFUNCTION("""COMPUTED_VALUE"""),45421.66666666667)</f>
        <v>45421.66667</v>
      </c>
      <c r="B3491" s="2">
        <f>IFERROR(__xludf.DUMMYFUNCTION("""COMPUTED_VALUE"""),175.01)</f>
        <v>175.01</v>
      </c>
      <c r="C3491" s="2">
        <f>IFERROR(__xludf.DUMMYFUNCTION("""COMPUTED_VALUE"""),175.62)</f>
        <v>175.62</v>
      </c>
      <c r="D3491" s="2">
        <f>IFERROR(__xludf.DUMMYFUNCTION("""COMPUTED_VALUE"""),171.37)</f>
        <v>171.37</v>
      </c>
      <c r="E3491" s="2">
        <f>IFERROR(__xludf.DUMMYFUNCTION("""COMPUTED_VALUE"""),171.97)</f>
        <v>171.97</v>
      </c>
      <c r="F3491" s="2">
        <f>IFERROR(__xludf.DUMMYFUNCTION("""COMPUTED_VALUE"""),6.5950292E7)</f>
        <v>65950292</v>
      </c>
    </row>
    <row r="3492">
      <c r="A3492" s="3">
        <f>IFERROR(__xludf.DUMMYFUNCTION("""COMPUTED_VALUE"""),45422.66666666667)</f>
        <v>45422.66667</v>
      </c>
      <c r="B3492" s="2">
        <f>IFERROR(__xludf.DUMMYFUNCTION("""COMPUTED_VALUE"""),173.05)</f>
        <v>173.05</v>
      </c>
      <c r="C3492" s="2">
        <f>IFERROR(__xludf.DUMMYFUNCTION("""COMPUTED_VALUE"""),173.06)</f>
        <v>173.06</v>
      </c>
      <c r="D3492" s="2">
        <f>IFERROR(__xludf.DUMMYFUNCTION("""COMPUTED_VALUE"""),167.75)</f>
        <v>167.75</v>
      </c>
      <c r="E3492" s="2">
        <f>IFERROR(__xludf.DUMMYFUNCTION("""COMPUTED_VALUE"""),168.47)</f>
        <v>168.47</v>
      </c>
      <c r="F3492" s="2">
        <f>IFERROR(__xludf.DUMMYFUNCTION("""COMPUTED_VALUE"""),7.2627178E7)</f>
        <v>72627178</v>
      </c>
    </row>
    <row r="3493">
      <c r="A3493" s="3">
        <f>IFERROR(__xludf.DUMMYFUNCTION("""COMPUTED_VALUE"""),45425.66666666667)</f>
        <v>45425.66667</v>
      </c>
      <c r="B3493" s="2">
        <f>IFERROR(__xludf.DUMMYFUNCTION("""COMPUTED_VALUE"""),170.0)</f>
        <v>170</v>
      </c>
      <c r="C3493" s="2">
        <f>IFERROR(__xludf.DUMMYFUNCTION("""COMPUTED_VALUE"""),175.4)</f>
        <v>175.4</v>
      </c>
      <c r="D3493" s="2">
        <f>IFERROR(__xludf.DUMMYFUNCTION("""COMPUTED_VALUE"""),169.0)</f>
        <v>169</v>
      </c>
      <c r="E3493" s="2">
        <f>IFERROR(__xludf.DUMMYFUNCTION("""COMPUTED_VALUE"""),171.89)</f>
        <v>171.89</v>
      </c>
      <c r="F3493" s="2">
        <f>IFERROR(__xludf.DUMMYFUNCTION("""COMPUTED_VALUE"""),6.7018903E7)</f>
        <v>67018903</v>
      </c>
    </row>
    <row r="3494">
      <c r="A3494" s="3">
        <f>IFERROR(__xludf.DUMMYFUNCTION("""COMPUTED_VALUE"""),45426.66666666667)</f>
        <v>45426.66667</v>
      </c>
      <c r="B3494" s="2">
        <f>IFERROR(__xludf.DUMMYFUNCTION("""COMPUTED_VALUE"""),174.5)</f>
        <v>174.5</v>
      </c>
      <c r="C3494" s="2">
        <f>IFERROR(__xludf.DUMMYFUNCTION("""COMPUTED_VALUE"""),179.49)</f>
        <v>179.49</v>
      </c>
      <c r="D3494" s="2">
        <f>IFERROR(__xludf.DUMMYFUNCTION("""COMPUTED_VALUE"""),174.07)</f>
        <v>174.07</v>
      </c>
      <c r="E3494" s="2">
        <f>IFERROR(__xludf.DUMMYFUNCTION("""COMPUTED_VALUE"""),177.55)</f>
        <v>177.55</v>
      </c>
      <c r="F3494" s="2">
        <f>IFERROR(__xludf.DUMMYFUNCTION("""COMPUTED_VALUE"""),8.6407422E7)</f>
        <v>86407422</v>
      </c>
    </row>
    <row r="3495">
      <c r="A3495" s="3">
        <f>IFERROR(__xludf.DUMMYFUNCTION("""COMPUTED_VALUE"""),45427.66666666667)</f>
        <v>45427.66667</v>
      </c>
      <c r="B3495" s="2">
        <f>IFERROR(__xludf.DUMMYFUNCTION("""COMPUTED_VALUE"""),179.9)</f>
        <v>179.9</v>
      </c>
      <c r="C3495" s="2">
        <f>IFERROR(__xludf.DUMMYFUNCTION("""COMPUTED_VALUE"""),180.0)</f>
        <v>180</v>
      </c>
      <c r="D3495" s="2">
        <f>IFERROR(__xludf.DUMMYFUNCTION("""COMPUTED_VALUE"""),173.11)</f>
        <v>173.11</v>
      </c>
      <c r="E3495" s="2">
        <f>IFERROR(__xludf.DUMMYFUNCTION("""COMPUTED_VALUE"""),173.99)</f>
        <v>173.99</v>
      </c>
      <c r="F3495" s="2">
        <f>IFERROR(__xludf.DUMMYFUNCTION("""COMPUTED_VALUE"""),7.9662993E7)</f>
        <v>79662993</v>
      </c>
    </row>
    <row r="3496">
      <c r="A3496" s="3">
        <f>IFERROR(__xludf.DUMMYFUNCTION("""COMPUTED_VALUE"""),45428.66666666667)</f>
        <v>45428.66667</v>
      </c>
      <c r="B3496" s="2">
        <f>IFERROR(__xludf.DUMMYFUNCTION("""COMPUTED_VALUE"""),174.1)</f>
        <v>174.1</v>
      </c>
      <c r="C3496" s="2">
        <f>IFERROR(__xludf.DUMMYFUNCTION("""COMPUTED_VALUE"""),175.79)</f>
        <v>175.79</v>
      </c>
      <c r="D3496" s="2">
        <f>IFERROR(__xludf.DUMMYFUNCTION("""COMPUTED_VALUE"""),171.43)</f>
        <v>171.43</v>
      </c>
      <c r="E3496" s="2">
        <f>IFERROR(__xludf.DUMMYFUNCTION("""COMPUTED_VALUE"""),174.84)</f>
        <v>174.84</v>
      </c>
      <c r="F3496" s="2">
        <f>IFERROR(__xludf.DUMMYFUNCTION("""COMPUTED_VALUE"""),5.981222E7)</f>
        <v>59812220</v>
      </c>
    </row>
    <row r="3497">
      <c r="A3497" s="3">
        <f>IFERROR(__xludf.DUMMYFUNCTION("""COMPUTED_VALUE"""),45429.66666666667)</f>
        <v>45429.66667</v>
      </c>
      <c r="B3497" s="2">
        <f>IFERROR(__xludf.DUMMYFUNCTION("""COMPUTED_VALUE"""),173.55)</f>
        <v>173.55</v>
      </c>
      <c r="C3497" s="2">
        <f>IFERROR(__xludf.DUMMYFUNCTION("""COMPUTED_VALUE"""),179.63)</f>
        <v>179.63</v>
      </c>
      <c r="D3497" s="2">
        <f>IFERROR(__xludf.DUMMYFUNCTION("""COMPUTED_VALUE"""),172.75)</f>
        <v>172.75</v>
      </c>
      <c r="E3497" s="2">
        <f>IFERROR(__xludf.DUMMYFUNCTION("""COMPUTED_VALUE"""),177.46)</f>
        <v>177.46</v>
      </c>
      <c r="F3497" s="2">
        <f>IFERROR(__xludf.DUMMYFUNCTION("""COMPUTED_VALUE"""),7.7445845E7)</f>
        <v>77445845</v>
      </c>
    </row>
    <row r="3498">
      <c r="A3498" s="3">
        <f>IFERROR(__xludf.DUMMYFUNCTION("""COMPUTED_VALUE"""),45432.66666666667)</f>
        <v>45432.66667</v>
      </c>
      <c r="B3498" s="2">
        <f>IFERROR(__xludf.DUMMYFUNCTION("""COMPUTED_VALUE"""),177.56)</f>
        <v>177.56</v>
      </c>
      <c r="C3498" s="2">
        <f>IFERROR(__xludf.DUMMYFUNCTION("""COMPUTED_VALUE"""),177.75)</f>
        <v>177.75</v>
      </c>
      <c r="D3498" s="2">
        <f>IFERROR(__xludf.DUMMYFUNCTION("""COMPUTED_VALUE"""),173.52)</f>
        <v>173.52</v>
      </c>
      <c r="E3498" s="2">
        <f>IFERROR(__xludf.DUMMYFUNCTION("""COMPUTED_VALUE"""),174.95)</f>
        <v>174.95</v>
      </c>
      <c r="F3498" s="2">
        <f>IFERROR(__xludf.DUMMYFUNCTION("""COMPUTED_VALUE"""),6.1727425E7)</f>
        <v>61727425</v>
      </c>
    </row>
    <row r="3499">
      <c r="A3499" s="3">
        <f>IFERROR(__xludf.DUMMYFUNCTION("""COMPUTED_VALUE"""),45433.66666666667)</f>
        <v>45433.66667</v>
      </c>
      <c r="B3499" s="2">
        <f>IFERROR(__xludf.DUMMYFUNCTION("""COMPUTED_VALUE"""),175.51)</f>
        <v>175.51</v>
      </c>
      <c r="C3499" s="2">
        <f>IFERROR(__xludf.DUMMYFUNCTION("""COMPUTED_VALUE"""),186.88)</f>
        <v>186.88</v>
      </c>
      <c r="D3499" s="2">
        <f>IFERROR(__xludf.DUMMYFUNCTION("""COMPUTED_VALUE"""),174.71)</f>
        <v>174.71</v>
      </c>
      <c r="E3499" s="2">
        <f>IFERROR(__xludf.DUMMYFUNCTION("""COMPUTED_VALUE"""),186.6)</f>
        <v>186.6</v>
      </c>
      <c r="F3499" s="2">
        <f>IFERROR(__xludf.DUMMYFUNCTION("""COMPUTED_VALUE"""),1.15266512E8)</f>
        <v>115266512</v>
      </c>
    </row>
    <row r="3500">
      <c r="A3500" s="3">
        <f>IFERROR(__xludf.DUMMYFUNCTION("""COMPUTED_VALUE"""),45434.66666666667)</f>
        <v>45434.66667</v>
      </c>
      <c r="B3500" s="2">
        <f>IFERROR(__xludf.DUMMYFUNCTION("""COMPUTED_VALUE"""),182.85)</f>
        <v>182.85</v>
      </c>
      <c r="C3500" s="2">
        <f>IFERROR(__xludf.DUMMYFUNCTION("""COMPUTED_VALUE"""),183.8)</f>
        <v>183.8</v>
      </c>
      <c r="D3500" s="2">
        <f>IFERROR(__xludf.DUMMYFUNCTION("""COMPUTED_VALUE"""),178.12)</f>
        <v>178.12</v>
      </c>
      <c r="E3500" s="2">
        <f>IFERROR(__xludf.DUMMYFUNCTION("""COMPUTED_VALUE"""),180.11)</f>
        <v>180.11</v>
      </c>
      <c r="F3500" s="2">
        <f>IFERROR(__xludf.DUMMYFUNCTION("""COMPUTED_VALUE"""),8.8313477E7)</f>
        <v>88313477</v>
      </c>
    </row>
    <row r="3501">
      <c r="A3501" s="3">
        <f>IFERROR(__xludf.DUMMYFUNCTION("""COMPUTED_VALUE"""),45435.66666666667)</f>
        <v>45435.66667</v>
      </c>
      <c r="B3501" s="2">
        <f>IFERROR(__xludf.DUMMYFUNCTION("""COMPUTED_VALUE"""),181.8)</f>
        <v>181.8</v>
      </c>
      <c r="C3501" s="2">
        <f>IFERROR(__xludf.DUMMYFUNCTION("""COMPUTED_VALUE"""),181.9)</f>
        <v>181.9</v>
      </c>
      <c r="D3501" s="2">
        <f>IFERROR(__xludf.DUMMYFUNCTION("""COMPUTED_VALUE"""),173.26)</f>
        <v>173.26</v>
      </c>
      <c r="E3501" s="2">
        <f>IFERROR(__xludf.DUMMYFUNCTION("""COMPUTED_VALUE"""),173.74)</f>
        <v>173.74</v>
      </c>
      <c r="F3501" s="2">
        <f>IFERROR(__xludf.DUMMYFUNCTION("""COMPUTED_VALUE"""),7.1975496E7)</f>
        <v>71975496</v>
      </c>
    </row>
    <row r="3502">
      <c r="A3502" s="3">
        <f>IFERROR(__xludf.DUMMYFUNCTION("""COMPUTED_VALUE"""),45436.66666666667)</f>
        <v>45436.66667</v>
      </c>
      <c r="B3502" s="2">
        <f>IFERROR(__xludf.DUMMYFUNCTION("""COMPUTED_VALUE"""),174.84)</f>
        <v>174.84</v>
      </c>
      <c r="C3502" s="2">
        <f>IFERROR(__xludf.DUMMYFUNCTION("""COMPUTED_VALUE"""),180.08)</f>
        <v>180.08</v>
      </c>
      <c r="D3502" s="2">
        <f>IFERROR(__xludf.DUMMYFUNCTION("""COMPUTED_VALUE"""),173.73)</f>
        <v>173.73</v>
      </c>
      <c r="E3502" s="2">
        <f>IFERROR(__xludf.DUMMYFUNCTION("""COMPUTED_VALUE"""),179.24)</f>
        <v>179.24</v>
      </c>
      <c r="F3502" s="2">
        <f>IFERROR(__xludf.DUMMYFUNCTION("""COMPUTED_VALUE"""),6.5584478E7)</f>
        <v>65584478</v>
      </c>
    </row>
    <row r="3503">
      <c r="A3503" s="3">
        <f>IFERROR(__xludf.DUMMYFUNCTION("""COMPUTED_VALUE"""),45440.66666666667)</f>
        <v>45440.66667</v>
      </c>
      <c r="B3503" s="2">
        <f>IFERROR(__xludf.DUMMYFUNCTION("""COMPUTED_VALUE"""),176.4)</f>
        <v>176.4</v>
      </c>
      <c r="C3503" s="2">
        <f>IFERROR(__xludf.DUMMYFUNCTION("""COMPUTED_VALUE"""),178.25)</f>
        <v>178.25</v>
      </c>
      <c r="D3503" s="2">
        <f>IFERROR(__xludf.DUMMYFUNCTION("""COMPUTED_VALUE"""),173.16)</f>
        <v>173.16</v>
      </c>
      <c r="E3503" s="2">
        <f>IFERROR(__xludf.DUMMYFUNCTION("""COMPUTED_VALUE"""),176.75)</f>
        <v>176.75</v>
      </c>
      <c r="F3503" s="2">
        <f>IFERROR(__xludf.DUMMYFUNCTION("""COMPUTED_VALUE"""),5.973662E7)</f>
        <v>59736620</v>
      </c>
    </row>
    <row r="3504">
      <c r="A3504" s="3">
        <f>IFERROR(__xludf.DUMMYFUNCTION("""COMPUTED_VALUE"""),45441.66666666667)</f>
        <v>45441.66667</v>
      </c>
      <c r="B3504" s="2">
        <f>IFERROR(__xludf.DUMMYFUNCTION("""COMPUTED_VALUE"""),174.19)</f>
        <v>174.19</v>
      </c>
      <c r="C3504" s="2">
        <f>IFERROR(__xludf.DUMMYFUNCTION("""COMPUTED_VALUE"""),178.15)</f>
        <v>178.15</v>
      </c>
      <c r="D3504" s="2">
        <f>IFERROR(__xludf.DUMMYFUNCTION("""COMPUTED_VALUE"""),173.93)</f>
        <v>173.93</v>
      </c>
      <c r="E3504" s="2">
        <f>IFERROR(__xludf.DUMMYFUNCTION("""COMPUTED_VALUE"""),176.19)</f>
        <v>176.19</v>
      </c>
      <c r="F3504" s="2">
        <f>IFERROR(__xludf.DUMMYFUNCTION("""COMPUTED_VALUE"""),5.4782649E7)</f>
        <v>54782649</v>
      </c>
    </row>
    <row r="3505">
      <c r="A3505" s="3">
        <f>IFERROR(__xludf.DUMMYFUNCTION("""COMPUTED_VALUE"""),45442.66666666667)</f>
        <v>45442.66667</v>
      </c>
      <c r="B3505" s="2">
        <f>IFERROR(__xludf.DUMMYFUNCTION("""COMPUTED_VALUE"""),178.58)</f>
        <v>178.58</v>
      </c>
      <c r="C3505" s="2">
        <f>IFERROR(__xludf.DUMMYFUNCTION("""COMPUTED_VALUE"""),182.67)</f>
        <v>182.67</v>
      </c>
      <c r="D3505" s="2">
        <f>IFERROR(__xludf.DUMMYFUNCTION("""COMPUTED_VALUE"""),175.38)</f>
        <v>175.38</v>
      </c>
      <c r="E3505" s="2">
        <f>IFERROR(__xludf.DUMMYFUNCTION("""COMPUTED_VALUE"""),178.79)</f>
        <v>178.79</v>
      </c>
      <c r="F3505" s="2">
        <f>IFERROR(__xludf.DUMMYFUNCTION("""COMPUTED_VALUE"""),7.7784755E7)</f>
        <v>77784755</v>
      </c>
    </row>
    <row r="3506">
      <c r="A3506" s="3">
        <f>IFERROR(__xludf.DUMMYFUNCTION("""COMPUTED_VALUE"""),45443.66666666667)</f>
        <v>45443.66667</v>
      </c>
      <c r="B3506" s="2">
        <f>IFERROR(__xludf.DUMMYFUNCTION("""COMPUTED_VALUE"""),178.5)</f>
        <v>178.5</v>
      </c>
      <c r="C3506" s="2">
        <f>IFERROR(__xludf.DUMMYFUNCTION("""COMPUTED_VALUE"""),180.32)</f>
        <v>180.32</v>
      </c>
      <c r="D3506" s="2">
        <f>IFERROR(__xludf.DUMMYFUNCTION("""COMPUTED_VALUE"""),173.82)</f>
        <v>173.82</v>
      </c>
      <c r="E3506" s="2">
        <f>IFERROR(__xludf.DUMMYFUNCTION("""COMPUTED_VALUE"""),178.08)</f>
        <v>178.08</v>
      </c>
      <c r="F3506" s="2">
        <f>IFERROR(__xludf.DUMMYFUNCTION("""COMPUTED_VALUE"""),6.7314602E7)</f>
        <v>67314602</v>
      </c>
    </row>
    <row r="3507">
      <c r="A3507" s="3">
        <f>IFERROR(__xludf.DUMMYFUNCTION("""COMPUTED_VALUE"""),45446.66666666667)</f>
        <v>45446.66667</v>
      </c>
      <c r="B3507" s="2">
        <f>IFERROR(__xludf.DUMMYFUNCTION("""COMPUTED_VALUE"""),178.13)</f>
        <v>178.13</v>
      </c>
      <c r="C3507" s="2">
        <f>IFERROR(__xludf.DUMMYFUNCTION("""COMPUTED_VALUE"""),182.64)</f>
        <v>182.64</v>
      </c>
      <c r="D3507" s="2">
        <f>IFERROR(__xludf.DUMMYFUNCTION("""COMPUTED_VALUE"""),174.49)</f>
        <v>174.49</v>
      </c>
      <c r="E3507" s="2">
        <f>IFERROR(__xludf.DUMMYFUNCTION("""COMPUTED_VALUE"""),176.29)</f>
        <v>176.29</v>
      </c>
      <c r="F3507" s="2">
        <f>IFERROR(__xludf.DUMMYFUNCTION("""COMPUTED_VALUE"""),6.856892E7)</f>
        <v>68568920</v>
      </c>
    </row>
    <row r="3508">
      <c r="A3508" s="3">
        <f>IFERROR(__xludf.DUMMYFUNCTION("""COMPUTED_VALUE"""),45447.66666666667)</f>
        <v>45447.66667</v>
      </c>
      <c r="B3508" s="2">
        <f>IFERROR(__xludf.DUMMYFUNCTION("""COMPUTED_VALUE"""),174.78)</f>
        <v>174.78</v>
      </c>
      <c r="C3508" s="2">
        <f>IFERROR(__xludf.DUMMYFUNCTION("""COMPUTED_VALUE"""),177.76)</f>
        <v>177.76</v>
      </c>
      <c r="D3508" s="2">
        <f>IFERROR(__xludf.DUMMYFUNCTION("""COMPUTED_VALUE"""),174.0)</f>
        <v>174</v>
      </c>
      <c r="E3508" s="2">
        <f>IFERROR(__xludf.DUMMYFUNCTION("""COMPUTED_VALUE"""),174.77)</f>
        <v>174.77</v>
      </c>
      <c r="F3508" s="2">
        <f>IFERROR(__xludf.DUMMYFUNCTION("""COMPUTED_VALUE"""),6.005634E7)</f>
        <v>60056340</v>
      </c>
    </row>
    <row r="3509">
      <c r="A3509" s="3">
        <f>IFERROR(__xludf.DUMMYFUNCTION("""COMPUTED_VALUE"""),45448.66666666667)</f>
        <v>45448.66667</v>
      </c>
      <c r="B3509" s="2">
        <f>IFERROR(__xludf.DUMMYFUNCTION("""COMPUTED_VALUE"""),175.35)</f>
        <v>175.35</v>
      </c>
      <c r="C3509" s="2">
        <f>IFERROR(__xludf.DUMMYFUNCTION("""COMPUTED_VALUE"""),176.15)</f>
        <v>176.15</v>
      </c>
      <c r="D3509" s="2">
        <f>IFERROR(__xludf.DUMMYFUNCTION("""COMPUTED_VALUE"""),172.13)</f>
        <v>172.13</v>
      </c>
      <c r="E3509" s="2">
        <f>IFERROR(__xludf.DUMMYFUNCTION("""COMPUTED_VALUE"""),175.0)</f>
        <v>175</v>
      </c>
      <c r="F3509" s="2">
        <f>IFERROR(__xludf.DUMMYFUNCTION("""COMPUTED_VALUE"""),5.7953756E7)</f>
        <v>57953756</v>
      </c>
    </row>
    <row r="3510">
      <c r="A3510" s="3">
        <f>IFERROR(__xludf.DUMMYFUNCTION("""COMPUTED_VALUE"""),45449.66666666667)</f>
        <v>45449.66667</v>
      </c>
      <c r="B3510" s="2">
        <f>IFERROR(__xludf.DUMMYFUNCTION("""COMPUTED_VALUE"""),174.6)</f>
        <v>174.6</v>
      </c>
      <c r="C3510" s="2">
        <f>IFERROR(__xludf.DUMMYFUNCTION("""COMPUTED_VALUE"""),179.73)</f>
        <v>179.73</v>
      </c>
      <c r="D3510" s="2">
        <f>IFERROR(__xludf.DUMMYFUNCTION("""COMPUTED_VALUE"""),172.73)</f>
        <v>172.73</v>
      </c>
      <c r="E3510" s="2">
        <f>IFERROR(__xludf.DUMMYFUNCTION("""COMPUTED_VALUE"""),177.94)</f>
        <v>177.94</v>
      </c>
      <c r="F3510" s="2">
        <f>IFERROR(__xludf.DUMMYFUNCTION("""COMPUTED_VALUE"""),6.9887024E7)</f>
        <v>69887024</v>
      </c>
    </row>
    <row r="3511">
      <c r="A3511" s="3">
        <f>IFERROR(__xludf.DUMMYFUNCTION("""COMPUTED_VALUE"""),45450.66666666667)</f>
        <v>45450.66667</v>
      </c>
      <c r="B3511" s="2">
        <f>IFERROR(__xludf.DUMMYFUNCTION("""COMPUTED_VALUE"""),176.13)</f>
        <v>176.13</v>
      </c>
      <c r="C3511" s="2">
        <f>IFERROR(__xludf.DUMMYFUNCTION("""COMPUTED_VALUE"""),179.35)</f>
        <v>179.35</v>
      </c>
      <c r="D3511" s="2">
        <f>IFERROR(__xludf.DUMMYFUNCTION("""COMPUTED_VALUE"""),175.58)</f>
        <v>175.58</v>
      </c>
      <c r="E3511" s="2">
        <f>IFERROR(__xludf.DUMMYFUNCTION("""COMPUTED_VALUE"""),177.48)</f>
        <v>177.48</v>
      </c>
      <c r="F3511" s="2">
        <f>IFERROR(__xludf.DUMMYFUNCTION("""COMPUTED_VALUE"""),5.6244932E7)</f>
        <v>56244932</v>
      </c>
    </row>
    <row r="3512">
      <c r="A3512" s="3">
        <f>IFERROR(__xludf.DUMMYFUNCTION("""COMPUTED_VALUE"""),45453.66666666667)</f>
        <v>45453.66667</v>
      </c>
      <c r="B3512" s="2">
        <f>IFERROR(__xludf.DUMMYFUNCTION("""COMPUTED_VALUE"""),176.06)</f>
        <v>176.06</v>
      </c>
      <c r="C3512" s="2">
        <f>IFERROR(__xludf.DUMMYFUNCTION("""COMPUTED_VALUE"""),178.57)</f>
        <v>178.57</v>
      </c>
      <c r="D3512" s="2">
        <f>IFERROR(__xludf.DUMMYFUNCTION("""COMPUTED_VALUE"""),173.17)</f>
        <v>173.17</v>
      </c>
      <c r="E3512" s="2">
        <f>IFERROR(__xludf.DUMMYFUNCTION("""COMPUTED_VALUE"""),173.79)</f>
        <v>173.79</v>
      </c>
      <c r="F3512" s="2">
        <f>IFERROR(__xludf.DUMMYFUNCTION("""COMPUTED_VALUE"""),5.0869682E7)</f>
        <v>50869682</v>
      </c>
    </row>
    <row r="3513">
      <c r="A3513" s="3">
        <f>IFERROR(__xludf.DUMMYFUNCTION("""COMPUTED_VALUE"""),45454.66666666667)</f>
        <v>45454.66667</v>
      </c>
      <c r="B3513" s="2">
        <f>IFERROR(__xludf.DUMMYFUNCTION("""COMPUTED_VALUE"""),173.92)</f>
        <v>173.92</v>
      </c>
      <c r="C3513" s="2">
        <f>IFERROR(__xludf.DUMMYFUNCTION("""COMPUTED_VALUE"""),174.75)</f>
        <v>174.75</v>
      </c>
      <c r="D3513" s="2">
        <f>IFERROR(__xludf.DUMMYFUNCTION("""COMPUTED_VALUE"""),167.41)</f>
        <v>167.41</v>
      </c>
      <c r="E3513" s="2">
        <f>IFERROR(__xludf.DUMMYFUNCTION("""COMPUTED_VALUE"""),170.66)</f>
        <v>170.66</v>
      </c>
      <c r="F3513" s="2">
        <f>IFERROR(__xludf.DUMMYFUNCTION("""COMPUTED_VALUE"""),6.4761928E7)</f>
        <v>64761928</v>
      </c>
    </row>
    <row r="3514">
      <c r="A3514" s="3">
        <f>IFERROR(__xludf.DUMMYFUNCTION("""COMPUTED_VALUE"""),45455.66666666667)</f>
        <v>45455.66667</v>
      </c>
      <c r="B3514" s="2">
        <f>IFERROR(__xludf.DUMMYFUNCTION("""COMPUTED_VALUE"""),171.12)</f>
        <v>171.12</v>
      </c>
      <c r="C3514" s="2">
        <f>IFERROR(__xludf.DUMMYFUNCTION("""COMPUTED_VALUE"""),180.55)</f>
        <v>180.55</v>
      </c>
      <c r="D3514" s="2">
        <f>IFERROR(__xludf.DUMMYFUNCTION("""COMPUTED_VALUE"""),169.8)</f>
        <v>169.8</v>
      </c>
      <c r="E3514" s="2">
        <f>IFERROR(__xludf.DUMMYFUNCTION("""COMPUTED_VALUE"""),177.29)</f>
        <v>177.29</v>
      </c>
      <c r="F3514" s="2">
        <f>IFERROR(__xludf.DUMMYFUNCTION("""COMPUTED_VALUE"""),9.0389446E7)</f>
        <v>90389446</v>
      </c>
    </row>
    <row r="3515">
      <c r="A3515" s="3">
        <f>IFERROR(__xludf.DUMMYFUNCTION("""COMPUTED_VALUE"""),45456.66666666667)</f>
        <v>45456.66667</v>
      </c>
      <c r="B3515" s="2">
        <f>IFERROR(__xludf.DUMMYFUNCTION("""COMPUTED_VALUE"""),188.39)</f>
        <v>188.39</v>
      </c>
      <c r="C3515" s="2">
        <f>IFERROR(__xludf.DUMMYFUNCTION("""COMPUTED_VALUE"""),191.08)</f>
        <v>191.08</v>
      </c>
      <c r="D3515" s="2">
        <f>IFERROR(__xludf.DUMMYFUNCTION("""COMPUTED_VALUE"""),181.23)</f>
        <v>181.23</v>
      </c>
      <c r="E3515" s="2">
        <f>IFERROR(__xludf.DUMMYFUNCTION("""COMPUTED_VALUE"""),182.47)</f>
        <v>182.47</v>
      </c>
      <c r="F3515" s="2">
        <f>IFERROR(__xludf.DUMMYFUNCTION("""COMPUTED_VALUE"""),1.18984122E8)</f>
        <v>118984122</v>
      </c>
    </row>
    <row r="3516">
      <c r="A3516" s="3">
        <f>IFERROR(__xludf.DUMMYFUNCTION("""COMPUTED_VALUE"""),45457.66666666667)</f>
        <v>45457.66667</v>
      </c>
      <c r="B3516" s="2">
        <f>IFERROR(__xludf.DUMMYFUNCTION("""COMPUTED_VALUE"""),185.8)</f>
        <v>185.8</v>
      </c>
      <c r="C3516" s="2">
        <f>IFERROR(__xludf.DUMMYFUNCTION("""COMPUTED_VALUE"""),186.0)</f>
        <v>186</v>
      </c>
      <c r="D3516" s="2">
        <f>IFERROR(__xludf.DUMMYFUNCTION("""COMPUTED_VALUE"""),176.92)</f>
        <v>176.92</v>
      </c>
      <c r="E3516" s="2">
        <f>IFERROR(__xludf.DUMMYFUNCTION("""COMPUTED_VALUE"""),178.01)</f>
        <v>178.01</v>
      </c>
      <c r="F3516" s="2">
        <f>IFERROR(__xludf.DUMMYFUNCTION("""COMPUTED_VALUE"""),8.2038194E7)</f>
        <v>82038194</v>
      </c>
    </row>
    <row r="3517">
      <c r="A3517" s="3">
        <f>IFERROR(__xludf.DUMMYFUNCTION("""COMPUTED_VALUE"""),45460.66666666667)</f>
        <v>45460.66667</v>
      </c>
      <c r="B3517" s="2">
        <f>IFERROR(__xludf.DUMMYFUNCTION("""COMPUTED_VALUE"""),177.92)</f>
        <v>177.92</v>
      </c>
      <c r="C3517" s="2">
        <f>IFERROR(__xludf.DUMMYFUNCTION("""COMPUTED_VALUE"""),188.81)</f>
        <v>188.81</v>
      </c>
      <c r="D3517" s="2">
        <f>IFERROR(__xludf.DUMMYFUNCTION("""COMPUTED_VALUE"""),177.0)</f>
        <v>177</v>
      </c>
      <c r="E3517" s="2">
        <f>IFERROR(__xludf.DUMMYFUNCTION("""COMPUTED_VALUE"""),187.44)</f>
        <v>187.44</v>
      </c>
      <c r="F3517" s="2">
        <f>IFERROR(__xludf.DUMMYFUNCTION("""COMPUTED_VALUE"""),1.09786083E8)</f>
        <v>109786083</v>
      </c>
    </row>
    <row r="3518">
      <c r="A3518" s="3">
        <f>IFERROR(__xludf.DUMMYFUNCTION("""COMPUTED_VALUE"""),45461.66666666667)</f>
        <v>45461.66667</v>
      </c>
      <c r="B3518" s="2">
        <f>IFERROR(__xludf.DUMMYFUNCTION("""COMPUTED_VALUE"""),186.56)</f>
        <v>186.56</v>
      </c>
      <c r="C3518" s="2">
        <f>IFERROR(__xludf.DUMMYFUNCTION("""COMPUTED_VALUE"""),187.2)</f>
        <v>187.2</v>
      </c>
      <c r="D3518" s="2">
        <f>IFERROR(__xludf.DUMMYFUNCTION("""COMPUTED_VALUE"""),182.37)</f>
        <v>182.37</v>
      </c>
      <c r="E3518" s="2">
        <f>IFERROR(__xludf.DUMMYFUNCTION("""COMPUTED_VALUE"""),184.86)</f>
        <v>184.86</v>
      </c>
      <c r="F3518" s="2">
        <f>IFERROR(__xludf.DUMMYFUNCTION("""COMPUTED_VALUE"""),6.8982265E7)</f>
        <v>68982265</v>
      </c>
    </row>
    <row r="3519">
      <c r="A3519" s="3">
        <f>IFERROR(__xludf.DUMMYFUNCTION("""COMPUTED_VALUE"""),45463.66666666667)</f>
        <v>45463.66667</v>
      </c>
      <c r="B3519" s="2">
        <f>IFERROR(__xludf.DUMMYFUNCTION("""COMPUTED_VALUE"""),184.68)</f>
        <v>184.68</v>
      </c>
      <c r="C3519" s="2">
        <f>IFERROR(__xludf.DUMMYFUNCTION("""COMPUTED_VALUE"""),185.21)</f>
        <v>185.21</v>
      </c>
      <c r="D3519" s="2">
        <f>IFERROR(__xludf.DUMMYFUNCTION("""COMPUTED_VALUE"""),179.66)</f>
        <v>179.66</v>
      </c>
      <c r="E3519" s="2">
        <f>IFERROR(__xludf.DUMMYFUNCTION("""COMPUTED_VALUE"""),181.57)</f>
        <v>181.57</v>
      </c>
      <c r="F3519" s="2">
        <f>IFERROR(__xludf.DUMMYFUNCTION("""COMPUTED_VALUE"""),5.5893139E7)</f>
        <v>55893139</v>
      </c>
    </row>
    <row r="3520">
      <c r="A3520" s="3">
        <f>IFERROR(__xludf.DUMMYFUNCTION("""COMPUTED_VALUE"""),45464.66666666667)</f>
        <v>45464.66667</v>
      </c>
      <c r="B3520" s="2">
        <f>IFERROR(__xludf.DUMMYFUNCTION("""COMPUTED_VALUE"""),182.3)</f>
        <v>182.3</v>
      </c>
      <c r="C3520" s="2">
        <f>IFERROR(__xludf.DUMMYFUNCTION("""COMPUTED_VALUE"""),183.95)</f>
        <v>183.95</v>
      </c>
      <c r="D3520" s="2">
        <f>IFERROR(__xludf.DUMMYFUNCTION("""COMPUTED_VALUE"""),180.69)</f>
        <v>180.69</v>
      </c>
      <c r="E3520" s="2">
        <f>IFERROR(__xludf.DUMMYFUNCTION("""COMPUTED_VALUE"""),183.01)</f>
        <v>183.01</v>
      </c>
      <c r="F3520" s="2">
        <f>IFERROR(__xludf.DUMMYFUNCTION("""COMPUTED_VALUE"""),6.3029482E7)</f>
        <v>63029482</v>
      </c>
    </row>
    <row r="3521">
      <c r="A3521" s="3">
        <f>IFERROR(__xludf.DUMMYFUNCTION("""COMPUTED_VALUE"""),45467.66666666667)</f>
        <v>45467.66667</v>
      </c>
      <c r="B3521" s="2">
        <f>IFERROR(__xludf.DUMMYFUNCTION("""COMPUTED_VALUE"""),184.97)</f>
        <v>184.97</v>
      </c>
      <c r="C3521" s="2">
        <f>IFERROR(__xludf.DUMMYFUNCTION("""COMPUTED_VALUE"""),188.8)</f>
        <v>188.8</v>
      </c>
      <c r="D3521" s="2">
        <f>IFERROR(__xludf.DUMMYFUNCTION("""COMPUTED_VALUE"""),182.55)</f>
        <v>182.55</v>
      </c>
      <c r="E3521" s="2">
        <f>IFERROR(__xludf.DUMMYFUNCTION("""COMPUTED_VALUE"""),182.58)</f>
        <v>182.58</v>
      </c>
      <c r="F3521" s="2">
        <f>IFERROR(__xludf.DUMMYFUNCTION("""COMPUTED_VALUE"""),6.199207E7)</f>
        <v>61992070</v>
      </c>
    </row>
    <row r="3522">
      <c r="A3522" s="3">
        <f>IFERROR(__xludf.DUMMYFUNCTION("""COMPUTED_VALUE"""),45468.66666666667)</f>
        <v>45468.66667</v>
      </c>
      <c r="B3522" s="2">
        <f>IFERROR(__xludf.DUMMYFUNCTION("""COMPUTED_VALUE"""),184.4)</f>
        <v>184.4</v>
      </c>
      <c r="C3522" s="2">
        <f>IFERROR(__xludf.DUMMYFUNCTION("""COMPUTED_VALUE"""),187.97)</f>
        <v>187.97</v>
      </c>
      <c r="D3522" s="2">
        <f>IFERROR(__xludf.DUMMYFUNCTION("""COMPUTED_VALUE"""),182.01)</f>
        <v>182.01</v>
      </c>
      <c r="E3522" s="2">
        <f>IFERROR(__xludf.DUMMYFUNCTION("""COMPUTED_VALUE"""),187.35)</f>
        <v>187.35</v>
      </c>
      <c r="F3522" s="2">
        <f>IFERROR(__xludf.DUMMYFUNCTION("""COMPUTED_VALUE"""),6.3678265E7)</f>
        <v>63678265</v>
      </c>
    </row>
    <row r="3523">
      <c r="A3523" s="3">
        <f>IFERROR(__xludf.DUMMYFUNCTION("""COMPUTED_VALUE"""),45469.66666666667)</f>
        <v>45469.66667</v>
      </c>
      <c r="B3523" s="2">
        <f>IFERROR(__xludf.DUMMYFUNCTION("""COMPUTED_VALUE"""),186.54)</f>
        <v>186.54</v>
      </c>
      <c r="C3523" s="2">
        <f>IFERROR(__xludf.DUMMYFUNCTION("""COMPUTED_VALUE"""),197.76)</f>
        <v>197.76</v>
      </c>
      <c r="D3523" s="2">
        <f>IFERROR(__xludf.DUMMYFUNCTION("""COMPUTED_VALUE"""),186.36)</f>
        <v>186.36</v>
      </c>
      <c r="E3523" s="2">
        <f>IFERROR(__xludf.DUMMYFUNCTION("""COMPUTED_VALUE"""),196.37)</f>
        <v>196.37</v>
      </c>
      <c r="F3523" s="2">
        <f>IFERROR(__xludf.DUMMYFUNCTION("""COMPUTED_VALUE"""),9.5737066E7)</f>
        <v>95737066</v>
      </c>
    </row>
    <row r="3524">
      <c r="A3524" s="3">
        <f>IFERROR(__xludf.DUMMYFUNCTION("""COMPUTED_VALUE"""),45470.66666666667)</f>
        <v>45470.66667</v>
      </c>
      <c r="B3524" s="2">
        <f>IFERROR(__xludf.DUMMYFUNCTION("""COMPUTED_VALUE"""),195.17)</f>
        <v>195.17</v>
      </c>
      <c r="C3524" s="2">
        <f>IFERROR(__xludf.DUMMYFUNCTION("""COMPUTED_VALUE"""),198.72)</f>
        <v>198.72</v>
      </c>
      <c r="D3524" s="2">
        <f>IFERROR(__xludf.DUMMYFUNCTION("""COMPUTED_VALUE"""),194.05)</f>
        <v>194.05</v>
      </c>
      <c r="E3524" s="2">
        <f>IFERROR(__xludf.DUMMYFUNCTION("""COMPUTED_VALUE"""),197.42)</f>
        <v>197.42</v>
      </c>
      <c r="F3524" s="2">
        <f>IFERROR(__xludf.DUMMYFUNCTION("""COMPUTED_VALUE"""),7.2746521E7)</f>
        <v>72746521</v>
      </c>
    </row>
    <row r="3525">
      <c r="A3525" s="3">
        <f>IFERROR(__xludf.DUMMYFUNCTION("""COMPUTED_VALUE"""),45471.66666666667)</f>
        <v>45471.66667</v>
      </c>
      <c r="B3525" s="2">
        <f>IFERROR(__xludf.DUMMYFUNCTION("""COMPUTED_VALUE"""),199.55)</f>
        <v>199.55</v>
      </c>
      <c r="C3525" s="2">
        <f>IFERROR(__xludf.DUMMYFUNCTION("""COMPUTED_VALUE"""),203.2)</f>
        <v>203.2</v>
      </c>
      <c r="D3525" s="2">
        <f>IFERROR(__xludf.DUMMYFUNCTION("""COMPUTED_VALUE"""),195.26)</f>
        <v>195.26</v>
      </c>
      <c r="E3525" s="2">
        <f>IFERROR(__xludf.DUMMYFUNCTION("""COMPUTED_VALUE"""),197.88)</f>
        <v>197.88</v>
      </c>
      <c r="F3525" s="2">
        <f>IFERROR(__xludf.DUMMYFUNCTION("""COMPUTED_VALUE"""),9.5438068E7)</f>
        <v>95438068</v>
      </c>
    </row>
    <row r="3526">
      <c r="A3526" s="3">
        <f>IFERROR(__xludf.DUMMYFUNCTION("""COMPUTED_VALUE"""),45474.66666666667)</f>
        <v>45474.66667</v>
      </c>
      <c r="B3526" s="2">
        <f>IFERROR(__xludf.DUMMYFUNCTION("""COMPUTED_VALUE"""),201.02)</f>
        <v>201.02</v>
      </c>
      <c r="C3526" s="2">
        <f>IFERROR(__xludf.DUMMYFUNCTION("""COMPUTED_VALUE"""),213.23)</f>
        <v>213.23</v>
      </c>
      <c r="D3526" s="2">
        <f>IFERROR(__xludf.DUMMYFUNCTION("""COMPUTED_VALUE"""),200.85)</f>
        <v>200.85</v>
      </c>
      <c r="E3526" s="2">
        <f>IFERROR(__xludf.DUMMYFUNCTION("""COMPUTED_VALUE"""),209.86)</f>
        <v>209.86</v>
      </c>
      <c r="F3526" s="2">
        <f>IFERROR(__xludf.DUMMYFUNCTION("""COMPUTED_VALUE"""),1.35691395E8)</f>
        <v>135691395</v>
      </c>
    </row>
    <row r="3527">
      <c r="A3527" s="3">
        <f>IFERROR(__xludf.DUMMYFUNCTION("""COMPUTED_VALUE"""),45475.66666666667)</f>
        <v>45475.66667</v>
      </c>
      <c r="B3527" s="2">
        <f>IFERROR(__xludf.DUMMYFUNCTION("""COMPUTED_VALUE"""),218.89)</f>
        <v>218.89</v>
      </c>
      <c r="C3527" s="2">
        <f>IFERROR(__xludf.DUMMYFUNCTION("""COMPUTED_VALUE"""),231.3)</f>
        <v>231.3</v>
      </c>
      <c r="D3527" s="2">
        <f>IFERROR(__xludf.DUMMYFUNCTION("""COMPUTED_VALUE"""),218.06)</f>
        <v>218.06</v>
      </c>
      <c r="E3527" s="2">
        <f>IFERROR(__xludf.DUMMYFUNCTION("""COMPUTED_VALUE"""),231.26)</f>
        <v>231.26</v>
      </c>
      <c r="F3527" s="2">
        <f>IFERROR(__xludf.DUMMYFUNCTION("""COMPUTED_VALUE"""),2.0504792E8)</f>
        <v>205047920</v>
      </c>
    </row>
    <row r="3528">
      <c r="A3528" s="3">
        <f>IFERROR(__xludf.DUMMYFUNCTION("""COMPUTED_VALUE"""),45476.54513888889)</f>
        <v>45476.54514</v>
      </c>
      <c r="B3528" s="2">
        <f>IFERROR(__xludf.DUMMYFUNCTION("""COMPUTED_VALUE"""),234.56)</f>
        <v>234.56</v>
      </c>
      <c r="C3528" s="2">
        <f>IFERROR(__xludf.DUMMYFUNCTION("""COMPUTED_VALUE"""),248.35)</f>
        <v>248.35</v>
      </c>
      <c r="D3528" s="2">
        <f>IFERROR(__xludf.DUMMYFUNCTION("""COMPUTED_VALUE"""),234.25)</f>
        <v>234.25</v>
      </c>
      <c r="E3528" s="2">
        <f>IFERROR(__xludf.DUMMYFUNCTION("""COMPUTED_VALUE"""),246.39)</f>
        <v>246.39</v>
      </c>
      <c r="F3528" s="2">
        <f>IFERROR(__xludf.DUMMYFUNCTION("""COMPUTED_VALUE"""),1.66561471E8)</f>
        <v>166561471</v>
      </c>
    </row>
    <row r="3529">
      <c r="A3529" s="3">
        <f>IFERROR(__xludf.DUMMYFUNCTION("""COMPUTED_VALUE"""),45478.66666666667)</f>
        <v>45478.66667</v>
      </c>
      <c r="B3529" s="2">
        <f>IFERROR(__xludf.DUMMYFUNCTION("""COMPUTED_VALUE"""),249.81)</f>
        <v>249.81</v>
      </c>
      <c r="C3529" s="2">
        <f>IFERROR(__xludf.DUMMYFUNCTION("""COMPUTED_VALUE"""),252.37)</f>
        <v>252.37</v>
      </c>
      <c r="D3529" s="2">
        <f>IFERROR(__xludf.DUMMYFUNCTION("""COMPUTED_VALUE"""),242.46)</f>
        <v>242.46</v>
      </c>
      <c r="E3529" s="2">
        <f>IFERROR(__xludf.DUMMYFUNCTION("""COMPUTED_VALUE"""),251.52)</f>
        <v>251.52</v>
      </c>
      <c r="F3529" s="2">
        <f>IFERROR(__xludf.DUMMYFUNCTION("""COMPUTED_VALUE"""),1.54501152E8)</f>
        <v>154501152</v>
      </c>
    </row>
    <row r="3530">
      <c r="A3530" s="3">
        <f>IFERROR(__xludf.DUMMYFUNCTION("""COMPUTED_VALUE"""),45481.66666666667)</f>
        <v>45481.66667</v>
      </c>
      <c r="B3530" s="2">
        <f>IFERROR(__xludf.DUMMYFUNCTION("""COMPUTED_VALUE"""),247.71)</f>
        <v>247.71</v>
      </c>
      <c r="C3530" s="2">
        <f>IFERROR(__xludf.DUMMYFUNCTION("""COMPUTED_VALUE"""),259.44)</f>
        <v>259.44</v>
      </c>
      <c r="D3530" s="2">
        <f>IFERROR(__xludf.DUMMYFUNCTION("""COMPUTED_VALUE"""),244.57)</f>
        <v>244.57</v>
      </c>
      <c r="E3530" s="2">
        <f>IFERROR(__xludf.DUMMYFUNCTION("""COMPUTED_VALUE"""),252.94)</f>
        <v>252.94</v>
      </c>
      <c r="F3530" s="2">
        <f>IFERROR(__xludf.DUMMYFUNCTION("""COMPUTED_VALUE"""),1.5721958E8)</f>
        <v>157219580</v>
      </c>
    </row>
    <row r="3531">
      <c r="A3531" s="3">
        <f>IFERROR(__xludf.DUMMYFUNCTION("""COMPUTED_VALUE"""),45482.66666666667)</f>
        <v>45482.66667</v>
      </c>
      <c r="B3531" s="2">
        <f>IFERROR(__xludf.DUMMYFUNCTION("""COMPUTED_VALUE"""),251.0)</f>
        <v>251</v>
      </c>
      <c r="C3531" s="2">
        <f>IFERROR(__xludf.DUMMYFUNCTION("""COMPUTED_VALUE"""),265.61)</f>
        <v>265.61</v>
      </c>
      <c r="D3531" s="2">
        <f>IFERROR(__xludf.DUMMYFUNCTION("""COMPUTED_VALUE"""),250.3)</f>
        <v>250.3</v>
      </c>
      <c r="E3531" s="2">
        <f>IFERROR(__xludf.DUMMYFUNCTION("""COMPUTED_VALUE"""),262.33)</f>
        <v>262.33</v>
      </c>
      <c r="F3531" s="2">
        <f>IFERROR(__xludf.DUMMYFUNCTION("""COMPUTED_VALUE"""),1.60742516E8)</f>
        <v>160742516</v>
      </c>
    </row>
    <row r="3532">
      <c r="A3532" s="3">
        <f>IFERROR(__xludf.DUMMYFUNCTION("""COMPUTED_VALUE"""),45483.66666666667)</f>
        <v>45483.66667</v>
      </c>
      <c r="B3532" s="2">
        <f>IFERROR(__xludf.DUMMYFUNCTION("""COMPUTED_VALUE"""),262.8)</f>
        <v>262.8</v>
      </c>
      <c r="C3532" s="2">
        <f>IFERROR(__xludf.DUMMYFUNCTION("""COMPUTED_VALUE"""),267.59)</f>
        <v>267.59</v>
      </c>
      <c r="D3532" s="2">
        <f>IFERROR(__xludf.DUMMYFUNCTION("""COMPUTED_VALUE"""),257.86)</f>
        <v>257.86</v>
      </c>
      <c r="E3532" s="2">
        <f>IFERROR(__xludf.DUMMYFUNCTION("""COMPUTED_VALUE"""),263.26)</f>
        <v>263.26</v>
      </c>
      <c r="F3532" s="2">
        <f>IFERROR(__xludf.DUMMYFUNCTION("""COMPUTED_VALUE"""),1.2851943E8)</f>
        <v>128519430</v>
      </c>
    </row>
    <row r="3533">
      <c r="A3533" s="3">
        <f>IFERROR(__xludf.DUMMYFUNCTION("""COMPUTED_VALUE"""),45484.66666666667)</f>
        <v>45484.66667</v>
      </c>
      <c r="B3533" s="2">
        <f>IFERROR(__xludf.DUMMYFUNCTION("""COMPUTED_VALUE"""),263.3)</f>
        <v>263.3</v>
      </c>
      <c r="C3533" s="2">
        <f>IFERROR(__xludf.DUMMYFUNCTION("""COMPUTED_VALUE"""),271.0)</f>
        <v>271</v>
      </c>
      <c r="D3533" s="2">
        <f>IFERROR(__xludf.DUMMYFUNCTION("""COMPUTED_VALUE"""),239.65)</f>
        <v>239.65</v>
      </c>
      <c r="E3533" s="2">
        <f>IFERROR(__xludf.DUMMYFUNCTION("""COMPUTED_VALUE"""),241.03)</f>
        <v>241.03</v>
      </c>
      <c r="F3533" s="2">
        <f>IFERROR(__xludf.DUMMYFUNCTION("""COMPUTED_VALUE"""),2.21707273E8)</f>
        <v>221707273</v>
      </c>
    </row>
    <row r="3534">
      <c r="A3534" s="3">
        <f>IFERROR(__xludf.DUMMYFUNCTION("""COMPUTED_VALUE"""),45485.66666666667)</f>
        <v>45485.66667</v>
      </c>
      <c r="B3534" s="2">
        <f>IFERROR(__xludf.DUMMYFUNCTION("""COMPUTED_VALUE"""),235.8)</f>
        <v>235.8</v>
      </c>
      <c r="C3534" s="2">
        <f>IFERROR(__xludf.DUMMYFUNCTION("""COMPUTED_VALUE"""),251.84)</f>
        <v>251.84</v>
      </c>
      <c r="D3534" s="2">
        <f>IFERROR(__xludf.DUMMYFUNCTION("""COMPUTED_VALUE"""),233.09)</f>
        <v>233.09</v>
      </c>
      <c r="E3534" s="2">
        <f>IFERROR(__xludf.DUMMYFUNCTION("""COMPUTED_VALUE"""),248.23)</f>
        <v>248.23</v>
      </c>
      <c r="F3534" s="2">
        <f>IFERROR(__xludf.DUMMYFUNCTION("""COMPUTED_VALUE"""),1.55955773E8)</f>
        <v>155955773</v>
      </c>
    </row>
    <row r="3535">
      <c r="A3535" s="3">
        <f>IFERROR(__xludf.DUMMYFUNCTION("""COMPUTED_VALUE"""),45488.66666666667)</f>
        <v>45488.66667</v>
      </c>
      <c r="B3535" s="2">
        <f>IFERROR(__xludf.DUMMYFUNCTION("""COMPUTED_VALUE"""),255.97)</f>
        <v>255.97</v>
      </c>
      <c r="C3535" s="2">
        <f>IFERROR(__xludf.DUMMYFUNCTION("""COMPUTED_VALUE"""),265.6)</f>
        <v>265.6</v>
      </c>
      <c r="D3535" s="2">
        <f>IFERROR(__xludf.DUMMYFUNCTION("""COMPUTED_VALUE"""),251.73)</f>
        <v>251.73</v>
      </c>
      <c r="E3535" s="2">
        <f>IFERROR(__xludf.DUMMYFUNCTION("""COMPUTED_VALUE"""),252.64)</f>
        <v>252.64</v>
      </c>
      <c r="F3535" s="2">
        <f>IFERROR(__xludf.DUMMYFUNCTION("""COMPUTED_VALUE"""),1.4691292E8)</f>
        <v>146912920</v>
      </c>
    </row>
    <row r="3536">
      <c r="A3536" s="3">
        <f>IFERROR(__xludf.DUMMYFUNCTION("""COMPUTED_VALUE"""),45489.66666666667)</f>
        <v>45489.66667</v>
      </c>
      <c r="B3536" s="2">
        <f>IFERROR(__xludf.DUMMYFUNCTION("""COMPUTED_VALUE"""),255.31)</f>
        <v>255.31</v>
      </c>
      <c r="C3536" s="2">
        <f>IFERROR(__xludf.DUMMYFUNCTION("""COMPUTED_VALUE"""),258.62)</f>
        <v>258.62</v>
      </c>
      <c r="D3536" s="2">
        <f>IFERROR(__xludf.DUMMYFUNCTION("""COMPUTED_VALUE"""),245.8)</f>
        <v>245.8</v>
      </c>
      <c r="E3536" s="2">
        <f>IFERROR(__xludf.DUMMYFUNCTION("""COMPUTED_VALUE"""),256.56)</f>
        <v>256.56</v>
      </c>
      <c r="F3536" s="2">
        <f>IFERROR(__xludf.DUMMYFUNCTION("""COMPUTED_VALUE"""),1.2633247E8)</f>
        <v>126332470</v>
      </c>
    </row>
    <row r="3537">
      <c r="A3537" s="3">
        <f>IFERROR(__xludf.DUMMYFUNCTION("""COMPUTED_VALUE"""),45490.66666666667)</f>
        <v>45490.66667</v>
      </c>
      <c r="B3537" s="2">
        <f>IFERROR(__xludf.DUMMYFUNCTION("""COMPUTED_VALUE"""),252.73)</f>
        <v>252.73</v>
      </c>
      <c r="C3537" s="2">
        <f>IFERROR(__xludf.DUMMYFUNCTION("""COMPUTED_VALUE"""),258.47)</f>
        <v>258.47</v>
      </c>
      <c r="D3537" s="2">
        <f>IFERROR(__xludf.DUMMYFUNCTION("""COMPUTED_VALUE"""),246.18)</f>
        <v>246.18</v>
      </c>
      <c r="E3537" s="2">
        <f>IFERROR(__xludf.DUMMYFUNCTION("""COMPUTED_VALUE"""),248.5)</f>
        <v>248.5</v>
      </c>
      <c r="F3537" s="2">
        <f>IFERROR(__xludf.DUMMYFUNCTION("""COMPUTED_VALUE"""),1.1558481E8)</f>
        <v>115584810</v>
      </c>
    </row>
    <row r="3538">
      <c r="A3538" s="3">
        <f>IFERROR(__xludf.DUMMYFUNCTION("""COMPUTED_VALUE"""),45491.66666666667)</f>
        <v>45491.66667</v>
      </c>
      <c r="B3538" s="2">
        <f>IFERROR(__xludf.DUMMYFUNCTION("""COMPUTED_VALUE"""),251.09)</f>
        <v>251.09</v>
      </c>
      <c r="C3538" s="2">
        <f>IFERROR(__xludf.DUMMYFUNCTION("""COMPUTED_VALUE"""),257.14)</f>
        <v>257.14</v>
      </c>
      <c r="D3538" s="2">
        <f>IFERROR(__xludf.DUMMYFUNCTION("""COMPUTED_VALUE"""),247.2)</f>
        <v>247.2</v>
      </c>
      <c r="E3538" s="2">
        <f>IFERROR(__xludf.DUMMYFUNCTION("""COMPUTED_VALUE"""),249.23)</f>
        <v>249.23</v>
      </c>
      <c r="F3538" s="2">
        <f>IFERROR(__xludf.DUMMYFUNCTION("""COMPUTED_VALUE"""),1.10869037E8)</f>
        <v>110869037</v>
      </c>
    </row>
    <row r="3539">
      <c r="A3539" s="3">
        <f>IFERROR(__xludf.DUMMYFUNCTION("""COMPUTED_VALUE"""),45492.66666666667)</f>
        <v>45492.66667</v>
      </c>
      <c r="B3539" s="2">
        <f>IFERROR(__xludf.DUMMYFUNCTION("""COMPUTED_VALUE"""),247.79)</f>
        <v>247.79</v>
      </c>
      <c r="C3539" s="2">
        <f>IFERROR(__xludf.DUMMYFUNCTION("""COMPUTED_VALUE"""),249.44)</f>
        <v>249.44</v>
      </c>
      <c r="D3539" s="2">
        <f>IFERROR(__xludf.DUMMYFUNCTION("""COMPUTED_VALUE"""),236.83)</f>
        <v>236.83</v>
      </c>
      <c r="E3539" s="2">
        <f>IFERROR(__xludf.DUMMYFUNCTION("""COMPUTED_VALUE"""),239.2)</f>
        <v>239.2</v>
      </c>
      <c r="F3539" s="2">
        <f>IFERROR(__xludf.DUMMYFUNCTION("""COMPUTED_VALUE"""),8.7403903E7)</f>
        <v>87403903</v>
      </c>
    </row>
    <row r="3540">
      <c r="A3540" s="3">
        <f>IFERROR(__xludf.DUMMYFUNCTION("""COMPUTED_VALUE"""),45495.66666666667)</f>
        <v>45495.66667</v>
      </c>
      <c r="B3540" s="2">
        <f>IFERROR(__xludf.DUMMYFUNCTION("""COMPUTED_VALUE"""),244.21)</f>
        <v>244.21</v>
      </c>
      <c r="C3540" s="2">
        <f>IFERROR(__xludf.DUMMYFUNCTION("""COMPUTED_VALUE"""),253.21)</f>
        <v>253.21</v>
      </c>
      <c r="D3540" s="2">
        <f>IFERROR(__xludf.DUMMYFUNCTION("""COMPUTED_VALUE"""),243.75)</f>
        <v>243.75</v>
      </c>
      <c r="E3540" s="2">
        <f>IFERROR(__xludf.DUMMYFUNCTION("""COMPUTED_VALUE"""),251.51)</f>
        <v>251.51</v>
      </c>
      <c r="F3540" s="2">
        <f>IFERROR(__xludf.DUMMYFUNCTION("""COMPUTED_VALUE"""),1.0122543E8)</f>
        <v>101225430</v>
      </c>
    </row>
    <row r="3541">
      <c r="A3541" s="3">
        <f>IFERROR(__xludf.DUMMYFUNCTION("""COMPUTED_VALUE"""),45496.66666666667)</f>
        <v>45496.66667</v>
      </c>
      <c r="B3541" s="2">
        <f>IFERROR(__xludf.DUMMYFUNCTION("""COMPUTED_VALUE"""),253.6)</f>
        <v>253.6</v>
      </c>
      <c r="C3541" s="2">
        <f>IFERROR(__xludf.DUMMYFUNCTION("""COMPUTED_VALUE"""),255.76)</f>
        <v>255.76</v>
      </c>
      <c r="D3541" s="2">
        <f>IFERROR(__xludf.DUMMYFUNCTION("""COMPUTED_VALUE"""),245.63)</f>
        <v>245.63</v>
      </c>
      <c r="E3541" s="2">
        <f>IFERROR(__xludf.DUMMYFUNCTION("""COMPUTED_VALUE"""),246.38)</f>
        <v>246.38</v>
      </c>
      <c r="F3541" s="2">
        <f>IFERROR(__xludf.DUMMYFUNCTION("""COMPUTED_VALUE"""),1.11928192E8)</f>
        <v>111928192</v>
      </c>
    </row>
    <row r="3542">
      <c r="A3542" s="3">
        <f>IFERROR(__xludf.DUMMYFUNCTION("""COMPUTED_VALUE"""),45497.66666666667)</f>
        <v>45497.66667</v>
      </c>
      <c r="B3542" s="2">
        <f>IFERROR(__xludf.DUMMYFUNCTION("""COMPUTED_VALUE"""),225.42)</f>
        <v>225.42</v>
      </c>
      <c r="C3542" s="2">
        <f>IFERROR(__xludf.DUMMYFUNCTION("""COMPUTED_VALUE"""),225.99)</f>
        <v>225.99</v>
      </c>
      <c r="D3542" s="2">
        <f>IFERROR(__xludf.DUMMYFUNCTION("""COMPUTED_VALUE"""),214.71)</f>
        <v>214.71</v>
      </c>
      <c r="E3542" s="2">
        <f>IFERROR(__xludf.DUMMYFUNCTION("""COMPUTED_VALUE"""),215.99)</f>
        <v>215.99</v>
      </c>
      <c r="F3542" s="2">
        <f>IFERROR(__xludf.DUMMYFUNCTION("""COMPUTED_VALUE"""),1.67942939E8)</f>
        <v>167942939</v>
      </c>
    </row>
    <row r="3543">
      <c r="A3543" s="3">
        <f>IFERROR(__xludf.DUMMYFUNCTION("""COMPUTED_VALUE"""),45498.66666666667)</f>
        <v>45498.66667</v>
      </c>
      <c r="B3543" s="2">
        <f>IFERROR(__xludf.DUMMYFUNCTION("""COMPUTED_VALUE"""),216.8)</f>
        <v>216.8</v>
      </c>
      <c r="C3543" s="2">
        <f>IFERROR(__xludf.DUMMYFUNCTION("""COMPUTED_VALUE"""),226.0)</f>
        <v>226</v>
      </c>
      <c r="D3543" s="2">
        <f>IFERROR(__xludf.DUMMYFUNCTION("""COMPUTED_VALUE"""),216.23)</f>
        <v>216.23</v>
      </c>
      <c r="E3543" s="2">
        <f>IFERROR(__xludf.DUMMYFUNCTION("""COMPUTED_VALUE"""),220.25)</f>
        <v>220.25</v>
      </c>
      <c r="F3543" s="2">
        <f>IFERROR(__xludf.DUMMYFUNCTION("""COMPUTED_VALUE"""),1.00636466E8)</f>
        <v>100636466</v>
      </c>
    </row>
    <row r="3544">
      <c r="A3544" s="3">
        <f>IFERROR(__xludf.DUMMYFUNCTION("""COMPUTED_VALUE"""),45499.66666666667)</f>
        <v>45499.66667</v>
      </c>
      <c r="B3544" s="2">
        <f>IFERROR(__xludf.DUMMYFUNCTION("""COMPUTED_VALUE"""),221.19)</f>
        <v>221.19</v>
      </c>
      <c r="C3544" s="2">
        <f>IFERROR(__xludf.DUMMYFUNCTION("""COMPUTED_VALUE"""),222.28)</f>
        <v>222.28</v>
      </c>
      <c r="D3544" s="2">
        <f>IFERROR(__xludf.DUMMYFUNCTION("""COMPUTED_VALUE"""),215.33)</f>
        <v>215.33</v>
      </c>
      <c r="E3544" s="2">
        <f>IFERROR(__xludf.DUMMYFUNCTION("""COMPUTED_VALUE"""),219.8)</f>
        <v>219.8</v>
      </c>
      <c r="F3544" s="2">
        <f>IFERROR(__xludf.DUMMYFUNCTION("""COMPUTED_VALUE"""),9.4604145E7)</f>
        <v>94604145</v>
      </c>
    </row>
    <row r="3545">
      <c r="A3545" s="3">
        <f>IFERROR(__xludf.DUMMYFUNCTION("""COMPUTED_VALUE"""),45502.66666666667)</f>
        <v>45502.66667</v>
      </c>
      <c r="B3545" s="2">
        <f>IFERROR(__xludf.DUMMYFUNCTION("""COMPUTED_VALUE"""),224.9)</f>
        <v>224.9</v>
      </c>
      <c r="C3545" s="2">
        <f>IFERROR(__xludf.DUMMYFUNCTION("""COMPUTED_VALUE"""),234.27)</f>
        <v>234.27</v>
      </c>
      <c r="D3545" s="2">
        <f>IFERROR(__xludf.DUMMYFUNCTION("""COMPUTED_VALUE"""),224.7)</f>
        <v>224.7</v>
      </c>
      <c r="E3545" s="2">
        <f>IFERROR(__xludf.DUMMYFUNCTION("""COMPUTED_VALUE"""),232.1)</f>
        <v>232.1</v>
      </c>
      <c r="F3545" s="2">
        <f>IFERROR(__xludf.DUMMYFUNCTION("""COMPUTED_VALUE"""),1.29201789E8)</f>
        <v>129201789</v>
      </c>
    </row>
    <row r="3546">
      <c r="A3546" s="3">
        <f>IFERROR(__xludf.DUMMYFUNCTION("""COMPUTED_VALUE"""),45503.66666666667)</f>
        <v>45503.66667</v>
      </c>
      <c r="B3546" s="2">
        <f>IFERROR(__xludf.DUMMYFUNCTION("""COMPUTED_VALUE"""),232.25)</f>
        <v>232.25</v>
      </c>
      <c r="C3546" s="2">
        <f>IFERROR(__xludf.DUMMYFUNCTION("""COMPUTED_VALUE"""),232.41)</f>
        <v>232.41</v>
      </c>
      <c r="D3546" s="2">
        <f>IFERROR(__xludf.DUMMYFUNCTION("""COMPUTED_VALUE"""),220.0)</f>
        <v>220</v>
      </c>
      <c r="E3546" s="2">
        <f>IFERROR(__xludf.DUMMYFUNCTION("""COMPUTED_VALUE"""),222.62)</f>
        <v>222.62</v>
      </c>
      <c r="F3546" s="2">
        <f>IFERROR(__xludf.DUMMYFUNCTION("""COMPUTED_VALUE"""),1.00560334E8)</f>
        <v>100560334</v>
      </c>
    </row>
    <row r="3547">
      <c r="A3547" s="3">
        <f>IFERROR(__xludf.DUMMYFUNCTION("""COMPUTED_VALUE"""),45504.66666666667)</f>
        <v>45504.66667</v>
      </c>
      <c r="B3547" s="2">
        <f>IFERROR(__xludf.DUMMYFUNCTION("""COMPUTED_VALUE"""),227.9)</f>
        <v>227.9</v>
      </c>
      <c r="C3547" s="2">
        <f>IFERROR(__xludf.DUMMYFUNCTION("""COMPUTED_VALUE"""),234.68)</f>
        <v>234.68</v>
      </c>
      <c r="D3547" s="2">
        <f>IFERROR(__xludf.DUMMYFUNCTION("""COMPUTED_VALUE"""),226.79)</f>
        <v>226.79</v>
      </c>
      <c r="E3547" s="2">
        <f>IFERROR(__xludf.DUMMYFUNCTION("""COMPUTED_VALUE"""),232.07)</f>
        <v>232.07</v>
      </c>
      <c r="F3547" s="2">
        <f>IFERROR(__xludf.DUMMYFUNCTION("""COMPUTED_VALUE"""),6.7497011E7)</f>
        <v>67497011</v>
      </c>
    </row>
    <row r="3548">
      <c r="A3548" s="3">
        <f>IFERROR(__xludf.DUMMYFUNCTION("""COMPUTED_VALUE"""),45505.66666666667)</f>
        <v>45505.66667</v>
      </c>
      <c r="B3548" s="2">
        <f>IFERROR(__xludf.DUMMYFUNCTION("""COMPUTED_VALUE"""),227.69)</f>
        <v>227.69</v>
      </c>
      <c r="C3548" s="2">
        <f>IFERROR(__xludf.DUMMYFUNCTION("""COMPUTED_VALUE"""),231.87)</f>
        <v>231.87</v>
      </c>
      <c r="D3548" s="2">
        <f>IFERROR(__xludf.DUMMYFUNCTION("""COMPUTED_VALUE"""),214.33)</f>
        <v>214.33</v>
      </c>
      <c r="E3548" s="2">
        <f>IFERROR(__xludf.DUMMYFUNCTION("""COMPUTED_VALUE"""),216.86)</f>
        <v>216.86</v>
      </c>
      <c r="F3548" s="2">
        <f>IFERROR(__xludf.DUMMYFUNCTION("""COMPUTED_VALUE"""),8.3861898E7)</f>
        <v>83861898</v>
      </c>
    </row>
    <row r="3549">
      <c r="A3549" s="3">
        <f>IFERROR(__xludf.DUMMYFUNCTION("""COMPUTED_VALUE"""),45506.66666666667)</f>
        <v>45506.66667</v>
      </c>
      <c r="B3549" s="2">
        <f>IFERROR(__xludf.DUMMYFUNCTION("""COMPUTED_VALUE"""),214.88)</f>
        <v>214.88</v>
      </c>
      <c r="C3549" s="2">
        <f>IFERROR(__xludf.DUMMYFUNCTION("""COMPUTED_VALUE"""),216.13)</f>
        <v>216.13</v>
      </c>
      <c r="D3549" s="2">
        <f>IFERROR(__xludf.DUMMYFUNCTION("""COMPUTED_VALUE"""),205.78)</f>
        <v>205.78</v>
      </c>
      <c r="E3549" s="2">
        <f>IFERROR(__xludf.DUMMYFUNCTION("""COMPUTED_VALUE"""),207.67)</f>
        <v>207.67</v>
      </c>
      <c r="F3549" s="2">
        <f>IFERROR(__xludf.DUMMYFUNCTION("""COMPUTED_VALUE"""),8.288012E7)</f>
        <v>82880120</v>
      </c>
    </row>
    <row r="3550">
      <c r="A3550" s="3">
        <f>IFERROR(__xludf.DUMMYFUNCTION("""COMPUTED_VALUE"""),45509.66666666667)</f>
        <v>45509.66667</v>
      </c>
      <c r="B3550" s="2">
        <f>IFERROR(__xludf.DUMMYFUNCTION("""COMPUTED_VALUE"""),185.22)</f>
        <v>185.22</v>
      </c>
      <c r="C3550" s="2">
        <f>IFERROR(__xludf.DUMMYFUNCTION("""COMPUTED_VALUE"""),203.88)</f>
        <v>203.88</v>
      </c>
      <c r="D3550" s="2">
        <f>IFERROR(__xludf.DUMMYFUNCTION("""COMPUTED_VALUE"""),182.0)</f>
        <v>182</v>
      </c>
      <c r="E3550" s="2">
        <f>IFERROR(__xludf.DUMMYFUNCTION("""COMPUTED_VALUE"""),198.88)</f>
        <v>198.88</v>
      </c>
      <c r="F3550" s="2">
        <f>IFERROR(__xludf.DUMMYFUNCTION("""COMPUTED_VALUE"""),1.00308836E8)</f>
        <v>100308836</v>
      </c>
    </row>
    <row r="3551">
      <c r="A3551" s="3">
        <f>IFERROR(__xludf.DUMMYFUNCTION("""COMPUTED_VALUE"""),45510.66666666667)</f>
        <v>45510.66667</v>
      </c>
      <c r="B3551" s="2">
        <f>IFERROR(__xludf.DUMMYFUNCTION("""COMPUTED_VALUE"""),200.75)</f>
        <v>200.75</v>
      </c>
      <c r="C3551" s="2">
        <f>IFERROR(__xludf.DUMMYFUNCTION("""COMPUTED_VALUE"""),202.9)</f>
        <v>202.9</v>
      </c>
      <c r="D3551" s="2">
        <f>IFERROR(__xludf.DUMMYFUNCTION("""COMPUTED_VALUE"""),192.67)</f>
        <v>192.67</v>
      </c>
      <c r="E3551" s="2">
        <f>IFERROR(__xludf.DUMMYFUNCTION("""COMPUTED_VALUE"""),200.64)</f>
        <v>200.64</v>
      </c>
      <c r="F3551" s="2">
        <f>IFERROR(__xludf.DUMMYFUNCTION("""COMPUTED_VALUE"""),7.3783942E7)</f>
        <v>73783942</v>
      </c>
    </row>
    <row r="3552">
      <c r="A3552" s="3">
        <f>IFERROR(__xludf.DUMMYFUNCTION("""COMPUTED_VALUE"""),45511.66666666667)</f>
        <v>45511.66667</v>
      </c>
      <c r="B3552" s="2">
        <f>IFERROR(__xludf.DUMMYFUNCTION("""COMPUTED_VALUE"""),200.77)</f>
        <v>200.77</v>
      </c>
      <c r="C3552" s="2">
        <f>IFERROR(__xludf.DUMMYFUNCTION("""COMPUTED_VALUE"""),203.49)</f>
        <v>203.49</v>
      </c>
      <c r="D3552" s="2">
        <f>IFERROR(__xludf.DUMMYFUNCTION("""COMPUTED_VALUE"""),191.48)</f>
        <v>191.48</v>
      </c>
      <c r="E3552" s="2">
        <f>IFERROR(__xludf.DUMMYFUNCTION("""COMPUTED_VALUE"""),191.76)</f>
        <v>191.76</v>
      </c>
      <c r="F3552" s="2">
        <f>IFERROR(__xludf.DUMMYFUNCTION("""COMPUTED_VALUE"""),7.1159778E7)</f>
        <v>71159778</v>
      </c>
    </row>
    <row r="3553">
      <c r="A3553" s="3">
        <f>IFERROR(__xludf.DUMMYFUNCTION("""COMPUTED_VALUE"""),45512.66666666667)</f>
        <v>45512.66667</v>
      </c>
      <c r="B3553" s="2">
        <f>IFERROR(__xludf.DUMMYFUNCTION("""COMPUTED_VALUE"""),195.7)</f>
        <v>195.7</v>
      </c>
      <c r="C3553" s="2">
        <f>IFERROR(__xludf.DUMMYFUNCTION("""COMPUTED_VALUE"""),200.7)</f>
        <v>200.7</v>
      </c>
      <c r="D3553" s="2">
        <f>IFERROR(__xludf.DUMMYFUNCTION("""COMPUTED_VALUE"""),192.04)</f>
        <v>192.04</v>
      </c>
      <c r="E3553" s="2">
        <f>IFERROR(__xludf.DUMMYFUNCTION("""COMPUTED_VALUE"""),198.84)</f>
        <v>198.84</v>
      </c>
      <c r="F3553" s="2">
        <f>IFERROR(__xludf.DUMMYFUNCTION("""COMPUTED_VALUE"""),6.5033874E7)</f>
        <v>65033874</v>
      </c>
    </row>
    <row r="3554">
      <c r="A3554" s="3">
        <f>IFERROR(__xludf.DUMMYFUNCTION("""COMPUTED_VALUE"""),45513.66666666667)</f>
        <v>45513.66667</v>
      </c>
      <c r="B3554" s="2">
        <f>IFERROR(__xludf.DUMMYFUNCTION("""COMPUTED_VALUE"""),197.05)</f>
        <v>197.05</v>
      </c>
      <c r="C3554" s="2">
        <f>IFERROR(__xludf.DUMMYFUNCTION("""COMPUTED_VALUE"""),200.88)</f>
        <v>200.88</v>
      </c>
      <c r="D3554" s="2">
        <f>IFERROR(__xludf.DUMMYFUNCTION("""COMPUTED_VALUE"""),195.11)</f>
        <v>195.11</v>
      </c>
      <c r="E3554" s="2">
        <f>IFERROR(__xludf.DUMMYFUNCTION("""COMPUTED_VALUE"""),200.0)</f>
        <v>200</v>
      </c>
      <c r="F3554" s="2">
        <f>IFERROR(__xludf.DUMMYFUNCTION("""COMPUTED_VALUE"""),5.8648274E7)</f>
        <v>58648274</v>
      </c>
    </row>
    <row r="3555">
      <c r="A3555" s="3">
        <f>IFERROR(__xludf.DUMMYFUNCTION("""COMPUTED_VALUE"""),45516.66666666667)</f>
        <v>45516.66667</v>
      </c>
      <c r="B3555" s="2">
        <f>IFERROR(__xludf.DUMMYFUNCTION("""COMPUTED_VALUE"""),199.02)</f>
        <v>199.02</v>
      </c>
      <c r="C3555" s="2">
        <f>IFERROR(__xludf.DUMMYFUNCTION("""COMPUTED_VALUE"""),199.26)</f>
        <v>199.26</v>
      </c>
      <c r="D3555" s="2">
        <f>IFERROR(__xludf.DUMMYFUNCTION("""COMPUTED_VALUE"""),194.67)</f>
        <v>194.67</v>
      </c>
      <c r="E3555" s="2">
        <f>IFERROR(__xludf.DUMMYFUNCTION("""COMPUTED_VALUE"""),197.49)</f>
        <v>197.49</v>
      </c>
      <c r="F3555" s="2">
        <f>IFERROR(__xludf.DUMMYFUNCTION("""COMPUTED_VALUE"""),6.4044903E7)</f>
        <v>64044903</v>
      </c>
    </row>
    <row r="3556">
      <c r="A3556" s="3">
        <f>IFERROR(__xludf.DUMMYFUNCTION("""COMPUTED_VALUE"""),45517.66666666667)</f>
        <v>45517.66667</v>
      </c>
      <c r="B3556" s="2">
        <f>IFERROR(__xludf.DUMMYFUNCTION("""COMPUTED_VALUE"""),198.47)</f>
        <v>198.47</v>
      </c>
      <c r="C3556" s="2">
        <f>IFERROR(__xludf.DUMMYFUNCTION("""COMPUTED_VALUE"""),208.49)</f>
        <v>208.49</v>
      </c>
      <c r="D3556" s="2">
        <f>IFERROR(__xludf.DUMMYFUNCTION("""COMPUTED_VALUE"""),197.06)</f>
        <v>197.06</v>
      </c>
      <c r="E3556" s="2">
        <f>IFERROR(__xludf.DUMMYFUNCTION("""COMPUTED_VALUE"""),207.83)</f>
        <v>207.83</v>
      </c>
      <c r="F3556" s="2">
        <f>IFERROR(__xludf.DUMMYFUNCTION("""COMPUTED_VALUE"""),7.6247387E7)</f>
        <v>76247387</v>
      </c>
    </row>
    <row r="3557">
      <c r="A3557" s="3">
        <f>IFERROR(__xludf.DUMMYFUNCTION("""COMPUTED_VALUE"""),45518.66666666667)</f>
        <v>45518.66667</v>
      </c>
      <c r="B3557" s="2">
        <f>IFERROR(__xludf.DUMMYFUNCTION("""COMPUTED_VALUE"""),207.39)</f>
        <v>207.39</v>
      </c>
      <c r="C3557" s="2">
        <f>IFERROR(__xludf.DUMMYFUNCTION("""COMPUTED_VALUE"""),208.44)</f>
        <v>208.44</v>
      </c>
      <c r="D3557" s="2">
        <f>IFERROR(__xludf.DUMMYFUNCTION("""COMPUTED_VALUE"""),198.75)</f>
        <v>198.75</v>
      </c>
      <c r="E3557" s="2">
        <f>IFERROR(__xludf.DUMMYFUNCTION("""COMPUTED_VALUE"""),201.38)</f>
        <v>201.38</v>
      </c>
      <c r="F3557" s="2">
        <f>IFERROR(__xludf.DUMMYFUNCTION("""COMPUTED_VALUE"""),7.0250014E7)</f>
        <v>70250014</v>
      </c>
    </row>
    <row r="3558">
      <c r="A3558" s="3">
        <f>IFERROR(__xludf.DUMMYFUNCTION("""COMPUTED_VALUE"""),45519.66666666667)</f>
        <v>45519.66667</v>
      </c>
      <c r="B3558" s="2">
        <f>IFERROR(__xludf.DUMMYFUNCTION("""COMPUTED_VALUE"""),205.02)</f>
        <v>205.02</v>
      </c>
      <c r="C3558" s="2">
        <f>IFERROR(__xludf.DUMMYFUNCTION("""COMPUTED_VALUE"""),215.88)</f>
        <v>215.88</v>
      </c>
      <c r="D3558" s="2">
        <f>IFERROR(__xludf.DUMMYFUNCTION("""COMPUTED_VALUE"""),204.82)</f>
        <v>204.82</v>
      </c>
      <c r="E3558" s="2">
        <f>IFERROR(__xludf.DUMMYFUNCTION("""COMPUTED_VALUE"""),214.14)</f>
        <v>214.14</v>
      </c>
      <c r="F3558" s="2">
        <f>IFERROR(__xludf.DUMMYFUNCTION("""COMPUTED_VALUE"""),8.984853E7)</f>
        <v>89848530</v>
      </c>
    </row>
    <row r="3559">
      <c r="A3559" s="3">
        <f>IFERROR(__xludf.DUMMYFUNCTION("""COMPUTED_VALUE"""),45520.66666666667)</f>
        <v>45520.66667</v>
      </c>
      <c r="B3559" s="2">
        <f>IFERROR(__xludf.DUMMYFUNCTION("""COMPUTED_VALUE"""),211.15)</f>
        <v>211.15</v>
      </c>
      <c r="C3559" s="2">
        <f>IFERROR(__xludf.DUMMYFUNCTION("""COMPUTED_VALUE"""),219.8)</f>
        <v>219.8</v>
      </c>
      <c r="D3559" s="2">
        <f>IFERROR(__xludf.DUMMYFUNCTION("""COMPUTED_VALUE"""),210.8)</f>
        <v>210.8</v>
      </c>
      <c r="E3559" s="2">
        <f>IFERROR(__xludf.DUMMYFUNCTION("""COMPUTED_VALUE"""),216.12)</f>
        <v>216.12</v>
      </c>
      <c r="F3559" s="2">
        <f>IFERROR(__xludf.DUMMYFUNCTION("""COMPUTED_VALUE"""),8.8765122E7)</f>
        <v>88765122</v>
      </c>
    </row>
    <row r="3560">
      <c r="A3560" s="3">
        <f>IFERROR(__xludf.DUMMYFUNCTION("""COMPUTED_VALUE"""),45523.66666666667)</f>
        <v>45523.66667</v>
      </c>
      <c r="B3560" s="2">
        <f>IFERROR(__xludf.DUMMYFUNCTION("""COMPUTED_VALUE"""),217.07)</f>
        <v>217.07</v>
      </c>
      <c r="C3560" s="2">
        <f>IFERROR(__xludf.DUMMYFUNCTION("""COMPUTED_VALUE"""),222.98)</f>
        <v>222.98</v>
      </c>
      <c r="D3560" s="2">
        <f>IFERROR(__xludf.DUMMYFUNCTION("""COMPUTED_VALUE"""),214.09)</f>
        <v>214.09</v>
      </c>
      <c r="E3560" s="2">
        <f>IFERROR(__xludf.DUMMYFUNCTION("""COMPUTED_VALUE"""),222.72)</f>
        <v>222.72</v>
      </c>
      <c r="F3560" s="2">
        <f>IFERROR(__xludf.DUMMYFUNCTION("""COMPUTED_VALUE"""),7.6435222E7)</f>
        <v>76435222</v>
      </c>
    </row>
    <row r="3561">
      <c r="A3561" s="3">
        <f>IFERROR(__xludf.DUMMYFUNCTION("""COMPUTED_VALUE"""),45524.66666666667)</f>
        <v>45524.66667</v>
      </c>
      <c r="B3561" s="2">
        <f>IFERROR(__xludf.DUMMYFUNCTION("""COMPUTED_VALUE"""),224.88)</f>
        <v>224.88</v>
      </c>
      <c r="C3561" s="2">
        <f>IFERROR(__xludf.DUMMYFUNCTION("""COMPUTED_VALUE"""),228.22)</f>
        <v>228.22</v>
      </c>
      <c r="D3561" s="2">
        <f>IFERROR(__xludf.DUMMYFUNCTION("""COMPUTED_VALUE"""),219.56)</f>
        <v>219.56</v>
      </c>
      <c r="E3561" s="2">
        <f>IFERROR(__xludf.DUMMYFUNCTION("""COMPUTED_VALUE"""),221.1)</f>
        <v>221.1</v>
      </c>
      <c r="F3561" s="2">
        <f>IFERROR(__xludf.DUMMYFUNCTION("""COMPUTED_VALUE"""),7.4001182E7)</f>
        <v>74001182</v>
      </c>
    </row>
    <row r="3562">
      <c r="A3562" s="3">
        <f>IFERROR(__xludf.DUMMYFUNCTION("""COMPUTED_VALUE"""),45525.66666666667)</f>
        <v>45525.66667</v>
      </c>
      <c r="B3562" s="2">
        <f>IFERROR(__xludf.DUMMYFUNCTION("""COMPUTED_VALUE"""),222.67)</f>
        <v>222.67</v>
      </c>
      <c r="C3562" s="2">
        <f>IFERROR(__xludf.DUMMYFUNCTION("""COMPUTED_VALUE"""),224.66)</f>
        <v>224.66</v>
      </c>
      <c r="D3562" s="2">
        <f>IFERROR(__xludf.DUMMYFUNCTION("""COMPUTED_VALUE"""),218.86)</f>
        <v>218.86</v>
      </c>
      <c r="E3562" s="2">
        <f>IFERROR(__xludf.DUMMYFUNCTION("""COMPUTED_VALUE"""),223.27)</f>
        <v>223.27</v>
      </c>
      <c r="F3562" s="2">
        <f>IFERROR(__xludf.DUMMYFUNCTION("""COMPUTED_VALUE"""),7.0145964E7)</f>
        <v>70145964</v>
      </c>
    </row>
    <row r="3563">
      <c r="A3563" s="3">
        <f>IFERROR(__xludf.DUMMYFUNCTION("""COMPUTED_VALUE"""),45526.66666666667)</f>
        <v>45526.66667</v>
      </c>
      <c r="B3563" s="2">
        <f>IFERROR(__xludf.DUMMYFUNCTION("""COMPUTED_VALUE"""),223.82)</f>
        <v>223.82</v>
      </c>
      <c r="C3563" s="2">
        <f>IFERROR(__xludf.DUMMYFUNCTION("""COMPUTED_VALUE"""),224.8)</f>
        <v>224.8</v>
      </c>
      <c r="D3563" s="2">
        <f>IFERROR(__xludf.DUMMYFUNCTION("""COMPUTED_VALUE"""),210.32)</f>
        <v>210.32</v>
      </c>
      <c r="E3563" s="2">
        <f>IFERROR(__xludf.DUMMYFUNCTION("""COMPUTED_VALUE"""),210.66)</f>
        <v>210.66</v>
      </c>
      <c r="F3563" s="2">
        <f>IFERROR(__xludf.DUMMYFUNCTION("""COMPUTED_VALUE"""),7.9514482E7)</f>
        <v>79514482</v>
      </c>
    </row>
    <row r="3564">
      <c r="A3564" s="3">
        <f>IFERROR(__xludf.DUMMYFUNCTION("""COMPUTED_VALUE"""),45527.66666666667)</f>
        <v>45527.66667</v>
      </c>
      <c r="B3564" s="2">
        <f>IFERROR(__xludf.DUMMYFUNCTION("""COMPUTED_VALUE"""),214.46)</f>
        <v>214.46</v>
      </c>
      <c r="C3564" s="2">
        <f>IFERROR(__xludf.DUMMYFUNCTION("""COMPUTED_VALUE"""),221.48)</f>
        <v>221.48</v>
      </c>
      <c r="D3564" s="2">
        <f>IFERROR(__xludf.DUMMYFUNCTION("""COMPUTED_VALUE"""),214.21)</f>
        <v>214.21</v>
      </c>
      <c r="E3564" s="2">
        <f>IFERROR(__xludf.DUMMYFUNCTION("""COMPUTED_VALUE"""),220.32)</f>
        <v>220.32</v>
      </c>
      <c r="F3564" s="2">
        <f>IFERROR(__xludf.DUMMYFUNCTION("""COMPUTED_VALUE"""),8.1525207E7)</f>
        <v>81525207</v>
      </c>
    </row>
    <row r="3565">
      <c r="A3565" s="3">
        <f>IFERROR(__xludf.DUMMYFUNCTION("""COMPUTED_VALUE"""),45530.66666666667)</f>
        <v>45530.66667</v>
      </c>
      <c r="B3565" s="2">
        <f>IFERROR(__xludf.DUMMYFUNCTION("""COMPUTED_VALUE"""),218.75)</f>
        <v>218.75</v>
      </c>
      <c r="C3565" s="2">
        <f>IFERROR(__xludf.DUMMYFUNCTION("""COMPUTED_VALUE"""),219.09)</f>
        <v>219.09</v>
      </c>
      <c r="D3565" s="2">
        <f>IFERROR(__xludf.DUMMYFUNCTION("""COMPUTED_VALUE"""),211.01)</f>
        <v>211.01</v>
      </c>
      <c r="E3565" s="2">
        <f>IFERROR(__xludf.DUMMYFUNCTION("""COMPUTED_VALUE"""),213.21)</f>
        <v>213.21</v>
      </c>
      <c r="F3565" s="2">
        <f>IFERROR(__xludf.DUMMYFUNCTION("""COMPUTED_VALUE"""),5.9301187E7)</f>
        <v>59301187</v>
      </c>
    </row>
    <row r="3566">
      <c r="A3566" s="3">
        <f>IFERROR(__xludf.DUMMYFUNCTION("""COMPUTED_VALUE"""),45531.66666666667)</f>
        <v>45531.66667</v>
      </c>
      <c r="B3566" s="2">
        <f>IFERROR(__xludf.DUMMYFUNCTION("""COMPUTED_VALUE"""),213.25)</f>
        <v>213.25</v>
      </c>
      <c r="C3566" s="2">
        <f>IFERROR(__xludf.DUMMYFUNCTION("""COMPUTED_VALUE"""),215.66)</f>
        <v>215.66</v>
      </c>
      <c r="D3566" s="2">
        <f>IFERROR(__xludf.DUMMYFUNCTION("""COMPUTED_VALUE"""),206.94)</f>
        <v>206.94</v>
      </c>
      <c r="E3566" s="2">
        <f>IFERROR(__xludf.DUMMYFUNCTION("""COMPUTED_VALUE"""),209.21)</f>
        <v>209.21</v>
      </c>
      <c r="F3566" s="2">
        <f>IFERROR(__xludf.DUMMYFUNCTION("""COMPUTED_VALUE"""),6.282139E7)</f>
        <v>62821390</v>
      </c>
    </row>
    <row r="3567">
      <c r="A3567" s="3">
        <f>IFERROR(__xludf.DUMMYFUNCTION("""COMPUTED_VALUE"""),45532.66666666667)</f>
        <v>45532.66667</v>
      </c>
      <c r="B3567" s="2">
        <f>IFERROR(__xludf.DUMMYFUNCTION("""COMPUTED_VALUE"""),209.72)</f>
        <v>209.72</v>
      </c>
      <c r="C3567" s="2">
        <f>IFERROR(__xludf.DUMMYFUNCTION("""COMPUTED_VALUE"""),211.84)</f>
        <v>211.84</v>
      </c>
      <c r="D3567" s="2">
        <f>IFERROR(__xludf.DUMMYFUNCTION("""COMPUTED_VALUE"""),202.59)</f>
        <v>202.59</v>
      </c>
      <c r="E3567" s="2">
        <f>IFERROR(__xludf.DUMMYFUNCTION("""COMPUTED_VALUE"""),205.75)</f>
        <v>205.75</v>
      </c>
      <c r="F3567" s="2">
        <f>IFERROR(__xludf.DUMMYFUNCTION("""COMPUTED_VALUE"""),6.411635E7)</f>
        <v>64116350</v>
      </c>
    </row>
    <row r="3568">
      <c r="A3568" s="3">
        <f>IFERROR(__xludf.DUMMYFUNCTION("""COMPUTED_VALUE"""),45533.66666666667)</f>
        <v>45533.66667</v>
      </c>
      <c r="B3568" s="2">
        <f>IFERROR(__xludf.DUMMYFUNCTION("""COMPUTED_VALUE"""),209.8)</f>
        <v>209.8</v>
      </c>
      <c r="C3568" s="2">
        <f>IFERROR(__xludf.DUMMYFUNCTION("""COMPUTED_VALUE"""),214.89)</f>
        <v>214.89</v>
      </c>
      <c r="D3568" s="2">
        <f>IFERROR(__xludf.DUMMYFUNCTION("""COMPUTED_VALUE"""),205.97)</f>
        <v>205.97</v>
      </c>
      <c r="E3568" s="2">
        <f>IFERROR(__xludf.DUMMYFUNCTION("""COMPUTED_VALUE"""),206.28)</f>
        <v>206.28</v>
      </c>
      <c r="F3568" s="2">
        <f>IFERROR(__xludf.DUMMYFUNCTION("""COMPUTED_VALUE"""),6.2308818E7)</f>
        <v>62308818</v>
      </c>
    </row>
    <row r="3569">
      <c r="A3569" s="3">
        <f>IFERROR(__xludf.DUMMYFUNCTION("""COMPUTED_VALUE"""),45534.66666666667)</f>
        <v>45534.66667</v>
      </c>
      <c r="B3569" s="2">
        <f>IFERROR(__xludf.DUMMYFUNCTION("""COMPUTED_VALUE"""),208.63)</f>
        <v>208.63</v>
      </c>
      <c r="C3569" s="2">
        <f>IFERROR(__xludf.DUMMYFUNCTION("""COMPUTED_VALUE"""),214.57)</f>
        <v>214.57</v>
      </c>
      <c r="D3569" s="2">
        <f>IFERROR(__xludf.DUMMYFUNCTION("""COMPUTED_VALUE"""),207.03)</f>
        <v>207.03</v>
      </c>
      <c r="E3569" s="2">
        <f>IFERROR(__xludf.DUMMYFUNCTION("""COMPUTED_VALUE"""),214.11)</f>
        <v>214.11</v>
      </c>
      <c r="F3569" s="2">
        <f>IFERROR(__xludf.DUMMYFUNCTION("""COMPUTED_VALUE"""),6.3370608E7)</f>
        <v>63370608</v>
      </c>
    </row>
    <row r="3570">
      <c r="A3570" s="3">
        <f>IFERROR(__xludf.DUMMYFUNCTION("""COMPUTED_VALUE"""),45538.66666666667)</f>
        <v>45538.66667</v>
      </c>
      <c r="B3570" s="2">
        <f>IFERROR(__xludf.DUMMYFUNCTION("""COMPUTED_VALUE"""),215.26)</f>
        <v>215.26</v>
      </c>
      <c r="C3570" s="2">
        <f>IFERROR(__xludf.DUMMYFUNCTION("""COMPUTED_VALUE"""),219.9)</f>
        <v>219.9</v>
      </c>
      <c r="D3570" s="2">
        <f>IFERROR(__xludf.DUMMYFUNCTION("""COMPUTED_VALUE"""),209.64)</f>
        <v>209.64</v>
      </c>
      <c r="E3570" s="2">
        <f>IFERROR(__xludf.DUMMYFUNCTION("""COMPUTED_VALUE"""),210.6)</f>
        <v>210.6</v>
      </c>
      <c r="F3570" s="2">
        <f>IFERROR(__xludf.DUMMYFUNCTION("""COMPUTED_VALUE"""),7.6714222E7)</f>
        <v>76714222</v>
      </c>
    </row>
    <row r="3571">
      <c r="A3571" s="3">
        <f>IFERROR(__xludf.DUMMYFUNCTION("""COMPUTED_VALUE"""),45539.66666666667)</f>
        <v>45539.66667</v>
      </c>
      <c r="B3571" s="2">
        <f>IFERROR(__xludf.DUMMYFUNCTION("""COMPUTED_VALUE"""),210.59)</f>
        <v>210.59</v>
      </c>
      <c r="C3571" s="2">
        <f>IFERROR(__xludf.DUMMYFUNCTION("""COMPUTED_VALUE"""),222.22)</f>
        <v>222.22</v>
      </c>
      <c r="D3571" s="2">
        <f>IFERROR(__xludf.DUMMYFUNCTION("""COMPUTED_VALUE"""),210.57)</f>
        <v>210.57</v>
      </c>
      <c r="E3571" s="2">
        <f>IFERROR(__xludf.DUMMYFUNCTION("""COMPUTED_VALUE"""),219.41)</f>
        <v>219.41</v>
      </c>
      <c r="F3571" s="2">
        <f>IFERROR(__xludf.DUMMYFUNCTION("""COMPUTED_VALUE"""),8.0651767E7)</f>
        <v>80651767</v>
      </c>
    </row>
    <row r="3572">
      <c r="A3572" s="3">
        <f>IFERROR(__xludf.DUMMYFUNCTION("""COMPUTED_VALUE"""),45540.66666666667)</f>
        <v>45540.66667</v>
      </c>
      <c r="B3572" s="2">
        <f>IFERROR(__xludf.DUMMYFUNCTION("""COMPUTED_VALUE"""),223.49)</f>
        <v>223.49</v>
      </c>
      <c r="C3572" s="2">
        <f>IFERROR(__xludf.DUMMYFUNCTION("""COMPUTED_VALUE"""),235.0)</f>
        <v>235</v>
      </c>
      <c r="D3572" s="2">
        <f>IFERROR(__xludf.DUMMYFUNCTION("""COMPUTED_VALUE"""),222.25)</f>
        <v>222.25</v>
      </c>
      <c r="E3572" s="2">
        <f>IFERROR(__xludf.DUMMYFUNCTION("""COMPUTED_VALUE"""),230.17)</f>
        <v>230.17</v>
      </c>
      <c r="F3572" s="2">
        <f>IFERROR(__xludf.DUMMYFUNCTION("""COMPUTED_VALUE"""),1.19355013E8)</f>
        <v>119355013</v>
      </c>
    </row>
    <row r="3573">
      <c r="A3573" s="3">
        <f>IFERROR(__xludf.DUMMYFUNCTION("""COMPUTED_VALUE"""),45541.66666666667)</f>
        <v>45541.66667</v>
      </c>
      <c r="B3573" s="2">
        <f>IFERROR(__xludf.DUMMYFUNCTION("""COMPUTED_VALUE"""),232.6)</f>
        <v>232.6</v>
      </c>
      <c r="C3573" s="2">
        <f>IFERROR(__xludf.DUMMYFUNCTION("""COMPUTED_VALUE"""),233.6)</f>
        <v>233.6</v>
      </c>
      <c r="D3573" s="2">
        <f>IFERROR(__xludf.DUMMYFUNCTION("""COMPUTED_VALUE"""),210.51)</f>
        <v>210.51</v>
      </c>
      <c r="E3573" s="2">
        <f>IFERROR(__xludf.DUMMYFUNCTION("""COMPUTED_VALUE"""),210.73)</f>
        <v>210.73</v>
      </c>
      <c r="F3573" s="2">
        <f>IFERROR(__xludf.DUMMYFUNCTION("""COMPUTED_VALUE"""),1.12177004E8)</f>
        <v>112177004</v>
      </c>
    </row>
    <row r="3574">
      <c r="A3574" s="3">
        <f>IFERROR(__xludf.DUMMYFUNCTION("""COMPUTED_VALUE"""),45544.66666666667)</f>
        <v>45544.66667</v>
      </c>
      <c r="B3574" s="2">
        <f>IFERROR(__xludf.DUMMYFUNCTION("""COMPUTED_VALUE"""),216.2)</f>
        <v>216.2</v>
      </c>
      <c r="C3574" s="2">
        <f>IFERROR(__xludf.DUMMYFUNCTION("""COMPUTED_VALUE"""),219.87)</f>
        <v>219.87</v>
      </c>
      <c r="D3574" s="2">
        <f>IFERROR(__xludf.DUMMYFUNCTION("""COMPUTED_VALUE"""),213.67)</f>
        <v>213.67</v>
      </c>
      <c r="E3574" s="2">
        <f>IFERROR(__xludf.DUMMYFUNCTION("""COMPUTED_VALUE"""),216.27)</f>
        <v>216.27</v>
      </c>
      <c r="F3574" s="2">
        <f>IFERROR(__xludf.DUMMYFUNCTION("""COMPUTED_VALUE"""),6.7443518E7)</f>
        <v>67443518</v>
      </c>
    </row>
    <row r="3575">
      <c r="A3575" s="3">
        <f>IFERROR(__xludf.DUMMYFUNCTION("""COMPUTED_VALUE"""),45545.66666666667)</f>
        <v>45545.66667</v>
      </c>
      <c r="B3575" s="2">
        <f>IFERROR(__xludf.DUMMYFUNCTION("""COMPUTED_VALUE"""),220.07)</f>
        <v>220.07</v>
      </c>
      <c r="C3575" s="2">
        <f>IFERROR(__xludf.DUMMYFUNCTION("""COMPUTED_VALUE"""),226.4)</f>
        <v>226.4</v>
      </c>
      <c r="D3575" s="2">
        <f>IFERROR(__xludf.DUMMYFUNCTION("""COMPUTED_VALUE"""),218.64)</f>
        <v>218.64</v>
      </c>
      <c r="E3575" s="2">
        <f>IFERROR(__xludf.DUMMYFUNCTION("""COMPUTED_VALUE"""),226.17)</f>
        <v>226.17</v>
      </c>
      <c r="F3575" s="2">
        <f>IFERROR(__xludf.DUMMYFUNCTION("""COMPUTED_VALUE"""),7.8891136E7)</f>
        <v>78891136</v>
      </c>
    </row>
    <row r="3576">
      <c r="A3576" s="3">
        <f>IFERROR(__xludf.DUMMYFUNCTION("""COMPUTED_VALUE"""),45546.66666666667)</f>
        <v>45546.66667</v>
      </c>
      <c r="B3576" s="2">
        <f>IFERROR(__xludf.DUMMYFUNCTION("""COMPUTED_VALUE"""),224.55)</f>
        <v>224.55</v>
      </c>
      <c r="C3576" s="2">
        <f>IFERROR(__xludf.DUMMYFUNCTION("""COMPUTED_VALUE"""),228.47)</f>
        <v>228.47</v>
      </c>
      <c r="D3576" s="2">
        <f>IFERROR(__xludf.DUMMYFUNCTION("""COMPUTED_VALUE"""),216.8)</f>
        <v>216.8</v>
      </c>
      <c r="E3576" s="2">
        <f>IFERROR(__xludf.DUMMYFUNCTION("""COMPUTED_VALUE"""),228.13)</f>
        <v>228.13</v>
      </c>
      <c r="F3576" s="2">
        <f>IFERROR(__xludf.DUMMYFUNCTION("""COMPUTED_VALUE"""),8.3548633E7)</f>
        <v>83548633</v>
      </c>
    </row>
    <row r="3577">
      <c r="A3577" s="3">
        <f>IFERROR(__xludf.DUMMYFUNCTION("""COMPUTED_VALUE"""),45547.66666666667)</f>
        <v>45547.66667</v>
      </c>
      <c r="B3577" s="2">
        <f>IFERROR(__xludf.DUMMYFUNCTION("""COMPUTED_VALUE"""),224.66)</f>
        <v>224.66</v>
      </c>
      <c r="C3577" s="2">
        <f>IFERROR(__xludf.DUMMYFUNCTION("""COMPUTED_VALUE"""),231.45)</f>
        <v>231.45</v>
      </c>
      <c r="D3577" s="2">
        <f>IFERROR(__xludf.DUMMYFUNCTION("""COMPUTED_VALUE"""),223.83)</f>
        <v>223.83</v>
      </c>
      <c r="E3577" s="2">
        <f>IFERROR(__xludf.DUMMYFUNCTION("""COMPUTED_VALUE"""),229.81)</f>
        <v>229.81</v>
      </c>
      <c r="F3577" s="2">
        <f>IFERROR(__xludf.DUMMYFUNCTION("""COMPUTED_VALUE"""),7.2020042E7)</f>
        <v>72020042</v>
      </c>
    </row>
    <row r="3578">
      <c r="A3578" s="3">
        <f>IFERROR(__xludf.DUMMYFUNCTION("""COMPUTED_VALUE"""),45548.66666666667)</f>
        <v>45548.66667</v>
      </c>
      <c r="B3578" s="2">
        <f>IFERROR(__xludf.DUMMYFUNCTION("""COMPUTED_VALUE"""),228.0)</f>
        <v>228</v>
      </c>
      <c r="C3578" s="2">
        <f>IFERROR(__xludf.DUMMYFUNCTION("""COMPUTED_VALUE"""),232.67)</f>
        <v>232.67</v>
      </c>
      <c r="D3578" s="2">
        <f>IFERROR(__xludf.DUMMYFUNCTION("""COMPUTED_VALUE"""),226.32)</f>
        <v>226.32</v>
      </c>
      <c r="E3578" s="2">
        <f>IFERROR(__xludf.DUMMYFUNCTION("""COMPUTED_VALUE"""),230.29)</f>
        <v>230.29</v>
      </c>
      <c r="F3578" s="2">
        <f>IFERROR(__xludf.DUMMYFUNCTION("""COMPUTED_VALUE"""),5.9515114E7)</f>
        <v>59515114</v>
      </c>
    </row>
    <row r="3579">
      <c r="A3579" s="3">
        <f>IFERROR(__xludf.DUMMYFUNCTION("""COMPUTED_VALUE"""),45551.66666666667)</f>
        <v>45551.66667</v>
      </c>
      <c r="B3579" s="2">
        <f>IFERROR(__xludf.DUMMYFUNCTION("""COMPUTED_VALUE"""),229.3)</f>
        <v>229.3</v>
      </c>
      <c r="C3579" s="2">
        <f>IFERROR(__xludf.DUMMYFUNCTION("""COMPUTED_VALUE"""),229.96)</f>
        <v>229.96</v>
      </c>
      <c r="D3579" s="2">
        <f>IFERROR(__xludf.DUMMYFUNCTION("""COMPUTED_VALUE"""),223.53)</f>
        <v>223.53</v>
      </c>
      <c r="E3579" s="2">
        <f>IFERROR(__xludf.DUMMYFUNCTION("""COMPUTED_VALUE"""),226.78)</f>
        <v>226.78</v>
      </c>
      <c r="F3579" s="2">
        <f>IFERROR(__xludf.DUMMYFUNCTION("""COMPUTED_VALUE"""),5.4322995E7)</f>
        <v>54322995</v>
      </c>
    </row>
    <row r="3580">
      <c r="A3580" s="3">
        <f>IFERROR(__xludf.DUMMYFUNCTION("""COMPUTED_VALUE"""),45552.66666666667)</f>
        <v>45552.66667</v>
      </c>
      <c r="B3580" s="2">
        <f>IFERROR(__xludf.DUMMYFUNCTION("""COMPUTED_VALUE"""),229.45)</f>
        <v>229.45</v>
      </c>
      <c r="C3580" s="2">
        <f>IFERROR(__xludf.DUMMYFUNCTION("""COMPUTED_VALUE"""),234.57)</f>
        <v>234.57</v>
      </c>
      <c r="D3580" s="2">
        <f>IFERROR(__xludf.DUMMYFUNCTION("""COMPUTED_VALUE"""),226.55)</f>
        <v>226.55</v>
      </c>
      <c r="E3580" s="2">
        <f>IFERROR(__xludf.DUMMYFUNCTION("""COMPUTED_VALUE"""),227.87)</f>
        <v>227.87</v>
      </c>
      <c r="F3580" s="2">
        <f>IFERROR(__xludf.DUMMYFUNCTION("""COMPUTED_VALUE"""),6.6761636E7)</f>
        <v>66761636</v>
      </c>
    </row>
    <row r="3581">
      <c r="A3581" s="3">
        <f>IFERROR(__xludf.DUMMYFUNCTION("""COMPUTED_VALUE"""),45553.66666666667)</f>
        <v>45553.66667</v>
      </c>
      <c r="B3581" s="2">
        <f>IFERROR(__xludf.DUMMYFUNCTION("""COMPUTED_VALUE"""),230.09)</f>
        <v>230.09</v>
      </c>
      <c r="C3581" s="2">
        <f>IFERROR(__xludf.DUMMYFUNCTION("""COMPUTED_VALUE"""),235.68)</f>
        <v>235.68</v>
      </c>
      <c r="D3581" s="2">
        <f>IFERROR(__xludf.DUMMYFUNCTION("""COMPUTED_VALUE"""),226.88)</f>
        <v>226.88</v>
      </c>
      <c r="E3581" s="2">
        <f>IFERROR(__xludf.DUMMYFUNCTION("""COMPUTED_VALUE"""),227.2)</f>
        <v>227.2</v>
      </c>
      <c r="F3581" s="2">
        <f>IFERROR(__xludf.DUMMYFUNCTION("""COMPUTED_VALUE"""),7.8010204E7)</f>
        <v>78010204</v>
      </c>
    </row>
    <row r="3582">
      <c r="A3582" s="3">
        <f>IFERROR(__xludf.DUMMYFUNCTION("""COMPUTED_VALUE"""),45554.66666666667)</f>
        <v>45554.66667</v>
      </c>
      <c r="B3582" s="2">
        <f>IFERROR(__xludf.DUMMYFUNCTION("""COMPUTED_VALUE"""),234.0)</f>
        <v>234</v>
      </c>
      <c r="C3582" s="2">
        <f>IFERROR(__xludf.DUMMYFUNCTION("""COMPUTED_VALUE"""),244.24)</f>
        <v>244.24</v>
      </c>
      <c r="D3582" s="2">
        <f>IFERROR(__xludf.DUMMYFUNCTION("""COMPUTED_VALUE"""),232.13)</f>
        <v>232.13</v>
      </c>
      <c r="E3582" s="2">
        <f>IFERROR(__xludf.DUMMYFUNCTION("""COMPUTED_VALUE"""),243.92)</f>
        <v>243.92</v>
      </c>
      <c r="F3582" s="2">
        <f>IFERROR(__xludf.DUMMYFUNCTION("""COMPUTED_VALUE"""),1.02694576E8)</f>
        <v>102694576</v>
      </c>
    </row>
    <row r="3583">
      <c r="A3583" s="3">
        <f>IFERROR(__xludf.DUMMYFUNCTION("""COMPUTED_VALUE"""),45555.66666666667)</f>
        <v>45555.66667</v>
      </c>
      <c r="B3583" s="2">
        <f>IFERROR(__xludf.DUMMYFUNCTION("""COMPUTED_VALUE"""),241.52)</f>
        <v>241.52</v>
      </c>
      <c r="C3583" s="2">
        <f>IFERROR(__xludf.DUMMYFUNCTION("""COMPUTED_VALUE"""),243.99)</f>
        <v>243.99</v>
      </c>
      <c r="D3583" s="2">
        <f>IFERROR(__xludf.DUMMYFUNCTION("""COMPUTED_VALUE"""),235.92)</f>
        <v>235.92</v>
      </c>
      <c r="E3583" s="2">
        <f>IFERROR(__xludf.DUMMYFUNCTION("""COMPUTED_VALUE"""),238.25)</f>
        <v>238.25</v>
      </c>
      <c r="F3583" s="2">
        <f>IFERROR(__xludf.DUMMYFUNCTION("""COMPUTED_VALUE"""),9.987907E7)</f>
        <v>99879070</v>
      </c>
    </row>
    <row r="3584">
      <c r="A3584" s="3">
        <f>IFERROR(__xludf.DUMMYFUNCTION("""COMPUTED_VALUE"""),45558.66666666667)</f>
        <v>45558.66667</v>
      </c>
      <c r="B3584" s="2">
        <f>IFERROR(__xludf.DUMMYFUNCTION("""COMPUTED_VALUE"""),242.61)</f>
        <v>242.61</v>
      </c>
      <c r="C3584" s="2">
        <f>IFERROR(__xludf.DUMMYFUNCTION("""COMPUTED_VALUE"""),250.0)</f>
        <v>250</v>
      </c>
      <c r="D3584" s="2">
        <f>IFERROR(__xludf.DUMMYFUNCTION("""COMPUTED_VALUE"""),241.92)</f>
        <v>241.92</v>
      </c>
      <c r="E3584" s="2">
        <f>IFERROR(__xludf.DUMMYFUNCTION("""COMPUTED_VALUE"""),250.0)</f>
        <v>250</v>
      </c>
      <c r="F3584" s="2">
        <f>IFERROR(__xludf.DUMMYFUNCTION("""COMPUTED_VALUE"""),8.6927194E7)</f>
        <v>86927194</v>
      </c>
    </row>
    <row r="3585">
      <c r="A3585" s="3">
        <f>IFERROR(__xludf.DUMMYFUNCTION("""COMPUTED_VALUE"""),45559.66666666667)</f>
        <v>45559.66667</v>
      </c>
      <c r="B3585" s="2">
        <f>IFERROR(__xludf.DUMMYFUNCTION("""COMPUTED_VALUE"""),254.08)</f>
        <v>254.08</v>
      </c>
      <c r="C3585" s="2">
        <f>IFERROR(__xludf.DUMMYFUNCTION("""COMPUTED_VALUE"""),257.19)</f>
        <v>257.19</v>
      </c>
      <c r="D3585" s="2">
        <f>IFERROR(__xludf.DUMMYFUNCTION("""COMPUTED_VALUE"""),249.05)</f>
        <v>249.05</v>
      </c>
      <c r="E3585" s="2">
        <f>IFERROR(__xludf.DUMMYFUNCTION("""COMPUTED_VALUE"""),254.27)</f>
        <v>254.27</v>
      </c>
      <c r="F3585" s="2">
        <f>IFERROR(__xludf.DUMMYFUNCTION("""COMPUTED_VALUE"""),8.8490999E7)</f>
        <v>88490999</v>
      </c>
    </row>
    <row r="3586">
      <c r="A3586" s="3">
        <f>IFERROR(__xludf.DUMMYFUNCTION("""COMPUTED_VALUE"""),45560.66666666667)</f>
        <v>45560.66667</v>
      </c>
      <c r="B3586" s="2">
        <f>IFERROR(__xludf.DUMMYFUNCTION("""COMPUTED_VALUE"""),252.54)</f>
        <v>252.54</v>
      </c>
      <c r="C3586" s="2">
        <f>IFERROR(__xludf.DUMMYFUNCTION("""COMPUTED_VALUE"""),257.05)</f>
        <v>257.05</v>
      </c>
      <c r="D3586" s="2">
        <f>IFERROR(__xludf.DUMMYFUNCTION("""COMPUTED_VALUE"""),252.28)</f>
        <v>252.28</v>
      </c>
      <c r="E3586" s="2">
        <f>IFERROR(__xludf.DUMMYFUNCTION("""COMPUTED_VALUE"""),257.02)</f>
        <v>257.02</v>
      </c>
      <c r="F3586" s="2">
        <f>IFERROR(__xludf.DUMMYFUNCTION("""COMPUTED_VALUE"""),6.5034318E7)</f>
        <v>65034318</v>
      </c>
    </row>
    <row r="3587">
      <c r="A3587" s="3">
        <f>IFERROR(__xludf.DUMMYFUNCTION("""COMPUTED_VALUE"""),45561.66666666667)</f>
        <v>45561.66667</v>
      </c>
      <c r="B3587" s="2">
        <f>IFERROR(__xludf.DUMMYFUNCTION("""COMPUTED_VALUE"""),260.6)</f>
        <v>260.6</v>
      </c>
      <c r="C3587" s="2">
        <f>IFERROR(__xludf.DUMMYFUNCTION("""COMPUTED_VALUE"""),261.75)</f>
        <v>261.75</v>
      </c>
      <c r="D3587" s="2">
        <f>IFERROR(__xludf.DUMMYFUNCTION("""COMPUTED_VALUE"""),251.53)</f>
        <v>251.53</v>
      </c>
      <c r="E3587" s="2">
        <f>IFERROR(__xludf.DUMMYFUNCTION("""COMPUTED_VALUE"""),254.22)</f>
        <v>254.22</v>
      </c>
      <c r="F3587" s="2">
        <f>IFERROR(__xludf.DUMMYFUNCTION("""COMPUTED_VALUE"""),6.7142193E7)</f>
        <v>67142193</v>
      </c>
    </row>
    <row r="3588">
      <c r="A3588" s="3">
        <f>IFERROR(__xludf.DUMMYFUNCTION("""COMPUTED_VALUE"""),45562.66666666667)</f>
        <v>45562.66667</v>
      </c>
      <c r="B3588" s="2">
        <f>IFERROR(__xludf.DUMMYFUNCTION("""COMPUTED_VALUE"""),257.38)</f>
        <v>257.38</v>
      </c>
      <c r="C3588" s="2">
        <f>IFERROR(__xludf.DUMMYFUNCTION("""COMPUTED_VALUE"""),260.7)</f>
        <v>260.7</v>
      </c>
      <c r="D3588" s="2">
        <f>IFERROR(__xludf.DUMMYFUNCTION("""COMPUTED_VALUE"""),254.12)</f>
        <v>254.12</v>
      </c>
      <c r="E3588" s="2">
        <f>IFERROR(__xludf.DUMMYFUNCTION("""COMPUTED_VALUE"""),260.46)</f>
        <v>260.46</v>
      </c>
      <c r="F3588" s="2">
        <f>IFERROR(__xludf.DUMMYFUNCTION("""COMPUTED_VALUE"""),7.0988067E7)</f>
        <v>70988067</v>
      </c>
    </row>
    <row r="3589">
      <c r="A3589" s="3">
        <f>IFERROR(__xludf.DUMMYFUNCTION("""COMPUTED_VALUE"""),45565.66666666667)</f>
        <v>45565.66667</v>
      </c>
      <c r="B3589" s="2">
        <f>IFERROR(__xludf.DUMMYFUNCTION("""COMPUTED_VALUE"""),259.04)</f>
        <v>259.04</v>
      </c>
      <c r="C3589" s="2">
        <f>IFERROR(__xludf.DUMMYFUNCTION("""COMPUTED_VALUE"""),264.86)</f>
        <v>264.86</v>
      </c>
      <c r="D3589" s="2">
        <f>IFERROR(__xludf.DUMMYFUNCTION("""COMPUTED_VALUE"""),255.77)</f>
        <v>255.77</v>
      </c>
      <c r="E3589" s="2">
        <f>IFERROR(__xludf.DUMMYFUNCTION("""COMPUTED_VALUE"""),261.63)</f>
        <v>261.63</v>
      </c>
      <c r="F3589" s="2">
        <f>IFERROR(__xludf.DUMMYFUNCTION("""COMPUTED_VALUE"""),8.0873381E7)</f>
        <v>80873381</v>
      </c>
    </row>
    <row r="3590">
      <c r="A3590" s="3">
        <f>IFERROR(__xludf.DUMMYFUNCTION("""COMPUTED_VALUE"""),45566.66666666667)</f>
        <v>45566.66667</v>
      </c>
      <c r="B3590" s="2">
        <f>IFERROR(__xludf.DUMMYFUNCTION("""COMPUTED_VALUE"""),262.67)</f>
        <v>262.67</v>
      </c>
      <c r="C3590" s="2">
        <f>IFERROR(__xludf.DUMMYFUNCTION("""COMPUTED_VALUE"""),263.98)</f>
        <v>263.98</v>
      </c>
      <c r="D3590" s="2">
        <f>IFERROR(__xludf.DUMMYFUNCTION("""COMPUTED_VALUE"""),248.53)</f>
        <v>248.53</v>
      </c>
      <c r="E3590" s="2">
        <f>IFERROR(__xludf.DUMMYFUNCTION("""COMPUTED_VALUE"""),258.02)</f>
        <v>258.02</v>
      </c>
      <c r="F3590" s="2">
        <f>IFERROR(__xludf.DUMMYFUNCTION("""COMPUTED_VALUE"""),8.7397613E7)</f>
        <v>87397613</v>
      </c>
    </row>
    <row r="3591">
      <c r="A3591" s="3">
        <f>IFERROR(__xludf.DUMMYFUNCTION("""COMPUTED_VALUE"""),45567.66666666667)</f>
        <v>45567.66667</v>
      </c>
      <c r="B3591" s="2">
        <f>IFERROR(__xludf.DUMMYFUNCTION("""COMPUTED_VALUE"""),247.55)</f>
        <v>247.55</v>
      </c>
      <c r="C3591" s="2">
        <f>IFERROR(__xludf.DUMMYFUNCTION("""COMPUTED_VALUE"""),251.16)</f>
        <v>251.16</v>
      </c>
      <c r="D3591" s="2">
        <f>IFERROR(__xludf.DUMMYFUNCTION("""COMPUTED_VALUE"""),241.5)</f>
        <v>241.5</v>
      </c>
      <c r="E3591" s="2">
        <f>IFERROR(__xludf.DUMMYFUNCTION("""COMPUTED_VALUE"""),249.02)</f>
        <v>249.02</v>
      </c>
      <c r="F3591" s="2">
        <f>IFERROR(__xludf.DUMMYFUNCTION("""COMPUTED_VALUE"""),9.398393E7)</f>
        <v>93983930</v>
      </c>
    </row>
    <row r="3592">
      <c r="A3592" s="3">
        <f>IFERROR(__xludf.DUMMYFUNCTION("""COMPUTED_VALUE"""),45568.66666666667)</f>
        <v>45568.66667</v>
      </c>
      <c r="B3592" s="2">
        <f>IFERROR(__xludf.DUMMYFUNCTION("""COMPUTED_VALUE"""),244.48)</f>
        <v>244.48</v>
      </c>
      <c r="C3592" s="2">
        <f>IFERROR(__xludf.DUMMYFUNCTION("""COMPUTED_VALUE"""),249.79)</f>
        <v>249.79</v>
      </c>
      <c r="D3592" s="2">
        <f>IFERROR(__xludf.DUMMYFUNCTION("""COMPUTED_VALUE"""),237.81)</f>
        <v>237.81</v>
      </c>
      <c r="E3592" s="2">
        <f>IFERROR(__xludf.DUMMYFUNCTION("""COMPUTED_VALUE"""),240.66)</f>
        <v>240.66</v>
      </c>
      <c r="F3592" s="2">
        <f>IFERROR(__xludf.DUMMYFUNCTION("""COMPUTED_VALUE"""),8.072924E7)</f>
        <v>80729240</v>
      </c>
    </row>
    <row r="3593">
      <c r="A3593" s="3">
        <f>IFERROR(__xludf.DUMMYFUNCTION("""COMPUTED_VALUE"""),45569.66666666667)</f>
        <v>45569.66667</v>
      </c>
      <c r="B3593" s="2">
        <f>IFERROR(__xludf.DUMMYFUNCTION("""COMPUTED_VALUE"""),246.69)</f>
        <v>246.69</v>
      </c>
      <c r="C3593" s="2">
        <f>IFERROR(__xludf.DUMMYFUNCTION("""COMPUTED_VALUE"""),250.96)</f>
        <v>250.96</v>
      </c>
      <c r="D3593" s="2">
        <f>IFERROR(__xludf.DUMMYFUNCTION("""COMPUTED_VALUE"""),244.58)</f>
        <v>244.58</v>
      </c>
      <c r="E3593" s="2">
        <f>IFERROR(__xludf.DUMMYFUNCTION("""COMPUTED_VALUE"""),250.08)</f>
        <v>250.08</v>
      </c>
      <c r="F3593" s="2">
        <f>IFERROR(__xludf.DUMMYFUNCTION("""COMPUTED_VALUE"""),8.6726285E7)</f>
        <v>86726285</v>
      </c>
    </row>
    <row r="3594">
      <c r="A3594" s="3">
        <f>IFERROR(__xludf.DUMMYFUNCTION("""COMPUTED_VALUE"""),45572.66666666667)</f>
        <v>45572.66667</v>
      </c>
      <c r="B3594" s="2">
        <f>IFERROR(__xludf.DUMMYFUNCTION("""COMPUTED_VALUE"""),249.0)</f>
        <v>249</v>
      </c>
      <c r="C3594" s="2">
        <f>IFERROR(__xludf.DUMMYFUNCTION("""COMPUTED_VALUE"""),249.83)</f>
        <v>249.83</v>
      </c>
      <c r="D3594" s="2">
        <f>IFERROR(__xludf.DUMMYFUNCTION("""COMPUTED_VALUE"""),240.7)</f>
        <v>240.7</v>
      </c>
      <c r="E3594" s="2">
        <f>IFERROR(__xludf.DUMMYFUNCTION("""COMPUTED_VALUE"""),240.83)</f>
        <v>240.83</v>
      </c>
      <c r="F3594" s="2">
        <f>IFERROR(__xludf.DUMMYFUNCTION("""COMPUTED_VALUE"""),6.811327E7)</f>
        <v>68113270</v>
      </c>
    </row>
    <row r="3595">
      <c r="A3595" s="3">
        <f>IFERROR(__xludf.DUMMYFUNCTION("""COMPUTED_VALUE"""),45573.66666666667)</f>
        <v>45573.66667</v>
      </c>
      <c r="B3595" s="2">
        <f>IFERROR(__xludf.DUMMYFUNCTION("""COMPUTED_VALUE"""),243.56)</f>
        <v>243.56</v>
      </c>
      <c r="C3595" s="2">
        <f>IFERROR(__xludf.DUMMYFUNCTION("""COMPUTED_VALUE"""),246.21)</f>
        <v>246.21</v>
      </c>
      <c r="D3595" s="2">
        <f>IFERROR(__xludf.DUMMYFUNCTION("""COMPUTED_VALUE"""),240.56)</f>
        <v>240.56</v>
      </c>
      <c r="E3595" s="2">
        <f>IFERROR(__xludf.DUMMYFUNCTION("""COMPUTED_VALUE"""),244.5)</f>
        <v>244.5</v>
      </c>
      <c r="F3595" s="2">
        <f>IFERROR(__xludf.DUMMYFUNCTION("""COMPUTED_VALUE"""),5.630316E7)</f>
        <v>56303160</v>
      </c>
    </row>
    <row r="3596">
      <c r="A3596" s="3">
        <f>IFERROR(__xludf.DUMMYFUNCTION("""COMPUTED_VALUE"""),45574.66666666667)</f>
        <v>45574.66667</v>
      </c>
      <c r="B3596" s="2">
        <f>IFERROR(__xludf.DUMMYFUNCTION("""COMPUTED_VALUE"""),243.82)</f>
        <v>243.82</v>
      </c>
      <c r="C3596" s="2">
        <f>IFERROR(__xludf.DUMMYFUNCTION("""COMPUTED_VALUE"""),247.43)</f>
        <v>247.43</v>
      </c>
      <c r="D3596" s="2">
        <f>IFERROR(__xludf.DUMMYFUNCTION("""COMPUTED_VALUE"""),239.51)</f>
        <v>239.51</v>
      </c>
      <c r="E3596" s="2">
        <f>IFERROR(__xludf.DUMMYFUNCTION("""COMPUTED_VALUE"""),241.05)</f>
        <v>241.05</v>
      </c>
      <c r="F3596" s="2">
        <f>IFERROR(__xludf.DUMMYFUNCTION("""COMPUTED_VALUE"""),6.6289529E7)</f>
        <v>66289529</v>
      </c>
    </row>
    <row r="3597">
      <c r="A3597" s="3">
        <f>IFERROR(__xludf.DUMMYFUNCTION("""COMPUTED_VALUE"""),45575.66666666667)</f>
        <v>45575.66667</v>
      </c>
      <c r="B3597" s="2">
        <f>IFERROR(__xludf.DUMMYFUNCTION("""COMPUTED_VALUE"""),241.81)</f>
        <v>241.81</v>
      </c>
      <c r="C3597" s="2">
        <f>IFERROR(__xludf.DUMMYFUNCTION("""COMPUTED_VALUE"""),242.79)</f>
        <v>242.79</v>
      </c>
      <c r="D3597" s="2">
        <f>IFERROR(__xludf.DUMMYFUNCTION("""COMPUTED_VALUE"""),232.34)</f>
        <v>232.34</v>
      </c>
      <c r="E3597" s="2">
        <f>IFERROR(__xludf.DUMMYFUNCTION("""COMPUTED_VALUE"""),238.77)</f>
        <v>238.77</v>
      </c>
      <c r="F3597" s="2">
        <f>IFERROR(__xludf.DUMMYFUNCTION("""COMPUTED_VALUE"""),8.3087063E7)</f>
        <v>83087063</v>
      </c>
    </row>
    <row r="3598">
      <c r="A3598" s="3">
        <f>IFERROR(__xludf.DUMMYFUNCTION("""COMPUTED_VALUE"""),45576.66666666667)</f>
        <v>45576.66667</v>
      </c>
      <c r="B3598" s="2">
        <f>IFERROR(__xludf.DUMMYFUNCTION("""COMPUTED_VALUE"""),220.13)</f>
        <v>220.13</v>
      </c>
      <c r="C3598" s="2">
        <f>IFERROR(__xludf.DUMMYFUNCTION("""COMPUTED_VALUE"""),223.34)</f>
        <v>223.34</v>
      </c>
      <c r="D3598" s="2">
        <f>IFERROR(__xludf.DUMMYFUNCTION("""COMPUTED_VALUE"""),214.38)</f>
        <v>214.38</v>
      </c>
      <c r="E3598" s="2">
        <f>IFERROR(__xludf.DUMMYFUNCTION("""COMPUTED_VALUE"""),217.8)</f>
        <v>217.8</v>
      </c>
      <c r="F3598" s="2">
        <f>IFERROR(__xludf.DUMMYFUNCTION("""COMPUTED_VALUE"""),1.42628874E8)</f>
        <v>142628874</v>
      </c>
    </row>
    <row r="3599">
      <c r="A3599" s="3">
        <f>IFERROR(__xludf.DUMMYFUNCTION("""COMPUTED_VALUE"""),45579.66666666667)</f>
        <v>45579.66667</v>
      </c>
      <c r="B3599" s="2">
        <f>IFERROR(__xludf.DUMMYFUNCTION("""COMPUTED_VALUE"""),220.13)</f>
        <v>220.13</v>
      </c>
      <c r="C3599" s="2">
        <f>IFERROR(__xludf.DUMMYFUNCTION("""COMPUTED_VALUE"""),221.91)</f>
        <v>221.91</v>
      </c>
      <c r="D3599" s="2">
        <f>IFERROR(__xludf.DUMMYFUNCTION("""COMPUTED_VALUE"""),213.74)</f>
        <v>213.74</v>
      </c>
      <c r="E3599" s="2">
        <f>IFERROR(__xludf.DUMMYFUNCTION("""COMPUTED_VALUE"""),219.16)</f>
        <v>219.16</v>
      </c>
      <c r="F3599" s="2">
        <f>IFERROR(__xludf.DUMMYFUNCTION("""COMPUTED_VALUE"""),8.6291923E7)</f>
        <v>86291923</v>
      </c>
    </row>
    <row r="3600">
      <c r="A3600" s="3">
        <f>IFERROR(__xludf.DUMMYFUNCTION("""COMPUTED_VALUE"""),45580.66666666667)</f>
        <v>45580.66667</v>
      </c>
      <c r="B3600" s="2">
        <f>IFERROR(__xludf.DUMMYFUNCTION("""COMPUTED_VALUE"""),220.01)</f>
        <v>220.01</v>
      </c>
      <c r="C3600" s="2">
        <f>IFERROR(__xludf.DUMMYFUNCTION("""COMPUTED_VALUE"""),224.26)</f>
        <v>224.26</v>
      </c>
      <c r="D3600" s="2">
        <f>IFERROR(__xludf.DUMMYFUNCTION("""COMPUTED_VALUE"""),217.12)</f>
        <v>217.12</v>
      </c>
      <c r="E3600" s="2">
        <f>IFERROR(__xludf.DUMMYFUNCTION("""COMPUTED_VALUE"""),219.57)</f>
        <v>219.57</v>
      </c>
      <c r="F3600" s="2">
        <f>IFERROR(__xludf.DUMMYFUNCTION("""COMPUTED_VALUE"""),6.2988787E7)</f>
        <v>62988787</v>
      </c>
    </row>
    <row r="3601">
      <c r="A3601" s="3">
        <f>IFERROR(__xludf.DUMMYFUNCTION("""COMPUTED_VALUE"""),45581.66666666667)</f>
        <v>45581.66667</v>
      </c>
      <c r="B3601" s="2">
        <f>IFERROR(__xludf.DUMMYFUNCTION("""COMPUTED_VALUE"""),221.4)</f>
        <v>221.4</v>
      </c>
      <c r="C3601" s="2">
        <f>IFERROR(__xludf.DUMMYFUNCTION("""COMPUTED_VALUE"""),222.82)</f>
        <v>222.82</v>
      </c>
      <c r="D3601" s="2">
        <f>IFERROR(__xludf.DUMMYFUNCTION("""COMPUTED_VALUE"""),218.93)</f>
        <v>218.93</v>
      </c>
      <c r="E3601" s="2">
        <f>IFERROR(__xludf.DUMMYFUNCTION("""COMPUTED_VALUE"""),221.33)</f>
        <v>221.33</v>
      </c>
      <c r="F3601" s="2">
        <f>IFERROR(__xludf.DUMMYFUNCTION("""COMPUTED_VALUE"""),4.9632824E7)</f>
        <v>49632824</v>
      </c>
    </row>
    <row r="3602">
      <c r="A3602" s="3">
        <f>IFERROR(__xludf.DUMMYFUNCTION("""COMPUTED_VALUE"""),45582.66666666667)</f>
        <v>45582.66667</v>
      </c>
      <c r="B3602" s="2">
        <f>IFERROR(__xludf.DUMMYFUNCTION("""COMPUTED_VALUE"""),221.59)</f>
        <v>221.59</v>
      </c>
      <c r="C3602" s="2">
        <f>IFERROR(__xludf.DUMMYFUNCTION("""COMPUTED_VALUE"""),222.08)</f>
        <v>222.08</v>
      </c>
      <c r="D3602" s="2">
        <f>IFERROR(__xludf.DUMMYFUNCTION("""COMPUTED_VALUE"""),217.9)</f>
        <v>217.9</v>
      </c>
      <c r="E3602" s="2">
        <f>IFERROR(__xludf.DUMMYFUNCTION("""COMPUTED_VALUE"""),220.89)</f>
        <v>220.89</v>
      </c>
      <c r="F3602" s="2">
        <f>IFERROR(__xludf.DUMMYFUNCTION("""COMPUTED_VALUE"""),5.0791784E7)</f>
        <v>50791784</v>
      </c>
    </row>
    <row r="3603">
      <c r="A3603" s="3">
        <f>IFERROR(__xludf.DUMMYFUNCTION("""COMPUTED_VALUE"""),45583.66666666667)</f>
        <v>45583.66667</v>
      </c>
      <c r="B3603" s="2">
        <f>IFERROR(__xludf.DUMMYFUNCTION("""COMPUTED_VALUE"""),220.71)</f>
        <v>220.71</v>
      </c>
      <c r="C3603" s="2">
        <f>IFERROR(__xludf.DUMMYFUNCTION("""COMPUTED_VALUE"""),222.28)</f>
        <v>222.28</v>
      </c>
      <c r="D3603" s="2">
        <f>IFERROR(__xludf.DUMMYFUNCTION("""COMPUTED_VALUE"""),219.23)</f>
        <v>219.23</v>
      </c>
      <c r="E3603" s="2">
        <f>IFERROR(__xludf.DUMMYFUNCTION("""COMPUTED_VALUE"""),220.7)</f>
        <v>220.7</v>
      </c>
      <c r="F3603" s="2">
        <f>IFERROR(__xludf.DUMMYFUNCTION("""COMPUTED_VALUE"""),4.9611867E7)</f>
        <v>49611867</v>
      </c>
    </row>
    <row r="3604">
      <c r="A3604" s="3">
        <f>IFERROR(__xludf.DUMMYFUNCTION("""COMPUTED_VALUE"""),45586.66666666667)</f>
        <v>45586.66667</v>
      </c>
      <c r="B3604" s="2">
        <f>IFERROR(__xludf.DUMMYFUNCTION("""COMPUTED_VALUE"""),218.9)</f>
        <v>218.9</v>
      </c>
      <c r="C3604" s="2">
        <f>IFERROR(__xludf.DUMMYFUNCTION("""COMPUTED_VALUE"""),220.48)</f>
        <v>220.48</v>
      </c>
      <c r="D3604" s="2">
        <f>IFERROR(__xludf.DUMMYFUNCTION("""COMPUTED_VALUE"""),215.73)</f>
        <v>215.73</v>
      </c>
      <c r="E3604" s="2">
        <f>IFERROR(__xludf.DUMMYFUNCTION("""COMPUTED_VALUE"""),218.85)</f>
        <v>218.85</v>
      </c>
      <c r="F3604" s="2">
        <f>IFERROR(__xludf.DUMMYFUNCTION("""COMPUTED_VALUE"""),4.7328988E7)</f>
        <v>47328988</v>
      </c>
    </row>
    <row r="3605">
      <c r="A3605" s="3">
        <f>IFERROR(__xludf.DUMMYFUNCTION("""COMPUTED_VALUE"""),45587.66666666667)</f>
        <v>45587.66667</v>
      </c>
      <c r="B3605" s="2">
        <f>IFERROR(__xludf.DUMMYFUNCTION("""COMPUTED_VALUE"""),217.31)</f>
        <v>217.31</v>
      </c>
      <c r="C3605" s="2">
        <f>IFERROR(__xludf.DUMMYFUNCTION("""COMPUTED_VALUE"""),218.22)</f>
        <v>218.22</v>
      </c>
      <c r="D3605" s="2">
        <f>IFERROR(__xludf.DUMMYFUNCTION("""COMPUTED_VALUE"""),215.26)</f>
        <v>215.26</v>
      </c>
      <c r="E3605" s="2">
        <f>IFERROR(__xludf.DUMMYFUNCTION("""COMPUTED_VALUE"""),217.97)</f>
        <v>217.97</v>
      </c>
      <c r="F3605" s="2">
        <f>IFERROR(__xludf.DUMMYFUNCTION("""COMPUTED_VALUE"""),4.3268741E7)</f>
        <v>43268741</v>
      </c>
    </row>
    <row r="3606">
      <c r="A3606" s="3">
        <f>IFERROR(__xludf.DUMMYFUNCTION("""COMPUTED_VALUE"""),45588.66666666667)</f>
        <v>45588.66667</v>
      </c>
      <c r="B3606" s="2">
        <f>IFERROR(__xludf.DUMMYFUNCTION("""COMPUTED_VALUE"""),217.13)</f>
        <v>217.13</v>
      </c>
      <c r="C3606" s="2">
        <f>IFERROR(__xludf.DUMMYFUNCTION("""COMPUTED_VALUE"""),218.72)</f>
        <v>218.72</v>
      </c>
      <c r="D3606" s="2">
        <f>IFERROR(__xludf.DUMMYFUNCTION("""COMPUTED_VALUE"""),212.11)</f>
        <v>212.11</v>
      </c>
      <c r="E3606" s="2">
        <f>IFERROR(__xludf.DUMMYFUNCTION("""COMPUTED_VALUE"""),213.65)</f>
        <v>213.65</v>
      </c>
      <c r="F3606" s="2">
        <f>IFERROR(__xludf.DUMMYFUNCTION("""COMPUTED_VALUE"""),8.0938892E7)</f>
        <v>80938892</v>
      </c>
    </row>
    <row r="3607">
      <c r="A3607" s="3">
        <f>IFERROR(__xludf.DUMMYFUNCTION("""COMPUTED_VALUE"""),45589.66666666667)</f>
        <v>45589.66667</v>
      </c>
      <c r="B3607" s="2">
        <f>IFERROR(__xludf.DUMMYFUNCTION("""COMPUTED_VALUE"""),244.68)</f>
        <v>244.68</v>
      </c>
      <c r="C3607" s="2">
        <f>IFERROR(__xludf.DUMMYFUNCTION("""COMPUTED_VALUE"""),262.12)</f>
        <v>262.12</v>
      </c>
      <c r="D3607" s="2">
        <f>IFERROR(__xludf.DUMMYFUNCTION("""COMPUTED_VALUE"""),242.65)</f>
        <v>242.65</v>
      </c>
      <c r="E3607" s="2">
        <f>IFERROR(__xludf.DUMMYFUNCTION("""COMPUTED_VALUE"""),260.48)</f>
        <v>260.48</v>
      </c>
      <c r="F3607" s="2">
        <f>IFERROR(__xludf.DUMMYFUNCTION("""COMPUTED_VALUE"""),2.04491903E8)</f>
        <v>204491903</v>
      </c>
    </row>
    <row r="3608">
      <c r="A3608" s="3">
        <f>IFERROR(__xludf.DUMMYFUNCTION("""COMPUTED_VALUE"""),45590.66666666667)</f>
        <v>45590.66667</v>
      </c>
      <c r="B3608" s="2">
        <f>IFERROR(__xludf.DUMMYFUNCTION("""COMPUTED_VALUE"""),256.01)</f>
        <v>256.01</v>
      </c>
      <c r="C3608" s="2">
        <f>IFERROR(__xludf.DUMMYFUNCTION("""COMPUTED_VALUE"""),269.49)</f>
        <v>269.49</v>
      </c>
      <c r="D3608" s="2">
        <f>IFERROR(__xludf.DUMMYFUNCTION("""COMPUTED_VALUE"""),255.32)</f>
        <v>255.32</v>
      </c>
      <c r="E3608" s="2">
        <f>IFERROR(__xludf.DUMMYFUNCTION("""COMPUTED_VALUE"""),269.19)</f>
        <v>269.19</v>
      </c>
      <c r="F3608" s="2">
        <f>IFERROR(__xludf.DUMMYFUNCTION("""COMPUTED_VALUE"""),1.61611931E8)</f>
        <v>161611931</v>
      </c>
    </row>
    <row r="3609">
      <c r="A3609" s="3">
        <f>IFERROR(__xludf.DUMMYFUNCTION("""COMPUTED_VALUE"""),45593.66666666667)</f>
        <v>45593.66667</v>
      </c>
      <c r="B3609" s="2">
        <f>IFERROR(__xludf.DUMMYFUNCTION("""COMPUTED_VALUE"""),270.0)</f>
        <v>270</v>
      </c>
      <c r="C3609" s="2">
        <f>IFERROR(__xludf.DUMMYFUNCTION("""COMPUTED_VALUE"""),273.54)</f>
        <v>273.54</v>
      </c>
      <c r="D3609" s="2">
        <f>IFERROR(__xludf.DUMMYFUNCTION("""COMPUTED_VALUE"""),262.24)</f>
        <v>262.24</v>
      </c>
      <c r="E3609" s="2">
        <f>IFERROR(__xludf.DUMMYFUNCTION("""COMPUTED_VALUE"""),262.51)</f>
        <v>262.51</v>
      </c>
      <c r="F3609" s="2">
        <f>IFERROR(__xludf.DUMMYFUNCTION("""COMPUTED_VALUE"""),1.07653603E8)</f>
        <v>107653603</v>
      </c>
    </row>
    <row r="3610">
      <c r="A3610" s="3">
        <f>IFERROR(__xludf.DUMMYFUNCTION("""COMPUTED_VALUE"""),45594.66666666667)</f>
        <v>45594.66667</v>
      </c>
      <c r="B3610" s="2">
        <f>IFERROR(__xludf.DUMMYFUNCTION("""COMPUTED_VALUE"""),264.51)</f>
        <v>264.51</v>
      </c>
      <c r="C3610" s="2">
        <f>IFERROR(__xludf.DUMMYFUNCTION("""COMPUTED_VALUE"""),264.98)</f>
        <v>264.98</v>
      </c>
      <c r="D3610" s="2">
        <f>IFERROR(__xludf.DUMMYFUNCTION("""COMPUTED_VALUE"""),255.51)</f>
        <v>255.51</v>
      </c>
      <c r="E3610" s="2">
        <f>IFERROR(__xludf.DUMMYFUNCTION("""COMPUTED_VALUE"""),259.52)</f>
        <v>259.52</v>
      </c>
      <c r="F3610" s="2">
        <f>IFERROR(__xludf.DUMMYFUNCTION("""COMPUTED_VALUE"""),8.0521751E7)</f>
        <v>80521751</v>
      </c>
    </row>
    <row r="3611">
      <c r="A3611" s="3">
        <f>IFERROR(__xludf.DUMMYFUNCTION("""COMPUTED_VALUE"""),45595.66666666667)</f>
        <v>45595.66667</v>
      </c>
      <c r="B3611" s="2">
        <f>IFERROR(__xludf.DUMMYFUNCTION("""COMPUTED_VALUE"""),258.04)</f>
        <v>258.04</v>
      </c>
      <c r="C3611" s="2">
        <f>IFERROR(__xludf.DUMMYFUNCTION("""COMPUTED_VALUE"""),263.35)</f>
        <v>263.35</v>
      </c>
      <c r="D3611" s="2">
        <f>IFERROR(__xludf.DUMMYFUNCTION("""COMPUTED_VALUE"""),255.82)</f>
        <v>255.82</v>
      </c>
      <c r="E3611" s="2">
        <f>IFERROR(__xludf.DUMMYFUNCTION("""COMPUTED_VALUE"""),257.55)</f>
        <v>257.55</v>
      </c>
      <c r="F3611" s="2">
        <f>IFERROR(__xludf.DUMMYFUNCTION("""COMPUTED_VALUE"""),5.3993576E7)</f>
        <v>53993576</v>
      </c>
    </row>
    <row r="3612">
      <c r="A3612" s="3">
        <f>IFERROR(__xludf.DUMMYFUNCTION("""COMPUTED_VALUE"""),45596.66666666667)</f>
        <v>45596.66667</v>
      </c>
      <c r="B3612" s="2">
        <f>IFERROR(__xludf.DUMMYFUNCTION("""COMPUTED_VALUE"""),257.99)</f>
        <v>257.99</v>
      </c>
      <c r="C3612" s="2">
        <f>IFERROR(__xludf.DUMMYFUNCTION("""COMPUTED_VALUE"""),259.75)</f>
        <v>259.75</v>
      </c>
      <c r="D3612" s="2">
        <f>IFERROR(__xludf.DUMMYFUNCTION("""COMPUTED_VALUE"""),249.25)</f>
        <v>249.25</v>
      </c>
      <c r="E3612" s="2">
        <f>IFERROR(__xludf.DUMMYFUNCTION("""COMPUTED_VALUE"""),249.85)</f>
        <v>249.85</v>
      </c>
      <c r="F3612" s="2">
        <f>IFERROR(__xludf.DUMMYFUNCTION("""COMPUTED_VALUE"""),6.6575292E7)</f>
        <v>66575292</v>
      </c>
    </row>
    <row r="3613">
      <c r="A3613" s="3">
        <f>IFERROR(__xludf.DUMMYFUNCTION("""COMPUTED_VALUE"""),45597.66666666667)</f>
        <v>45597.66667</v>
      </c>
      <c r="B3613" s="2">
        <f>IFERROR(__xludf.DUMMYFUNCTION("""COMPUTED_VALUE"""),252.04)</f>
        <v>252.04</v>
      </c>
      <c r="C3613" s="2">
        <f>IFERROR(__xludf.DUMMYFUNCTION("""COMPUTED_VALUE"""),254.0)</f>
        <v>254</v>
      </c>
      <c r="D3613" s="2">
        <f>IFERROR(__xludf.DUMMYFUNCTION("""COMPUTED_VALUE"""),246.63)</f>
        <v>246.63</v>
      </c>
      <c r="E3613" s="2">
        <f>IFERROR(__xludf.DUMMYFUNCTION("""COMPUTED_VALUE"""),248.98)</f>
        <v>248.98</v>
      </c>
      <c r="F3613" s="2">
        <f>IFERROR(__xludf.DUMMYFUNCTION("""COMPUTED_VALUE"""),5.7544757E7)</f>
        <v>57544757</v>
      </c>
    </row>
    <row r="3614">
      <c r="A3614" s="3">
        <f>IFERROR(__xludf.DUMMYFUNCTION("""COMPUTED_VALUE"""),45600.66666666667)</f>
        <v>45600.66667</v>
      </c>
      <c r="B3614" s="2">
        <f>IFERROR(__xludf.DUMMYFUNCTION("""COMPUTED_VALUE"""),244.56)</f>
        <v>244.56</v>
      </c>
      <c r="C3614" s="2">
        <f>IFERROR(__xludf.DUMMYFUNCTION("""COMPUTED_VALUE"""),248.9)</f>
        <v>248.9</v>
      </c>
      <c r="D3614" s="2">
        <f>IFERROR(__xludf.DUMMYFUNCTION("""COMPUTED_VALUE"""),238.88)</f>
        <v>238.88</v>
      </c>
      <c r="E3614" s="2">
        <f>IFERROR(__xludf.DUMMYFUNCTION("""COMPUTED_VALUE"""),242.84)</f>
        <v>242.84</v>
      </c>
      <c r="F3614" s="2">
        <f>IFERROR(__xludf.DUMMYFUNCTION("""COMPUTED_VALUE"""),6.8802354E7)</f>
        <v>68802354</v>
      </c>
    </row>
    <row r="3615">
      <c r="A3615" s="3">
        <f>IFERROR(__xludf.DUMMYFUNCTION("""COMPUTED_VALUE"""),45601.66666666667)</f>
        <v>45601.66667</v>
      </c>
      <c r="B3615" s="2">
        <f>IFERROR(__xludf.DUMMYFUNCTION("""COMPUTED_VALUE"""),247.34)</f>
        <v>247.34</v>
      </c>
      <c r="C3615" s="2">
        <f>IFERROR(__xludf.DUMMYFUNCTION("""COMPUTED_VALUE"""),255.28)</f>
        <v>255.28</v>
      </c>
      <c r="D3615" s="2">
        <f>IFERROR(__xludf.DUMMYFUNCTION("""COMPUTED_VALUE"""),246.21)</f>
        <v>246.21</v>
      </c>
      <c r="E3615" s="2">
        <f>IFERROR(__xludf.DUMMYFUNCTION("""COMPUTED_VALUE"""),251.44)</f>
        <v>251.44</v>
      </c>
      <c r="F3615" s="2">
        <f>IFERROR(__xludf.DUMMYFUNCTION("""COMPUTED_VALUE"""),6.9282505E7)</f>
        <v>69282505</v>
      </c>
    </row>
    <row r="3616">
      <c r="A3616" s="3">
        <f>IFERROR(__xludf.DUMMYFUNCTION("""COMPUTED_VALUE"""),45602.66666666667)</f>
        <v>45602.66667</v>
      </c>
      <c r="B3616" s="2">
        <f>IFERROR(__xludf.DUMMYFUNCTION("""COMPUTED_VALUE"""),284.67)</f>
        <v>284.67</v>
      </c>
      <c r="C3616" s="2">
        <f>IFERROR(__xludf.DUMMYFUNCTION("""COMPUTED_VALUE"""),289.59)</f>
        <v>289.59</v>
      </c>
      <c r="D3616" s="2">
        <f>IFERROR(__xludf.DUMMYFUNCTION("""COMPUTED_VALUE"""),275.62)</f>
        <v>275.62</v>
      </c>
      <c r="E3616" s="2">
        <f>IFERROR(__xludf.DUMMYFUNCTION("""COMPUTED_VALUE"""),288.53)</f>
        <v>288.53</v>
      </c>
      <c r="F3616" s="2">
        <f>IFERROR(__xludf.DUMMYFUNCTION("""COMPUTED_VALUE"""),1.6522871E8)</f>
        <v>165228710</v>
      </c>
    </row>
    <row r="3617">
      <c r="A3617" s="3">
        <f>IFERROR(__xludf.DUMMYFUNCTION("""COMPUTED_VALUE"""),45603.66666666667)</f>
        <v>45603.66667</v>
      </c>
      <c r="B3617" s="2">
        <f>IFERROR(__xludf.DUMMYFUNCTION("""COMPUTED_VALUE"""),288.89)</f>
        <v>288.89</v>
      </c>
      <c r="C3617" s="2">
        <f>IFERROR(__xludf.DUMMYFUNCTION("""COMPUTED_VALUE"""),299.75)</f>
        <v>299.75</v>
      </c>
      <c r="D3617" s="2">
        <f>IFERROR(__xludf.DUMMYFUNCTION("""COMPUTED_VALUE"""),285.52)</f>
        <v>285.52</v>
      </c>
      <c r="E3617" s="2">
        <f>IFERROR(__xludf.DUMMYFUNCTION("""COMPUTED_VALUE"""),296.91)</f>
        <v>296.91</v>
      </c>
      <c r="F3617" s="2">
        <f>IFERROR(__xludf.DUMMYFUNCTION("""COMPUTED_VALUE"""),1.17309232E8)</f>
        <v>117309232</v>
      </c>
    </row>
    <row r="3618">
      <c r="A3618" s="3">
        <f>IFERROR(__xludf.DUMMYFUNCTION("""COMPUTED_VALUE"""),45604.66666666667)</f>
        <v>45604.66667</v>
      </c>
      <c r="B3618" s="2">
        <f>IFERROR(__xludf.DUMMYFUNCTION("""COMPUTED_VALUE"""),299.14)</f>
        <v>299.14</v>
      </c>
      <c r="C3618" s="2">
        <f>IFERROR(__xludf.DUMMYFUNCTION("""COMPUTED_VALUE"""),328.71)</f>
        <v>328.71</v>
      </c>
      <c r="D3618" s="2">
        <f>IFERROR(__xludf.DUMMYFUNCTION("""COMPUTED_VALUE"""),297.66)</f>
        <v>297.66</v>
      </c>
      <c r="E3618" s="2">
        <f>IFERROR(__xludf.DUMMYFUNCTION("""COMPUTED_VALUE"""),321.22)</f>
        <v>321.22</v>
      </c>
      <c r="F3618" s="2">
        <f>IFERROR(__xludf.DUMMYFUNCTION("""COMPUTED_VALUE"""),2.04782763E8)</f>
        <v>204782763</v>
      </c>
    </row>
    <row r="3619">
      <c r="A3619" s="3">
        <f>IFERROR(__xludf.DUMMYFUNCTION("""COMPUTED_VALUE"""),45607.66666666667)</f>
        <v>45607.66667</v>
      </c>
      <c r="B3619" s="2">
        <f>IFERROR(__xludf.DUMMYFUNCTION("""COMPUTED_VALUE"""),346.3)</f>
        <v>346.3</v>
      </c>
      <c r="C3619" s="2">
        <f>IFERROR(__xludf.DUMMYFUNCTION("""COMPUTED_VALUE"""),358.64)</f>
        <v>358.64</v>
      </c>
      <c r="D3619" s="2">
        <f>IFERROR(__xludf.DUMMYFUNCTION("""COMPUTED_VALUE"""),336.0)</f>
        <v>336</v>
      </c>
      <c r="E3619" s="2">
        <f>IFERROR(__xludf.DUMMYFUNCTION("""COMPUTED_VALUE"""),350.0)</f>
        <v>350</v>
      </c>
      <c r="F3619" s="2">
        <f>IFERROR(__xludf.DUMMYFUNCTION("""COMPUTED_VALUE"""),2.10521625E8)</f>
        <v>210521625</v>
      </c>
    </row>
    <row r="3620">
      <c r="A3620" s="3">
        <f>IFERROR(__xludf.DUMMYFUNCTION("""COMPUTED_VALUE"""),45608.66666666667)</f>
        <v>45608.66667</v>
      </c>
      <c r="B3620" s="2">
        <f>IFERROR(__xludf.DUMMYFUNCTION("""COMPUTED_VALUE"""),342.74)</f>
        <v>342.74</v>
      </c>
      <c r="C3620" s="2">
        <f>IFERROR(__xludf.DUMMYFUNCTION("""COMPUTED_VALUE"""),345.84)</f>
        <v>345.84</v>
      </c>
      <c r="D3620" s="2">
        <f>IFERROR(__xludf.DUMMYFUNCTION("""COMPUTED_VALUE"""),323.31)</f>
        <v>323.31</v>
      </c>
      <c r="E3620" s="2">
        <f>IFERROR(__xludf.DUMMYFUNCTION("""COMPUTED_VALUE"""),328.49)</f>
        <v>328.49</v>
      </c>
      <c r="F3620" s="2">
        <f>IFERROR(__xludf.DUMMYFUNCTION("""COMPUTED_VALUE"""),1.55726016E8)</f>
        <v>155726016</v>
      </c>
    </row>
    <row r="3621">
      <c r="A3621" s="3">
        <f>IFERROR(__xludf.DUMMYFUNCTION("""COMPUTED_VALUE"""),45609.66666666667)</f>
        <v>45609.66667</v>
      </c>
      <c r="B3621" s="2">
        <f>IFERROR(__xludf.DUMMYFUNCTION("""COMPUTED_VALUE"""),335.85)</f>
        <v>335.85</v>
      </c>
      <c r="C3621" s="2">
        <f>IFERROR(__xludf.DUMMYFUNCTION("""COMPUTED_VALUE"""),344.6)</f>
        <v>344.6</v>
      </c>
      <c r="D3621" s="2">
        <f>IFERROR(__xludf.DUMMYFUNCTION("""COMPUTED_VALUE"""),322.5)</f>
        <v>322.5</v>
      </c>
      <c r="E3621" s="2">
        <f>IFERROR(__xludf.DUMMYFUNCTION("""COMPUTED_VALUE"""),330.24)</f>
        <v>330.24</v>
      </c>
      <c r="F3621" s="2">
        <f>IFERROR(__xludf.DUMMYFUNCTION("""COMPUTED_VALUE"""),1.25405599E8)</f>
        <v>125405599</v>
      </c>
    </row>
    <row r="3622">
      <c r="A3622" s="3">
        <f>IFERROR(__xludf.DUMMYFUNCTION("""COMPUTED_VALUE"""),45610.66666666667)</f>
        <v>45610.66667</v>
      </c>
      <c r="B3622" s="2">
        <f>IFERROR(__xludf.DUMMYFUNCTION("""COMPUTED_VALUE"""),327.69)</f>
        <v>327.69</v>
      </c>
      <c r="C3622" s="2">
        <f>IFERROR(__xludf.DUMMYFUNCTION("""COMPUTED_VALUE"""),329.98)</f>
        <v>329.98</v>
      </c>
      <c r="D3622" s="2">
        <f>IFERROR(__xludf.DUMMYFUNCTION("""COMPUTED_VALUE"""),310.37)</f>
        <v>310.37</v>
      </c>
      <c r="E3622" s="2">
        <f>IFERROR(__xludf.DUMMYFUNCTION("""COMPUTED_VALUE"""),311.18)</f>
        <v>311.18</v>
      </c>
      <c r="F3622" s="2">
        <f>IFERROR(__xludf.DUMMYFUNCTION("""COMPUTED_VALUE"""),1.20726109E8)</f>
        <v>120726109</v>
      </c>
    </row>
    <row r="3623">
      <c r="A3623" s="3">
        <f>IFERROR(__xludf.DUMMYFUNCTION("""COMPUTED_VALUE"""),45611.66666666667)</f>
        <v>45611.66667</v>
      </c>
      <c r="B3623" s="2">
        <f>IFERROR(__xludf.DUMMYFUNCTION("""COMPUTED_VALUE"""),310.57)</f>
        <v>310.57</v>
      </c>
      <c r="C3623" s="2">
        <f>IFERROR(__xludf.DUMMYFUNCTION("""COMPUTED_VALUE"""),324.68)</f>
        <v>324.68</v>
      </c>
      <c r="D3623" s="2">
        <f>IFERROR(__xludf.DUMMYFUNCTION("""COMPUTED_VALUE"""),309.22)</f>
        <v>309.22</v>
      </c>
      <c r="E3623" s="2">
        <f>IFERROR(__xludf.DUMMYFUNCTION("""COMPUTED_VALUE"""),320.72)</f>
        <v>320.72</v>
      </c>
      <c r="F3623" s="2">
        <f>IFERROR(__xludf.DUMMYFUNCTION("""COMPUTED_VALUE"""),1.14440286E8)</f>
        <v>114440286</v>
      </c>
    </row>
    <row r="3624">
      <c r="A3624" s="3">
        <f>IFERROR(__xludf.DUMMYFUNCTION("""COMPUTED_VALUE"""),45614.66666666667)</f>
        <v>45614.66667</v>
      </c>
      <c r="B3624" s="2">
        <f>IFERROR(__xludf.DUMMYFUNCTION("""COMPUTED_VALUE"""),340.73)</f>
        <v>340.73</v>
      </c>
      <c r="C3624" s="2">
        <f>IFERROR(__xludf.DUMMYFUNCTION("""COMPUTED_VALUE"""),348.55)</f>
        <v>348.55</v>
      </c>
      <c r="D3624" s="2">
        <f>IFERROR(__xludf.DUMMYFUNCTION("""COMPUTED_VALUE"""),330.01)</f>
        <v>330.01</v>
      </c>
      <c r="E3624" s="2">
        <f>IFERROR(__xludf.DUMMYFUNCTION("""COMPUTED_VALUE"""),338.74)</f>
        <v>338.74</v>
      </c>
      <c r="F3624" s="2">
        <f>IFERROR(__xludf.DUMMYFUNCTION("""COMPUTED_VALUE"""),1.26547455E8)</f>
        <v>126547455</v>
      </c>
    </row>
    <row r="3625">
      <c r="A3625" s="3">
        <f>IFERROR(__xludf.DUMMYFUNCTION("""COMPUTED_VALUE"""),45615.66666666667)</f>
        <v>45615.66667</v>
      </c>
      <c r="B3625" s="2">
        <f>IFERROR(__xludf.DUMMYFUNCTION("""COMPUTED_VALUE"""),335.76)</f>
        <v>335.76</v>
      </c>
      <c r="C3625" s="2">
        <f>IFERROR(__xludf.DUMMYFUNCTION("""COMPUTED_VALUE"""),347.38)</f>
        <v>347.38</v>
      </c>
      <c r="D3625" s="2">
        <f>IFERROR(__xludf.DUMMYFUNCTION("""COMPUTED_VALUE"""),332.75)</f>
        <v>332.75</v>
      </c>
      <c r="E3625" s="2">
        <f>IFERROR(__xludf.DUMMYFUNCTION("""COMPUTED_VALUE"""),346.0)</f>
        <v>346</v>
      </c>
      <c r="F3625" s="2">
        <f>IFERROR(__xludf.DUMMYFUNCTION("""COMPUTED_VALUE"""),8.8852452E7)</f>
        <v>88852452</v>
      </c>
    </row>
    <row r="3626">
      <c r="A3626" s="3">
        <f>IFERROR(__xludf.DUMMYFUNCTION("""COMPUTED_VALUE"""),45616.66666666667)</f>
        <v>45616.66667</v>
      </c>
      <c r="B3626" s="2">
        <f>IFERROR(__xludf.DUMMYFUNCTION("""COMPUTED_VALUE"""),345.0)</f>
        <v>345</v>
      </c>
      <c r="C3626" s="2">
        <f>IFERROR(__xludf.DUMMYFUNCTION("""COMPUTED_VALUE"""),346.6)</f>
        <v>346.6</v>
      </c>
      <c r="D3626" s="2">
        <f>IFERROR(__xludf.DUMMYFUNCTION("""COMPUTED_VALUE"""),334.3)</f>
        <v>334.3</v>
      </c>
      <c r="E3626" s="2">
        <f>IFERROR(__xludf.DUMMYFUNCTION("""COMPUTED_VALUE"""),342.03)</f>
        <v>342.03</v>
      </c>
      <c r="F3626" s="2">
        <f>IFERROR(__xludf.DUMMYFUNCTION("""COMPUTED_VALUE"""),6.634065E7)</f>
        <v>66340650</v>
      </c>
    </row>
    <row r="3627">
      <c r="A3627" s="3">
        <f>IFERROR(__xludf.DUMMYFUNCTION("""COMPUTED_VALUE"""),45617.66666666667)</f>
        <v>45617.66667</v>
      </c>
      <c r="B3627" s="2">
        <f>IFERROR(__xludf.DUMMYFUNCTION("""COMPUTED_VALUE"""),343.81)</f>
        <v>343.81</v>
      </c>
      <c r="C3627" s="2">
        <f>IFERROR(__xludf.DUMMYFUNCTION("""COMPUTED_VALUE"""),347.99)</f>
        <v>347.99</v>
      </c>
      <c r="D3627" s="2">
        <f>IFERROR(__xludf.DUMMYFUNCTION("""COMPUTED_VALUE"""),335.28)</f>
        <v>335.28</v>
      </c>
      <c r="E3627" s="2">
        <f>IFERROR(__xludf.DUMMYFUNCTION("""COMPUTED_VALUE"""),339.64)</f>
        <v>339.64</v>
      </c>
      <c r="F3627" s="2">
        <f>IFERROR(__xludf.DUMMYFUNCTION("""COMPUTED_VALUE"""),5.8011719E7)</f>
        <v>58011719</v>
      </c>
    </row>
    <row r="3628">
      <c r="A3628" s="3">
        <f>IFERROR(__xludf.DUMMYFUNCTION("""COMPUTED_VALUE"""),45618.66666666667)</f>
        <v>45618.66667</v>
      </c>
      <c r="B3628" s="2">
        <f>IFERROR(__xludf.DUMMYFUNCTION("""COMPUTED_VALUE"""),341.09)</f>
        <v>341.09</v>
      </c>
      <c r="C3628" s="2">
        <f>IFERROR(__xludf.DUMMYFUNCTION("""COMPUTED_VALUE"""),361.53)</f>
        <v>361.53</v>
      </c>
      <c r="D3628" s="2">
        <f>IFERROR(__xludf.DUMMYFUNCTION("""COMPUTED_VALUE"""),337.7)</f>
        <v>337.7</v>
      </c>
      <c r="E3628" s="2">
        <f>IFERROR(__xludf.DUMMYFUNCTION("""COMPUTED_VALUE"""),352.56)</f>
        <v>352.56</v>
      </c>
      <c r="F3628" s="2">
        <f>IFERROR(__xludf.DUMMYFUNCTION("""COMPUTED_VALUE"""),8.9140722E7)</f>
        <v>89140722</v>
      </c>
    </row>
    <row r="3629">
      <c r="A3629" s="3">
        <f>IFERROR(__xludf.DUMMYFUNCTION("""COMPUTED_VALUE"""),45621.66666666667)</f>
        <v>45621.66667</v>
      </c>
      <c r="B3629" s="2">
        <f>IFERROR(__xludf.DUMMYFUNCTION("""COMPUTED_VALUE"""),360.14)</f>
        <v>360.14</v>
      </c>
      <c r="C3629" s="2">
        <f>IFERROR(__xludf.DUMMYFUNCTION("""COMPUTED_VALUE"""),361.93)</f>
        <v>361.93</v>
      </c>
      <c r="D3629" s="2">
        <f>IFERROR(__xludf.DUMMYFUNCTION("""COMPUTED_VALUE"""),338.2)</f>
        <v>338.2</v>
      </c>
      <c r="E3629" s="2">
        <f>IFERROR(__xludf.DUMMYFUNCTION("""COMPUTED_VALUE"""),338.59)</f>
        <v>338.59</v>
      </c>
      <c r="F3629" s="2">
        <f>IFERROR(__xludf.DUMMYFUNCTION("""COMPUTED_VALUE"""),9.5890899E7)</f>
        <v>95890899</v>
      </c>
    </row>
    <row r="3630">
      <c r="A3630" s="3">
        <f>IFERROR(__xludf.DUMMYFUNCTION("""COMPUTED_VALUE"""),45622.66666666667)</f>
        <v>45622.66667</v>
      </c>
      <c r="B3630" s="2">
        <f>IFERROR(__xludf.DUMMYFUNCTION("""COMPUTED_VALUE"""),341.0)</f>
        <v>341</v>
      </c>
      <c r="C3630" s="2">
        <f>IFERROR(__xludf.DUMMYFUNCTION("""COMPUTED_VALUE"""),346.96)</f>
        <v>346.96</v>
      </c>
      <c r="D3630" s="2">
        <f>IFERROR(__xludf.DUMMYFUNCTION("""COMPUTED_VALUE"""),335.66)</f>
        <v>335.66</v>
      </c>
      <c r="E3630" s="2">
        <f>IFERROR(__xludf.DUMMYFUNCTION("""COMPUTED_VALUE"""),338.23)</f>
        <v>338.23</v>
      </c>
      <c r="F3630" s="2">
        <f>IFERROR(__xludf.DUMMYFUNCTION("""COMPUTED_VALUE"""),6.2295857E7)</f>
        <v>62295857</v>
      </c>
    </row>
    <row r="3631">
      <c r="A3631" s="3">
        <f>IFERROR(__xludf.DUMMYFUNCTION("""COMPUTED_VALUE"""),45623.66666666667)</f>
        <v>45623.66667</v>
      </c>
      <c r="B3631" s="2">
        <f>IFERROR(__xludf.DUMMYFUNCTION("""COMPUTED_VALUE"""),341.8)</f>
        <v>341.8</v>
      </c>
      <c r="C3631" s="2">
        <f>IFERROR(__xludf.DUMMYFUNCTION("""COMPUTED_VALUE"""),342.55)</f>
        <v>342.55</v>
      </c>
      <c r="D3631" s="2">
        <f>IFERROR(__xludf.DUMMYFUNCTION("""COMPUTED_VALUE"""),326.59)</f>
        <v>326.59</v>
      </c>
      <c r="E3631" s="2">
        <f>IFERROR(__xludf.DUMMYFUNCTION("""COMPUTED_VALUE"""),332.89)</f>
        <v>332.89</v>
      </c>
      <c r="F3631" s="2">
        <f>IFERROR(__xludf.DUMMYFUNCTION("""COMPUTED_VALUE"""),5.7896439E7)</f>
        <v>57896439</v>
      </c>
    </row>
    <row r="3632">
      <c r="A3632" s="3">
        <f>IFERROR(__xludf.DUMMYFUNCTION("""COMPUTED_VALUE"""),45625.54513888889)</f>
        <v>45625.54514</v>
      </c>
      <c r="B3632" s="2">
        <f>IFERROR(__xludf.DUMMYFUNCTION("""COMPUTED_VALUE"""),336.08)</f>
        <v>336.08</v>
      </c>
      <c r="C3632" s="2">
        <f>IFERROR(__xludf.DUMMYFUNCTION("""COMPUTED_VALUE"""),345.45)</f>
        <v>345.45</v>
      </c>
      <c r="D3632" s="2">
        <f>IFERROR(__xludf.DUMMYFUNCTION("""COMPUTED_VALUE"""),334.65)</f>
        <v>334.65</v>
      </c>
      <c r="E3632" s="2">
        <f>IFERROR(__xludf.DUMMYFUNCTION("""COMPUTED_VALUE"""),345.16)</f>
        <v>345.16</v>
      </c>
      <c r="F3632" s="2">
        <f>IFERROR(__xludf.DUMMYFUNCTION("""COMPUTED_VALUE"""),3.7167621E7)</f>
        <v>37167621</v>
      </c>
    </row>
    <row r="3633">
      <c r="A3633" s="3">
        <f>IFERROR(__xludf.DUMMYFUNCTION("""COMPUTED_VALUE"""),45628.66666666667)</f>
        <v>45628.66667</v>
      </c>
      <c r="B3633" s="2">
        <f>IFERROR(__xludf.DUMMYFUNCTION("""COMPUTED_VALUE"""),352.38)</f>
        <v>352.38</v>
      </c>
      <c r="C3633" s="2">
        <f>IFERROR(__xludf.DUMMYFUNCTION("""COMPUTED_VALUE"""),360.0)</f>
        <v>360</v>
      </c>
      <c r="D3633" s="2">
        <f>IFERROR(__xludf.DUMMYFUNCTION("""COMPUTED_VALUE"""),351.15)</f>
        <v>351.15</v>
      </c>
      <c r="E3633" s="2">
        <f>IFERROR(__xludf.DUMMYFUNCTION("""COMPUTED_VALUE"""),357.09)</f>
        <v>357.09</v>
      </c>
      <c r="F3633" s="2">
        <f>IFERROR(__xludf.DUMMYFUNCTION("""COMPUTED_VALUE"""),7.7986478E7)</f>
        <v>77986478</v>
      </c>
    </row>
    <row r="3634">
      <c r="A3634" s="3">
        <f>IFERROR(__xludf.DUMMYFUNCTION("""COMPUTED_VALUE"""),45629.66666666667)</f>
        <v>45629.66667</v>
      </c>
      <c r="B3634" s="2">
        <f>IFERROR(__xludf.DUMMYFUNCTION("""COMPUTED_VALUE"""),351.8)</f>
        <v>351.8</v>
      </c>
      <c r="C3634" s="2">
        <f>IFERROR(__xludf.DUMMYFUNCTION("""COMPUTED_VALUE"""),355.69)</f>
        <v>355.69</v>
      </c>
      <c r="D3634" s="2">
        <f>IFERROR(__xludf.DUMMYFUNCTION("""COMPUTED_VALUE"""),348.2)</f>
        <v>348.2</v>
      </c>
      <c r="E3634" s="2">
        <f>IFERROR(__xludf.DUMMYFUNCTION("""COMPUTED_VALUE"""),351.42)</f>
        <v>351.42</v>
      </c>
      <c r="F3634" s="2">
        <f>IFERROR(__xludf.DUMMYFUNCTION("""COMPUTED_VALUE"""),5.8267196E7)</f>
        <v>58267196</v>
      </c>
    </row>
    <row r="3635">
      <c r="A3635" s="3">
        <f>IFERROR(__xludf.DUMMYFUNCTION("""COMPUTED_VALUE"""),45630.66666666667)</f>
        <v>45630.66667</v>
      </c>
      <c r="B3635" s="2">
        <f>IFERROR(__xludf.DUMMYFUNCTION("""COMPUTED_VALUE"""),353.0)</f>
        <v>353</v>
      </c>
      <c r="C3635" s="2">
        <f>IFERROR(__xludf.DUMMYFUNCTION("""COMPUTED_VALUE"""),358.1)</f>
        <v>358.1</v>
      </c>
      <c r="D3635" s="2">
        <f>IFERROR(__xludf.DUMMYFUNCTION("""COMPUTED_VALUE"""),348.6)</f>
        <v>348.6</v>
      </c>
      <c r="E3635" s="2">
        <f>IFERROR(__xludf.DUMMYFUNCTION("""COMPUTED_VALUE"""),357.93)</f>
        <v>357.93</v>
      </c>
      <c r="F3635" s="2">
        <f>IFERROR(__xludf.DUMMYFUNCTION("""COMPUTED_VALUE"""),5.0810874E7)</f>
        <v>50810874</v>
      </c>
    </row>
    <row r="3636">
      <c r="A3636" s="3">
        <f>IFERROR(__xludf.DUMMYFUNCTION("""COMPUTED_VALUE"""),45631.66666666667)</f>
        <v>45631.66667</v>
      </c>
      <c r="B3636" s="2">
        <f>IFERROR(__xludf.DUMMYFUNCTION("""COMPUTED_VALUE"""),359.87)</f>
        <v>359.87</v>
      </c>
      <c r="C3636" s="2">
        <f>IFERROR(__xludf.DUMMYFUNCTION("""COMPUTED_VALUE"""),375.43)</f>
        <v>375.43</v>
      </c>
      <c r="D3636" s="2">
        <f>IFERROR(__xludf.DUMMYFUNCTION("""COMPUTED_VALUE"""),359.5)</f>
        <v>359.5</v>
      </c>
      <c r="E3636" s="2">
        <f>IFERROR(__xludf.DUMMYFUNCTION("""COMPUTED_VALUE"""),369.49)</f>
        <v>369.49</v>
      </c>
      <c r="F3636" s="2">
        <f>IFERROR(__xludf.DUMMYFUNCTION("""COMPUTED_VALUE"""),8.1403569E7)</f>
        <v>81403569</v>
      </c>
    </row>
    <row r="3637">
      <c r="A3637" s="3">
        <f>IFERROR(__xludf.DUMMYFUNCTION("""COMPUTED_VALUE"""),45632.66666666667)</f>
        <v>45632.66667</v>
      </c>
      <c r="B3637" s="2">
        <f>IFERROR(__xludf.DUMMYFUNCTION("""COMPUTED_VALUE"""),377.42)</f>
        <v>377.42</v>
      </c>
      <c r="C3637" s="2">
        <f>IFERROR(__xludf.DUMMYFUNCTION("""COMPUTED_VALUE"""),389.49)</f>
        <v>389.49</v>
      </c>
      <c r="D3637" s="2">
        <f>IFERROR(__xludf.DUMMYFUNCTION("""COMPUTED_VALUE"""),370.8)</f>
        <v>370.8</v>
      </c>
      <c r="E3637" s="2">
        <f>IFERROR(__xludf.DUMMYFUNCTION("""COMPUTED_VALUE"""),389.22)</f>
        <v>389.22</v>
      </c>
      <c r="F3637" s="2">
        <f>IFERROR(__xludf.DUMMYFUNCTION("""COMPUTED_VALUE"""),8.1455834E7)</f>
        <v>81455834</v>
      </c>
    </row>
    <row r="3638">
      <c r="A3638" s="3">
        <f>IFERROR(__xludf.DUMMYFUNCTION("""COMPUTED_VALUE"""),45635.66666666667)</f>
        <v>45635.66667</v>
      </c>
      <c r="B3638" s="2">
        <f>IFERROR(__xludf.DUMMYFUNCTION("""COMPUTED_VALUE"""),397.61)</f>
        <v>397.61</v>
      </c>
      <c r="C3638" s="2">
        <f>IFERROR(__xludf.DUMMYFUNCTION("""COMPUTED_VALUE"""),404.8)</f>
        <v>404.8</v>
      </c>
      <c r="D3638" s="2">
        <f>IFERROR(__xludf.DUMMYFUNCTION("""COMPUTED_VALUE"""),378.01)</f>
        <v>378.01</v>
      </c>
      <c r="E3638" s="2">
        <f>IFERROR(__xludf.DUMMYFUNCTION("""COMPUTED_VALUE"""),389.79)</f>
        <v>389.79</v>
      </c>
      <c r="F3638" s="2">
        <f>IFERROR(__xludf.DUMMYFUNCTION("""COMPUTED_VALUE"""),9.6359173E7)</f>
        <v>96359173</v>
      </c>
    </row>
    <row r="3639">
      <c r="A3639" s="3">
        <f>IFERROR(__xludf.DUMMYFUNCTION("""COMPUTED_VALUE"""),45636.66666666667)</f>
        <v>45636.66667</v>
      </c>
      <c r="B3639" s="2">
        <f>IFERROR(__xludf.DUMMYFUNCTION("""COMPUTED_VALUE"""),392.68)</f>
        <v>392.68</v>
      </c>
      <c r="C3639" s="2">
        <f>IFERROR(__xludf.DUMMYFUNCTION("""COMPUTED_VALUE"""),409.73)</f>
        <v>409.73</v>
      </c>
      <c r="D3639" s="2">
        <f>IFERROR(__xludf.DUMMYFUNCTION("""COMPUTED_VALUE"""),390.85)</f>
        <v>390.85</v>
      </c>
      <c r="E3639" s="2">
        <f>IFERROR(__xludf.DUMMYFUNCTION("""COMPUTED_VALUE"""),400.99)</f>
        <v>400.99</v>
      </c>
      <c r="F3639" s="2">
        <f>IFERROR(__xludf.DUMMYFUNCTION("""COMPUTED_VALUE"""),9.7563578E7)</f>
        <v>97563578</v>
      </c>
    </row>
    <row r="3640">
      <c r="A3640" s="3">
        <f>IFERROR(__xludf.DUMMYFUNCTION("""COMPUTED_VALUE"""),45637.66666666667)</f>
        <v>45637.66667</v>
      </c>
      <c r="B3640" s="2">
        <f>IFERROR(__xludf.DUMMYFUNCTION("""COMPUTED_VALUE"""),409.7)</f>
        <v>409.7</v>
      </c>
      <c r="C3640" s="2">
        <f>IFERROR(__xludf.DUMMYFUNCTION("""COMPUTED_VALUE"""),424.88)</f>
        <v>424.88</v>
      </c>
      <c r="D3640" s="2">
        <f>IFERROR(__xludf.DUMMYFUNCTION("""COMPUTED_VALUE"""),402.38)</f>
        <v>402.38</v>
      </c>
      <c r="E3640" s="2">
        <f>IFERROR(__xludf.DUMMYFUNCTION("""COMPUTED_VALUE"""),424.77)</f>
        <v>424.77</v>
      </c>
      <c r="F3640" s="2">
        <f>IFERROR(__xludf.DUMMYFUNCTION("""COMPUTED_VALUE"""),1.04287559E8)</f>
        <v>104287559</v>
      </c>
    </row>
    <row r="3641">
      <c r="A3641" s="3">
        <f>IFERROR(__xludf.DUMMYFUNCTION("""COMPUTED_VALUE"""),45638.66666666667)</f>
        <v>45638.66667</v>
      </c>
      <c r="B3641" s="2">
        <f>IFERROR(__xludf.DUMMYFUNCTION("""COMPUTED_VALUE"""),424.84)</f>
        <v>424.84</v>
      </c>
      <c r="C3641" s="2">
        <f>IFERROR(__xludf.DUMMYFUNCTION("""COMPUTED_VALUE"""),429.3)</f>
        <v>429.3</v>
      </c>
      <c r="D3641" s="2">
        <f>IFERROR(__xludf.DUMMYFUNCTION("""COMPUTED_VALUE"""),415.0)</f>
        <v>415</v>
      </c>
      <c r="E3641" s="2">
        <f>IFERROR(__xludf.DUMMYFUNCTION("""COMPUTED_VALUE"""),418.1)</f>
        <v>418.1</v>
      </c>
      <c r="F3641" s="2">
        <f>IFERROR(__xludf.DUMMYFUNCTION("""COMPUTED_VALUE"""),8.7752225E7)</f>
        <v>87752225</v>
      </c>
    </row>
    <row r="3642">
      <c r="A3642" s="3">
        <f>IFERROR(__xludf.DUMMYFUNCTION("""COMPUTED_VALUE"""),45639.66666666667)</f>
        <v>45639.66667</v>
      </c>
      <c r="B3642" s="2">
        <f>IFERROR(__xludf.DUMMYFUNCTION("""COMPUTED_VALUE"""),420.0)</f>
        <v>420</v>
      </c>
      <c r="C3642" s="2">
        <f>IFERROR(__xludf.DUMMYFUNCTION("""COMPUTED_VALUE"""),436.3)</f>
        <v>436.3</v>
      </c>
      <c r="D3642" s="2">
        <f>IFERROR(__xludf.DUMMYFUNCTION("""COMPUTED_VALUE"""),415.71)</f>
        <v>415.71</v>
      </c>
      <c r="E3642" s="2">
        <f>IFERROR(__xludf.DUMMYFUNCTION("""COMPUTED_VALUE"""),436.23)</f>
        <v>436.23</v>
      </c>
      <c r="F3642" s="2">
        <f>IFERROR(__xludf.DUMMYFUNCTION("""COMPUTED_VALUE"""),8.9000158E7)</f>
        <v>89000158</v>
      </c>
    </row>
    <row r="3643">
      <c r="A3643" s="3">
        <f>IFERROR(__xludf.DUMMYFUNCTION("""COMPUTED_VALUE"""),45642.66666666667)</f>
        <v>45642.66667</v>
      </c>
      <c r="B3643" s="2">
        <f>IFERROR(__xludf.DUMMYFUNCTION("""COMPUTED_VALUE"""),441.09)</f>
        <v>441.09</v>
      </c>
      <c r="C3643" s="2">
        <f>IFERROR(__xludf.DUMMYFUNCTION("""COMPUTED_VALUE"""),463.19)</f>
        <v>463.19</v>
      </c>
      <c r="D3643" s="2">
        <f>IFERROR(__xludf.DUMMYFUNCTION("""COMPUTED_VALUE"""),436.15)</f>
        <v>436.15</v>
      </c>
      <c r="E3643" s="2">
        <f>IFERROR(__xludf.DUMMYFUNCTION("""COMPUTED_VALUE"""),463.02)</f>
        <v>463.02</v>
      </c>
      <c r="F3643" s="2">
        <f>IFERROR(__xludf.DUMMYFUNCTION("""COMPUTED_VALUE"""),1.14083811E8)</f>
        <v>114083811</v>
      </c>
    </row>
    <row r="3644">
      <c r="A3644" s="3">
        <f>IFERROR(__xludf.DUMMYFUNCTION("""COMPUTED_VALUE"""),45643.66666666667)</f>
        <v>45643.66667</v>
      </c>
      <c r="B3644" s="2">
        <f>IFERROR(__xludf.DUMMYFUNCTION("""COMPUTED_VALUE"""),475.9)</f>
        <v>475.9</v>
      </c>
      <c r="C3644" s="2">
        <f>IFERROR(__xludf.DUMMYFUNCTION("""COMPUTED_VALUE"""),483.99)</f>
        <v>483.99</v>
      </c>
      <c r="D3644" s="2">
        <f>IFERROR(__xludf.DUMMYFUNCTION("""COMPUTED_VALUE"""),457.51)</f>
        <v>457.51</v>
      </c>
      <c r="E3644" s="2">
        <f>IFERROR(__xludf.DUMMYFUNCTION("""COMPUTED_VALUE"""),479.86)</f>
        <v>479.86</v>
      </c>
      <c r="F3644" s="2">
        <f>IFERROR(__xludf.DUMMYFUNCTION("""COMPUTED_VALUE"""),1.31222978E8)</f>
        <v>131222978</v>
      </c>
    </row>
    <row r="3645">
      <c r="A3645" s="3">
        <f>IFERROR(__xludf.DUMMYFUNCTION("""COMPUTED_VALUE"""),45644.66666666667)</f>
        <v>45644.66667</v>
      </c>
      <c r="B3645" s="2">
        <f>IFERROR(__xludf.DUMMYFUNCTION("""COMPUTED_VALUE"""),466.5)</f>
        <v>466.5</v>
      </c>
      <c r="C3645" s="2">
        <f>IFERROR(__xludf.DUMMYFUNCTION("""COMPUTED_VALUE"""),488.54)</f>
        <v>488.54</v>
      </c>
      <c r="D3645" s="2">
        <f>IFERROR(__xludf.DUMMYFUNCTION("""COMPUTED_VALUE"""),427.01)</f>
        <v>427.01</v>
      </c>
      <c r="E3645" s="2">
        <f>IFERROR(__xludf.DUMMYFUNCTION("""COMPUTED_VALUE"""),440.13)</f>
        <v>440.13</v>
      </c>
      <c r="F3645" s="2">
        <f>IFERROR(__xludf.DUMMYFUNCTION("""COMPUTED_VALUE"""),1.49340788E8)</f>
        <v>149340788</v>
      </c>
    </row>
    <row r="3646">
      <c r="A3646" s="3">
        <f>IFERROR(__xludf.DUMMYFUNCTION("""COMPUTED_VALUE"""),45645.66666666667)</f>
        <v>45645.66667</v>
      </c>
      <c r="B3646" s="2">
        <f>IFERROR(__xludf.DUMMYFUNCTION("""COMPUTED_VALUE"""),451.88)</f>
        <v>451.88</v>
      </c>
      <c r="C3646" s="2">
        <f>IFERROR(__xludf.DUMMYFUNCTION("""COMPUTED_VALUE"""),456.36)</f>
        <v>456.36</v>
      </c>
      <c r="D3646" s="2">
        <f>IFERROR(__xludf.DUMMYFUNCTION("""COMPUTED_VALUE"""),420.02)</f>
        <v>420.02</v>
      </c>
      <c r="E3646" s="2">
        <f>IFERROR(__xludf.DUMMYFUNCTION("""COMPUTED_VALUE"""),436.17)</f>
        <v>436.17</v>
      </c>
      <c r="F3646" s="2">
        <f>IFERROR(__xludf.DUMMYFUNCTION("""COMPUTED_VALUE"""),1.18566146E8)</f>
        <v>118566146</v>
      </c>
    </row>
    <row r="3647">
      <c r="A3647" s="3">
        <f>IFERROR(__xludf.DUMMYFUNCTION("""COMPUTED_VALUE"""),45646.66666666667)</f>
        <v>45646.66667</v>
      </c>
      <c r="B3647" s="2">
        <f>IFERROR(__xludf.DUMMYFUNCTION("""COMPUTED_VALUE"""),425.51)</f>
        <v>425.51</v>
      </c>
      <c r="C3647" s="2">
        <f>IFERROR(__xludf.DUMMYFUNCTION("""COMPUTED_VALUE"""),447.08)</f>
        <v>447.08</v>
      </c>
      <c r="D3647" s="2">
        <f>IFERROR(__xludf.DUMMYFUNCTION("""COMPUTED_VALUE"""),417.64)</f>
        <v>417.64</v>
      </c>
      <c r="E3647" s="2">
        <f>IFERROR(__xludf.DUMMYFUNCTION("""COMPUTED_VALUE"""),421.06)</f>
        <v>421.06</v>
      </c>
      <c r="F3647" s="2">
        <f>IFERROR(__xludf.DUMMYFUNCTION("""COMPUTED_VALUE"""),1.32216176E8)</f>
        <v>132216176</v>
      </c>
    </row>
    <row r="3648">
      <c r="A3648" s="3">
        <f>IFERROR(__xludf.DUMMYFUNCTION("""COMPUTED_VALUE"""),45649.66666666667)</f>
        <v>45649.66667</v>
      </c>
      <c r="B3648" s="2">
        <f>IFERROR(__xludf.DUMMYFUNCTION("""COMPUTED_VALUE"""),431.0)</f>
        <v>431</v>
      </c>
      <c r="C3648" s="2">
        <f>IFERROR(__xludf.DUMMYFUNCTION("""COMPUTED_VALUE"""),434.51)</f>
        <v>434.51</v>
      </c>
      <c r="D3648" s="2">
        <f>IFERROR(__xludf.DUMMYFUNCTION("""COMPUTED_VALUE"""),415.41)</f>
        <v>415.41</v>
      </c>
      <c r="E3648" s="2">
        <f>IFERROR(__xludf.DUMMYFUNCTION("""COMPUTED_VALUE"""),430.6)</f>
        <v>430.6</v>
      </c>
      <c r="F3648" s="2">
        <f>IFERROR(__xludf.DUMMYFUNCTION("""COMPUTED_VALUE"""),7.2698055E7)</f>
        <v>72698055</v>
      </c>
    </row>
    <row r="3649">
      <c r="A3649" s="3">
        <f>IFERROR(__xludf.DUMMYFUNCTION("""COMPUTED_VALUE"""),45650.54513888889)</f>
        <v>45650.54514</v>
      </c>
      <c r="B3649" s="2">
        <f>IFERROR(__xludf.DUMMYFUNCTION("""COMPUTED_VALUE"""),435.9)</f>
        <v>435.9</v>
      </c>
      <c r="C3649" s="2">
        <f>IFERROR(__xludf.DUMMYFUNCTION("""COMPUTED_VALUE"""),462.78)</f>
        <v>462.78</v>
      </c>
      <c r="D3649" s="2">
        <f>IFERROR(__xludf.DUMMYFUNCTION("""COMPUTED_VALUE"""),435.14)</f>
        <v>435.14</v>
      </c>
      <c r="E3649" s="2">
        <f>IFERROR(__xludf.DUMMYFUNCTION("""COMPUTED_VALUE"""),462.28)</f>
        <v>462.28</v>
      </c>
      <c r="F3649" s="2">
        <f>IFERROR(__xludf.DUMMYFUNCTION("""COMPUTED_VALUE"""),5.955175E7)</f>
        <v>59551750</v>
      </c>
    </row>
    <row r="3650">
      <c r="A3650" s="3">
        <f>IFERROR(__xludf.DUMMYFUNCTION("""COMPUTED_VALUE"""),45652.66666666667)</f>
        <v>45652.66667</v>
      </c>
      <c r="B3650" s="2">
        <f>IFERROR(__xludf.DUMMYFUNCTION("""COMPUTED_VALUE"""),465.16)</f>
        <v>465.16</v>
      </c>
      <c r="C3650" s="2">
        <f>IFERROR(__xludf.DUMMYFUNCTION("""COMPUTED_VALUE"""),465.33)</f>
        <v>465.33</v>
      </c>
      <c r="D3650" s="2">
        <f>IFERROR(__xludf.DUMMYFUNCTION("""COMPUTED_VALUE"""),451.02)</f>
        <v>451.02</v>
      </c>
      <c r="E3650" s="2">
        <f>IFERROR(__xludf.DUMMYFUNCTION("""COMPUTED_VALUE"""),454.13)</f>
        <v>454.13</v>
      </c>
      <c r="F3650" s="2">
        <f>IFERROR(__xludf.DUMMYFUNCTION("""COMPUTED_VALUE"""),7.665121E7)</f>
        <v>76651210</v>
      </c>
    </row>
    <row r="3651">
      <c r="A3651" s="3">
        <f>IFERROR(__xludf.DUMMYFUNCTION("""COMPUTED_VALUE"""),45653.66666666667)</f>
        <v>45653.66667</v>
      </c>
      <c r="B3651" s="2">
        <f>IFERROR(__xludf.DUMMYFUNCTION("""COMPUTED_VALUE"""),449.52)</f>
        <v>449.52</v>
      </c>
      <c r="C3651" s="2">
        <f>IFERROR(__xludf.DUMMYFUNCTION("""COMPUTED_VALUE"""),450.0)</f>
        <v>450</v>
      </c>
      <c r="D3651" s="2">
        <f>IFERROR(__xludf.DUMMYFUNCTION("""COMPUTED_VALUE"""),426.5)</f>
        <v>426.5</v>
      </c>
      <c r="E3651" s="2">
        <f>IFERROR(__xludf.DUMMYFUNCTION("""COMPUTED_VALUE"""),431.66)</f>
        <v>431.66</v>
      </c>
      <c r="F3651" s="2">
        <f>IFERROR(__xludf.DUMMYFUNCTION("""COMPUTED_VALUE"""),8.2666821E7)</f>
        <v>82666821</v>
      </c>
    </row>
    <row r="3652">
      <c r="A3652" s="3">
        <f>IFERROR(__xludf.DUMMYFUNCTION("""COMPUTED_VALUE"""),45656.66666666667)</f>
        <v>45656.66667</v>
      </c>
      <c r="B3652" s="2">
        <f>IFERROR(__xludf.DUMMYFUNCTION("""COMPUTED_VALUE"""),419.4)</f>
        <v>419.4</v>
      </c>
      <c r="C3652" s="2">
        <f>IFERROR(__xludf.DUMMYFUNCTION("""COMPUTED_VALUE"""),427.0)</f>
        <v>427</v>
      </c>
      <c r="D3652" s="2">
        <f>IFERROR(__xludf.DUMMYFUNCTION("""COMPUTED_VALUE"""),415.75)</f>
        <v>415.75</v>
      </c>
      <c r="E3652" s="2">
        <f>IFERROR(__xludf.DUMMYFUNCTION("""COMPUTED_VALUE"""),417.41)</f>
        <v>417.41</v>
      </c>
      <c r="F3652" s="2">
        <f>IFERROR(__xludf.DUMMYFUNCTION("""COMPUTED_VALUE"""),6.4941012E7)</f>
        <v>64941012</v>
      </c>
    </row>
    <row r="3653">
      <c r="A3653" s="3">
        <f>IFERROR(__xludf.DUMMYFUNCTION("""COMPUTED_VALUE"""),45657.66666666667)</f>
        <v>45657.66667</v>
      </c>
      <c r="B3653" s="2">
        <f>IFERROR(__xludf.DUMMYFUNCTION("""COMPUTED_VALUE"""),423.79)</f>
        <v>423.79</v>
      </c>
      <c r="C3653" s="2">
        <f>IFERROR(__xludf.DUMMYFUNCTION("""COMPUTED_VALUE"""),427.93)</f>
        <v>427.93</v>
      </c>
      <c r="D3653" s="2">
        <f>IFERROR(__xludf.DUMMYFUNCTION("""COMPUTED_VALUE"""),402.54)</f>
        <v>402.54</v>
      </c>
      <c r="E3653" s="2">
        <f>IFERROR(__xludf.DUMMYFUNCTION("""COMPUTED_VALUE"""),403.84)</f>
        <v>403.84</v>
      </c>
      <c r="F3653" s="2">
        <f>IFERROR(__xludf.DUMMYFUNCTION("""COMPUTED_VALUE"""),7.6825121E7)</f>
        <v>76825121</v>
      </c>
    </row>
    <row r="3654">
      <c r="A3654" s="3">
        <f>IFERROR(__xludf.DUMMYFUNCTION("""COMPUTED_VALUE"""),45659.66666666667)</f>
        <v>45659.66667</v>
      </c>
      <c r="B3654" s="2">
        <f>IFERROR(__xludf.DUMMYFUNCTION("""COMPUTED_VALUE"""),390.1)</f>
        <v>390.1</v>
      </c>
      <c r="C3654" s="2">
        <f>IFERROR(__xludf.DUMMYFUNCTION("""COMPUTED_VALUE"""),392.73)</f>
        <v>392.73</v>
      </c>
      <c r="D3654" s="2">
        <f>IFERROR(__xludf.DUMMYFUNCTION("""COMPUTED_VALUE"""),373.04)</f>
        <v>373.04</v>
      </c>
      <c r="E3654" s="2">
        <f>IFERROR(__xludf.DUMMYFUNCTION("""COMPUTED_VALUE"""),379.28)</f>
        <v>379.28</v>
      </c>
      <c r="F3654" s="2">
        <f>IFERROR(__xludf.DUMMYFUNCTION("""COMPUTED_VALUE"""),1.09710749E8)</f>
        <v>109710749</v>
      </c>
    </row>
    <row r="3655">
      <c r="A3655" s="3">
        <f>IFERROR(__xludf.DUMMYFUNCTION("""COMPUTED_VALUE"""),45660.66666666667)</f>
        <v>45660.66667</v>
      </c>
      <c r="B3655" s="2">
        <f>IFERROR(__xludf.DUMMYFUNCTION("""COMPUTED_VALUE"""),381.48)</f>
        <v>381.48</v>
      </c>
      <c r="C3655" s="2">
        <f>IFERROR(__xludf.DUMMYFUNCTION("""COMPUTED_VALUE"""),411.88)</f>
        <v>411.88</v>
      </c>
      <c r="D3655" s="2">
        <f>IFERROR(__xludf.DUMMYFUNCTION("""COMPUTED_VALUE"""),379.45)</f>
        <v>379.45</v>
      </c>
      <c r="E3655" s="2">
        <f>IFERROR(__xludf.DUMMYFUNCTION("""COMPUTED_VALUE"""),410.44)</f>
        <v>410.44</v>
      </c>
      <c r="F3655" s="2">
        <f>IFERROR(__xludf.DUMMYFUNCTION("""COMPUTED_VALUE"""),9.5423329E7)</f>
        <v>95423329</v>
      </c>
    </row>
    <row r="3656">
      <c r="A3656" s="3">
        <f>IFERROR(__xludf.DUMMYFUNCTION("""COMPUTED_VALUE"""),45663.66666666667)</f>
        <v>45663.66667</v>
      </c>
      <c r="B3656" s="2">
        <f>IFERROR(__xludf.DUMMYFUNCTION("""COMPUTED_VALUE"""),423.2)</f>
        <v>423.2</v>
      </c>
      <c r="C3656" s="2">
        <f>IFERROR(__xludf.DUMMYFUNCTION("""COMPUTED_VALUE"""),426.43)</f>
        <v>426.43</v>
      </c>
      <c r="D3656" s="2">
        <f>IFERROR(__xludf.DUMMYFUNCTION("""COMPUTED_VALUE"""),401.7)</f>
        <v>401.7</v>
      </c>
      <c r="E3656" s="2">
        <f>IFERROR(__xludf.DUMMYFUNCTION("""COMPUTED_VALUE"""),411.05)</f>
        <v>411.05</v>
      </c>
      <c r="F3656" s="2">
        <f>IFERROR(__xludf.DUMMYFUNCTION("""COMPUTED_VALUE"""),8.5516534E7)</f>
        <v>85516534</v>
      </c>
    </row>
    <row r="3657">
      <c r="A3657" s="3">
        <f>IFERROR(__xludf.DUMMYFUNCTION("""COMPUTED_VALUE"""),45664.66666666667)</f>
        <v>45664.66667</v>
      </c>
      <c r="B3657" s="2">
        <f>IFERROR(__xludf.DUMMYFUNCTION("""COMPUTED_VALUE"""),405.83)</f>
        <v>405.83</v>
      </c>
      <c r="C3657" s="2">
        <f>IFERROR(__xludf.DUMMYFUNCTION("""COMPUTED_VALUE"""),414.33)</f>
        <v>414.33</v>
      </c>
      <c r="D3657" s="2">
        <f>IFERROR(__xludf.DUMMYFUNCTION("""COMPUTED_VALUE"""),390.0)</f>
        <v>390</v>
      </c>
      <c r="E3657" s="2">
        <f>IFERROR(__xludf.DUMMYFUNCTION("""COMPUTED_VALUE"""),394.36)</f>
        <v>394.36</v>
      </c>
      <c r="F3657" s="2">
        <f>IFERROR(__xludf.DUMMYFUNCTION("""COMPUTED_VALUE"""),7.5699525E7)</f>
        <v>75699525</v>
      </c>
    </row>
    <row r="3658">
      <c r="A3658" s="3">
        <f>IFERROR(__xludf.DUMMYFUNCTION("""COMPUTED_VALUE"""),45665.66666666667)</f>
        <v>45665.66667</v>
      </c>
      <c r="B3658" s="2">
        <f>IFERROR(__xludf.DUMMYFUNCTION("""COMPUTED_VALUE"""),392.95)</f>
        <v>392.95</v>
      </c>
      <c r="C3658" s="2">
        <f>IFERROR(__xludf.DUMMYFUNCTION("""COMPUTED_VALUE"""),402.5)</f>
        <v>402.5</v>
      </c>
      <c r="D3658" s="2">
        <f>IFERROR(__xludf.DUMMYFUNCTION("""COMPUTED_VALUE"""),387.4)</f>
        <v>387.4</v>
      </c>
      <c r="E3658" s="2">
        <f>IFERROR(__xludf.DUMMYFUNCTION("""COMPUTED_VALUE"""),394.94)</f>
        <v>394.94</v>
      </c>
      <c r="F3658" s="2">
        <f>IFERROR(__xludf.DUMMYFUNCTION("""COMPUTED_VALUE"""),7.3038805E7)</f>
        <v>73038805</v>
      </c>
    </row>
    <row r="3659">
      <c r="A3659" s="3">
        <f>IFERROR(__xludf.DUMMYFUNCTION("""COMPUTED_VALUE"""),45667.66666666667)</f>
        <v>45667.66667</v>
      </c>
      <c r="B3659" s="2">
        <f>IFERROR(__xludf.DUMMYFUNCTION("""COMPUTED_VALUE"""),391.4)</f>
        <v>391.4</v>
      </c>
      <c r="C3659" s="2">
        <f>IFERROR(__xludf.DUMMYFUNCTION("""COMPUTED_VALUE"""),399.28)</f>
        <v>399.28</v>
      </c>
      <c r="D3659" s="2">
        <f>IFERROR(__xludf.DUMMYFUNCTION("""COMPUTED_VALUE"""),377.29)</f>
        <v>377.29</v>
      </c>
      <c r="E3659" s="2">
        <f>IFERROR(__xludf.DUMMYFUNCTION("""COMPUTED_VALUE"""),394.74)</f>
        <v>394.74</v>
      </c>
      <c r="F3659" s="2">
        <f>IFERROR(__xludf.DUMMYFUNCTION("""COMPUTED_VALUE"""),6.2287333E7)</f>
        <v>62287333</v>
      </c>
    </row>
    <row r="3660">
      <c r="A3660" s="3">
        <f>IFERROR(__xludf.DUMMYFUNCTION("""COMPUTED_VALUE"""),45670.66666666667)</f>
        <v>45670.66667</v>
      </c>
      <c r="B3660" s="2">
        <f>IFERROR(__xludf.DUMMYFUNCTION("""COMPUTED_VALUE"""),383.21)</f>
        <v>383.21</v>
      </c>
      <c r="C3660" s="2">
        <f>IFERROR(__xludf.DUMMYFUNCTION("""COMPUTED_VALUE"""),403.79)</f>
        <v>403.79</v>
      </c>
      <c r="D3660" s="2">
        <f>IFERROR(__xludf.DUMMYFUNCTION("""COMPUTED_VALUE"""),380.07)</f>
        <v>380.07</v>
      </c>
      <c r="E3660" s="2">
        <f>IFERROR(__xludf.DUMMYFUNCTION("""COMPUTED_VALUE"""),403.31)</f>
        <v>403.31</v>
      </c>
      <c r="F3660" s="2">
        <f>IFERROR(__xludf.DUMMYFUNCTION("""COMPUTED_VALUE"""),6.7580494E7)</f>
        <v>67580494</v>
      </c>
    </row>
    <row r="3661">
      <c r="A3661" s="3">
        <f>IFERROR(__xludf.DUMMYFUNCTION("""COMPUTED_VALUE"""),45671.66666666667)</f>
        <v>45671.66667</v>
      </c>
      <c r="B3661" s="2">
        <f>IFERROR(__xludf.DUMMYFUNCTION("""COMPUTED_VALUE"""),414.34)</f>
        <v>414.34</v>
      </c>
      <c r="C3661" s="2">
        <f>IFERROR(__xludf.DUMMYFUNCTION("""COMPUTED_VALUE"""),422.64)</f>
        <v>422.64</v>
      </c>
      <c r="D3661" s="2">
        <f>IFERROR(__xludf.DUMMYFUNCTION("""COMPUTED_VALUE"""),394.54)</f>
        <v>394.54</v>
      </c>
      <c r="E3661" s="2">
        <f>IFERROR(__xludf.DUMMYFUNCTION("""COMPUTED_VALUE"""),396.36)</f>
        <v>396.36</v>
      </c>
      <c r="F3661" s="2">
        <f>IFERROR(__xludf.DUMMYFUNCTION("""COMPUTED_VALUE"""),8.4565022E7)</f>
        <v>84565022</v>
      </c>
    </row>
    <row r="3662">
      <c r="A3662" s="3">
        <f>IFERROR(__xludf.DUMMYFUNCTION("""COMPUTED_VALUE"""),45672.66666666667)</f>
        <v>45672.66667</v>
      </c>
      <c r="B3662" s="2">
        <f>IFERROR(__xludf.DUMMYFUNCTION("""COMPUTED_VALUE"""),409.9)</f>
        <v>409.9</v>
      </c>
      <c r="C3662" s="2">
        <f>IFERROR(__xludf.DUMMYFUNCTION("""COMPUTED_VALUE"""),429.8)</f>
        <v>429.8</v>
      </c>
      <c r="D3662" s="2">
        <f>IFERROR(__xludf.DUMMYFUNCTION("""COMPUTED_VALUE"""),405.66)</f>
        <v>405.66</v>
      </c>
      <c r="E3662" s="2">
        <f>IFERROR(__xludf.DUMMYFUNCTION("""COMPUTED_VALUE"""),428.22)</f>
        <v>428.22</v>
      </c>
      <c r="F3662" s="2">
        <f>IFERROR(__xludf.DUMMYFUNCTION("""COMPUTED_VALUE"""),8.137546E7)</f>
        <v>81375460</v>
      </c>
    </row>
    <row r="3663">
      <c r="A3663" s="3">
        <f>IFERROR(__xludf.DUMMYFUNCTION("""COMPUTED_VALUE"""),45673.66666666667)</f>
        <v>45673.66667</v>
      </c>
      <c r="B3663" s="2">
        <f>IFERROR(__xludf.DUMMYFUNCTION("""COMPUTED_VALUE"""),423.49)</f>
        <v>423.49</v>
      </c>
      <c r="C3663" s="2">
        <f>IFERROR(__xludf.DUMMYFUNCTION("""COMPUTED_VALUE"""),424.0)</f>
        <v>424</v>
      </c>
      <c r="D3663" s="2">
        <f>IFERROR(__xludf.DUMMYFUNCTION("""COMPUTED_VALUE"""),409.13)</f>
        <v>409.13</v>
      </c>
      <c r="E3663" s="2">
        <f>IFERROR(__xludf.DUMMYFUNCTION("""COMPUTED_VALUE"""),413.82)</f>
        <v>413.82</v>
      </c>
      <c r="F3663" s="2">
        <f>IFERROR(__xludf.DUMMYFUNCTION("""COMPUTED_VALUE"""),6.8335151E7)</f>
        <v>68335151</v>
      </c>
    </row>
    <row r="3664">
      <c r="A3664" s="3">
        <f>IFERROR(__xludf.DUMMYFUNCTION("""COMPUTED_VALUE"""),45674.66666666667)</f>
        <v>45674.66667</v>
      </c>
      <c r="B3664" s="2">
        <f>IFERROR(__xludf.DUMMYFUNCTION("""COMPUTED_VALUE"""),421.5)</f>
        <v>421.5</v>
      </c>
      <c r="C3664" s="2">
        <f>IFERROR(__xludf.DUMMYFUNCTION("""COMPUTED_VALUE"""),439.74)</f>
        <v>439.74</v>
      </c>
      <c r="D3664" s="2">
        <f>IFERROR(__xludf.DUMMYFUNCTION("""COMPUTED_VALUE"""),419.75)</f>
        <v>419.75</v>
      </c>
      <c r="E3664" s="2">
        <f>IFERROR(__xludf.DUMMYFUNCTION("""COMPUTED_VALUE"""),426.5)</f>
        <v>426.5</v>
      </c>
      <c r="F3664" s="2">
        <f>IFERROR(__xludf.DUMMYFUNCTION("""COMPUTED_VALUE"""),9.4991429E7)</f>
        <v>94991429</v>
      </c>
    </row>
    <row r="3665">
      <c r="A3665" s="3">
        <f>IFERROR(__xludf.DUMMYFUNCTION("""COMPUTED_VALUE"""),45678.66666666667)</f>
        <v>45678.66667</v>
      </c>
      <c r="B3665" s="2">
        <f>IFERROR(__xludf.DUMMYFUNCTION("""COMPUTED_VALUE"""),432.64)</f>
        <v>432.64</v>
      </c>
      <c r="C3665" s="2">
        <f>IFERROR(__xludf.DUMMYFUNCTION("""COMPUTED_VALUE"""),433.2)</f>
        <v>433.2</v>
      </c>
      <c r="D3665" s="2">
        <f>IFERROR(__xludf.DUMMYFUNCTION("""COMPUTED_VALUE"""),406.31)</f>
        <v>406.31</v>
      </c>
      <c r="E3665" s="2">
        <f>IFERROR(__xludf.DUMMYFUNCTION("""COMPUTED_VALUE"""),424.07)</f>
        <v>424.07</v>
      </c>
      <c r="F3665" s="2">
        <f>IFERROR(__xludf.DUMMYFUNCTION("""COMPUTED_VALUE"""),8.7320894E7)</f>
        <v>87320894</v>
      </c>
    </row>
    <row r="3666">
      <c r="A3666" s="3">
        <f>IFERROR(__xludf.DUMMYFUNCTION("""COMPUTED_VALUE"""),45679.66666666667)</f>
        <v>45679.66667</v>
      </c>
      <c r="B3666" s="2">
        <f>IFERROR(__xludf.DUMMYFUNCTION("""COMPUTED_VALUE"""),416.81)</f>
        <v>416.81</v>
      </c>
      <c r="C3666" s="2">
        <f>IFERROR(__xludf.DUMMYFUNCTION("""COMPUTED_VALUE"""),428.0)</f>
        <v>428</v>
      </c>
      <c r="D3666" s="2">
        <f>IFERROR(__xludf.DUMMYFUNCTION("""COMPUTED_VALUE"""),414.59)</f>
        <v>414.59</v>
      </c>
      <c r="E3666" s="2">
        <f>IFERROR(__xludf.DUMMYFUNCTION("""COMPUTED_VALUE"""),415.11)</f>
        <v>415.11</v>
      </c>
      <c r="F3666" s="2">
        <f>IFERROR(__xludf.DUMMYFUNCTION("""COMPUTED_VALUE"""),6.0963342E7)</f>
        <v>60963342</v>
      </c>
    </row>
    <row r="3667">
      <c r="A3667" s="3">
        <f>IFERROR(__xludf.DUMMYFUNCTION("""COMPUTED_VALUE"""),45680.66666666667)</f>
        <v>45680.66667</v>
      </c>
      <c r="B3667" s="2">
        <f>IFERROR(__xludf.DUMMYFUNCTION("""COMPUTED_VALUE"""),416.06)</f>
        <v>416.06</v>
      </c>
      <c r="C3667" s="2">
        <f>IFERROR(__xludf.DUMMYFUNCTION("""COMPUTED_VALUE"""),420.73)</f>
        <v>420.73</v>
      </c>
      <c r="D3667" s="2">
        <f>IFERROR(__xludf.DUMMYFUNCTION("""COMPUTED_VALUE"""),408.95)</f>
        <v>408.95</v>
      </c>
      <c r="E3667" s="2">
        <f>IFERROR(__xludf.DUMMYFUNCTION("""COMPUTED_VALUE"""),412.38)</f>
        <v>412.38</v>
      </c>
      <c r="F3667" s="2">
        <f>IFERROR(__xludf.DUMMYFUNCTION("""COMPUTED_VALUE"""),5.0690592E7)</f>
        <v>50690592</v>
      </c>
    </row>
    <row r="3668">
      <c r="A3668" s="3">
        <f>IFERROR(__xludf.DUMMYFUNCTION("""COMPUTED_VALUE"""),45681.66666666667)</f>
        <v>45681.66667</v>
      </c>
      <c r="B3668" s="2">
        <f>IFERROR(__xludf.DUMMYFUNCTION("""COMPUTED_VALUE"""),414.45)</f>
        <v>414.45</v>
      </c>
      <c r="C3668" s="2">
        <f>IFERROR(__xludf.DUMMYFUNCTION("""COMPUTED_VALUE"""),418.88)</f>
        <v>418.88</v>
      </c>
      <c r="D3668" s="2">
        <f>IFERROR(__xludf.DUMMYFUNCTION("""COMPUTED_VALUE"""),405.78)</f>
        <v>405.78</v>
      </c>
      <c r="E3668" s="2">
        <f>IFERROR(__xludf.DUMMYFUNCTION("""COMPUTED_VALUE"""),406.58)</f>
        <v>406.58</v>
      </c>
      <c r="F3668" s="2">
        <f>IFERROR(__xludf.DUMMYFUNCTION("""COMPUTED_VALUE"""),5.6427149E7)</f>
        <v>56427149</v>
      </c>
    </row>
    <row r="3669">
      <c r="A3669" s="3">
        <f>IFERROR(__xludf.DUMMYFUNCTION("""COMPUTED_VALUE"""),45684.66666666667)</f>
        <v>45684.66667</v>
      </c>
      <c r="B3669" s="2">
        <f>IFERROR(__xludf.DUMMYFUNCTION("""COMPUTED_VALUE"""),394.8)</f>
        <v>394.8</v>
      </c>
      <c r="C3669" s="2">
        <f>IFERROR(__xludf.DUMMYFUNCTION("""COMPUTED_VALUE"""),406.69)</f>
        <v>406.69</v>
      </c>
      <c r="D3669" s="2">
        <f>IFERROR(__xludf.DUMMYFUNCTION("""COMPUTED_VALUE"""),389.0)</f>
        <v>389</v>
      </c>
      <c r="E3669" s="2">
        <f>IFERROR(__xludf.DUMMYFUNCTION("""COMPUTED_VALUE"""),397.15)</f>
        <v>397.15</v>
      </c>
      <c r="F3669" s="2">
        <f>IFERROR(__xludf.DUMMYFUNCTION("""COMPUTED_VALUE"""),5.812551E7)</f>
        <v>58125510</v>
      </c>
    </row>
    <row r="3670">
      <c r="A3670" s="3">
        <f>IFERROR(__xludf.DUMMYFUNCTION("""COMPUTED_VALUE"""),45685.66666666667)</f>
        <v>45685.66667</v>
      </c>
      <c r="B3670" s="2">
        <f>IFERROR(__xludf.DUMMYFUNCTION("""COMPUTED_VALUE"""),396.91)</f>
        <v>396.91</v>
      </c>
      <c r="C3670" s="2">
        <f>IFERROR(__xludf.DUMMYFUNCTION("""COMPUTED_VALUE"""),400.59)</f>
        <v>400.59</v>
      </c>
      <c r="D3670" s="2">
        <f>IFERROR(__xludf.DUMMYFUNCTION("""COMPUTED_VALUE"""),386.5)</f>
        <v>386.5</v>
      </c>
      <c r="E3670" s="2">
        <f>IFERROR(__xludf.DUMMYFUNCTION("""COMPUTED_VALUE"""),398.09)</f>
        <v>398.09</v>
      </c>
      <c r="F3670" s="2">
        <f>IFERROR(__xludf.DUMMYFUNCTION("""COMPUTED_VALUE"""),4.8910676E7)</f>
        <v>48910676</v>
      </c>
    </row>
    <row r="3671">
      <c r="A3671" s="3">
        <f>IFERROR(__xludf.DUMMYFUNCTION("""COMPUTED_VALUE"""),45686.66666666667)</f>
        <v>45686.66667</v>
      </c>
      <c r="B3671" s="2">
        <f>IFERROR(__xludf.DUMMYFUNCTION("""COMPUTED_VALUE"""),395.21)</f>
        <v>395.21</v>
      </c>
      <c r="C3671" s="2">
        <f>IFERROR(__xludf.DUMMYFUNCTION("""COMPUTED_VALUE"""),398.59)</f>
        <v>398.59</v>
      </c>
      <c r="D3671" s="2">
        <f>IFERROR(__xludf.DUMMYFUNCTION("""COMPUTED_VALUE"""),384.48)</f>
        <v>384.48</v>
      </c>
      <c r="E3671" s="2">
        <f>IFERROR(__xludf.DUMMYFUNCTION("""COMPUTED_VALUE"""),389.1)</f>
        <v>389.1</v>
      </c>
      <c r="F3671" s="2">
        <f>IFERROR(__xludf.DUMMYFUNCTION("""COMPUTED_VALUE"""),6.8033648E7)</f>
        <v>68033648</v>
      </c>
    </row>
    <row r="3672">
      <c r="A3672" s="3">
        <f>IFERROR(__xludf.DUMMYFUNCTION("""COMPUTED_VALUE"""),45687.66666666667)</f>
        <v>45687.66667</v>
      </c>
      <c r="B3672" s="2">
        <f>IFERROR(__xludf.DUMMYFUNCTION("""COMPUTED_VALUE"""),410.78)</f>
        <v>410.78</v>
      </c>
      <c r="C3672" s="2">
        <f>IFERROR(__xludf.DUMMYFUNCTION("""COMPUTED_VALUE"""),412.5)</f>
        <v>412.5</v>
      </c>
      <c r="D3672" s="2">
        <f>IFERROR(__xludf.DUMMYFUNCTION("""COMPUTED_VALUE"""),384.41)</f>
        <v>384.41</v>
      </c>
      <c r="E3672" s="2">
        <f>IFERROR(__xludf.DUMMYFUNCTION("""COMPUTED_VALUE"""),400.28)</f>
        <v>400.28</v>
      </c>
      <c r="F3672" s="2">
        <f>IFERROR(__xludf.DUMMYFUNCTION("""COMPUTED_VALUE"""),9.8092879E7)</f>
        <v>98092879</v>
      </c>
    </row>
    <row r="3673">
      <c r="A3673" s="3">
        <f>IFERROR(__xludf.DUMMYFUNCTION("""COMPUTED_VALUE"""),45688.66666666667)</f>
        <v>45688.66667</v>
      </c>
      <c r="B3673" s="2">
        <f>IFERROR(__xludf.DUMMYFUNCTION("""COMPUTED_VALUE"""),401.53)</f>
        <v>401.53</v>
      </c>
      <c r="C3673" s="2">
        <f>IFERROR(__xludf.DUMMYFUNCTION("""COMPUTED_VALUE"""),419.99)</f>
        <v>419.99</v>
      </c>
      <c r="D3673" s="2">
        <f>IFERROR(__xludf.DUMMYFUNCTION("""COMPUTED_VALUE"""),401.34)</f>
        <v>401.34</v>
      </c>
      <c r="E3673" s="2">
        <f>IFERROR(__xludf.DUMMYFUNCTION("""COMPUTED_VALUE"""),404.6)</f>
        <v>404.6</v>
      </c>
      <c r="F3673" s="2">
        <f>IFERROR(__xludf.DUMMYFUNCTION("""COMPUTED_VALUE"""),8.3568219E7)</f>
        <v>83568219</v>
      </c>
    </row>
    <row r="3674">
      <c r="A3674" s="3">
        <f>IFERROR(__xludf.DUMMYFUNCTION("""COMPUTED_VALUE"""),45691.66666666667)</f>
        <v>45691.66667</v>
      </c>
      <c r="B3674" s="2">
        <f>IFERROR(__xludf.DUMMYFUNCTION("""COMPUTED_VALUE"""),386.68)</f>
        <v>386.68</v>
      </c>
      <c r="C3674" s="2">
        <f>IFERROR(__xludf.DUMMYFUNCTION("""COMPUTED_VALUE"""),389.17)</f>
        <v>389.17</v>
      </c>
      <c r="D3674" s="2">
        <f>IFERROR(__xludf.DUMMYFUNCTION("""COMPUTED_VALUE"""),374.36)</f>
        <v>374.36</v>
      </c>
      <c r="E3674" s="2">
        <f>IFERROR(__xludf.DUMMYFUNCTION("""COMPUTED_VALUE"""),383.68)</f>
        <v>383.68</v>
      </c>
      <c r="F3674" s="2">
        <f>IFERROR(__xludf.DUMMYFUNCTION("""COMPUTED_VALUE"""),9.3732122E7)</f>
        <v>93732122</v>
      </c>
    </row>
    <row r="3675">
      <c r="A3675" s="3">
        <f>IFERROR(__xludf.DUMMYFUNCTION("""COMPUTED_VALUE"""),45692.66666666667)</f>
        <v>45692.66667</v>
      </c>
      <c r="B3675" s="2">
        <f>IFERROR(__xludf.DUMMYFUNCTION("""COMPUTED_VALUE"""),382.63)</f>
        <v>382.63</v>
      </c>
      <c r="C3675" s="2">
        <f>IFERROR(__xludf.DUMMYFUNCTION("""COMPUTED_VALUE"""),394.0)</f>
        <v>394</v>
      </c>
      <c r="D3675" s="2">
        <f>IFERROR(__xludf.DUMMYFUNCTION("""COMPUTED_VALUE"""),381.4)</f>
        <v>381.4</v>
      </c>
      <c r="E3675" s="2">
        <f>IFERROR(__xludf.DUMMYFUNCTION("""COMPUTED_VALUE"""),392.21)</f>
        <v>392.21</v>
      </c>
      <c r="F3675" s="2">
        <f>IFERROR(__xludf.DUMMYFUNCTION("""COMPUTED_VALUE"""),5.7072235E7)</f>
        <v>57072235</v>
      </c>
    </row>
    <row r="3676">
      <c r="A3676" s="3">
        <f>IFERROR(__xludf.DUMMYFUNCTION("""COMPUTED_VALUE"""),45693.66666666667)</f>
        <v>45693.66667</v>
      </c>
      <c r="B3676" s="2">
        <f>IFERROR(__xludf.DUMMYFUNCTION("""COMPUTED_VALUE"""),387.51)</f>
        <v>387.51</v>
      </c>
      <c r="C3676" s="2">
        <f>IFERROR(__xludf.DUMMYFUNCTION("""COMPUTED_VALUE"""),388.39)</f>
        <v>388.39</v>
      </c>
      <c r="D3676" s="2">
        <f>IFERROR(__xludf.DUMMYFUNCTION("""COMPUTED_VALUE"""),375.53)</f>
        <v>375.53</v>
      </c>
      <c r="E3676" s="2">
        <f>IFERROR(__xludf.DUMMYFUNCTION("""COMPUTED_VALUE"""),378.17)</f>
        <v>378.17</v>
      </c>
      <c r="F3676" s="2">
        <f>IFERROR(__xludf.DUMMYFUNCTION("""COMPUTED_VALUE"""),5.7614721E7)</f>
        <v>57614721</v>
      </c>
    </row>
    <row r="3677">
      <c r="A3677" s="3">
        <f>IFERROR(__xludf.DUMMYFUNCTION("""COMPUTED_VALUE"""),45694.66666666667)</f>
        <v>45694.66667</v>
      </c>
      <c r="B3677" s="2">
        <f>IFERROR(__xludf.DUMMYFUNCTION("""COMPUTED_VALUE"""),373.03)</f>
        <v>373.03</v>
      </c>
      <c r="C3677" s="2">
        <f>IFERROR(__xludf.DUMMYFUNCTION("""COMPUTED_VALUE"""),375.4)</f>
        <v>375.4</v>
      </c>
      <c r="D3677" s="2">
        <f>IFERROR(__xludf.DUMMYFUNCTION("""COMPUTED_VALUE"""),363.18)</f>
        <v>363.18</v>
      </c>
      <c r="E3677" s="2">
        <f>IFERROR(__xludf.DUMMYFUNCTION("""COMPUTED_VALUE"""),374.32)</f>
        <v>374.32</v>
      </c>
      <c r="F3677" s="2">
        <f>IFERROR(__xludf.DUMMYFUNCTION("""COMPUTED_VALUE"""),7.791823E7)</f>
        <v>77918230</v>
      </c>
    </row>
    <row r="3678">
      <c r="A3678" s="3">
        <f>IFERROR(__xludf.DUMMYFUNCTION("""COMPUTED_VALUE"""),45695.66666666667)</f>
        <v>45695.66667</v>
      </c>
      <c r="B3678" s="2">
        <f>IFERROR(__xludf.DUMMYFUNCTION("""COMPUTED_VALUE"""),370.19)</f>
        <v>370.19</v>
      </c>
      <c r="C3678" s="2">
        <f>IFERROR(__xludf.DUMMYFUNCTION("""COMPUTED_VALUE"""),380.55)</f>
        <v>380.55</v>
      </c>
      <c r="D3678" s="2">
        <f>IFERROR(__xludf.DUMMYFUNCTION("""COMPUTED_VALUE"""),360.34)</f>
        <v>360.34</v>
      </c>
      <c r="E3678" s="2">
        <f>IFERROR(__xludf.DUMMYFUNCTION("""COMPUTED_VALUE"""),361.62)</f>
        <v>361.62</v>
      </c>
      <c r="F3678" s="2">
        <f>IFERROR(__xludf.DUMMYFUNCTION("""COMPUTED_VALUE"""),7.0298258E7)</f>
        <v>70298258</v>
      </c>
    </row>
    <row r="3679">
      <c r="A3679" s="3">
        <f>IFERROR(__xludf.DUMMYFUNCTION("""COMPUTED_VALUE"""),45698.66666666667)</f>
        <v>45698.66667</v>
      </c>
      <c r="B3679" s="2">
        <f>IFERROR(__xludf.DUMMYFUNCTION("""COMPUTED_VALUE"""),356.21)</f>
        <v>356.21</v>
      </c>
      <c r="C3679" s="2">
        <f>IFERROR(__xludf.DUMMYFUNCTION("""COMPUTED_VALUE"""),362.7)</f>
        <v>362.7</v>
      </c>
      <c r="D3679" s="2">
        <f>IFERROR(__xludf.DUMMYFUNCTION("""COMPUTED_VALUE"""),350.51)</f>
        <v>350.51</v>
      </c>
      <c r="E3679" s="2">
        <f>IFERROR(__xludf.DUMMYFUNCTION("""COMPUTED_VALUE"""),350.73)</f>
        <v>350.73</v>
      </c>
      <c r="F3679" s="2">
        <f>IFERROR(__xludf.DUMMYFUNCTION("""COMPUTED_VALUE"""),7.7514903E7)</f>
        <v>77514903</v>
      </c>
    </row>
    <row r="3680">
      <c r="A3680" s="3">
        <f>IFERROR(__xludf.DUMMYFUNCTION("""COMPUTED_VALUE"""),45699.66666666667)</f>
        <v>45699.66667</v>
      </c>
      <c r="B3680" s="2">
        <f>IFERROR(__xludf.DUMMYFUNCTION("""COMPUTED_VALUE"""),345.8)</f>
        <v>345.8</v>
      </c>
      <c r="C3680" s="2">
        <f>IFERROR(__xludf.DUMMYFUNCTION("""COMPUTED_VALUE"""),349.37)</f>
        <v>349.37</v>
      </c>
      <c r="D3680" s="2">
        <f>IFERROR(__xludf.DUMMYFUNCTION("""COMPUTED_VALUE"""),325.1)</f>
        <v>325.1</v>
      </c>
      <c r="E3680" s="2">
        <f>IFERROR(__xludf.DUMMYFUNCTION("""COMPUTED_VALUE"""),328.5)</f>
        <v>328.5</v>
      </c>
      <c r="F3680" s="2">
        <f>IFERROR(__xludf.DUMMYFUNCTION("""COMPUTED_VALUE"""),1.185434E8)</f>
        <v>118543400</v>
      </c>
    </row>
    <row r="3681">
      <c r="A3681" s="3">
        <f>IFERROR(__xludf.DUMMYFUNCTION("""COMPUTED_VALUE"""),45700.66666666667)</f>
        <v>45700.66667</v>
      </c>
      <c r="B3681" s="2">
        <f>IFERROR(__xludf.DUMMYFUNCTION("""COMPUTED_VALUE"""),329.94)</f>
        <v>329.94</v>
      </c>
      <c r="C3681" s="2">
        <f>IFERROR(__xludf.DUMMYFUNCTION("""COMPUTED_VALUE"""),346.4)</f>
        <v>346.4</v>
      </c>
      <c r="D3681" s="2">
        <f>IFERROR(__xludf.DUMMYFUNCTION("""COMPUTED_VALUE"""),329.12)</f>
        <v>329.12</v>
      </c>
      <c r="E3681" s="2">
        <f>IFERROR(__xludf.DUMMYFUNCTION("""COMPUTED_VALUE"""),336.51)</f>
        <v>336.51</v>
      </c>
      <c r="F3681" s="2">
        <f>IFERROR(__xludf.DUMMYFUNCTION("""COMPUTED_VALUE"""),1.05382729E8)</f>
        <v>105382729</v>
      </c>
    </row>
    <row r="3682">
      <c r="A3682" s="3">
        <f>IFERROR(__xludf.DUMMYFUNCTION("""COMPUTED_VALUE"""),45701.66666666667)</f>
        <v>45701.66667</v>
      </c>
      <c r="B3682" s="2">
        <f>IFERROR(__xludf.DUMMYFUNCTION("""COMPUTED_VALUE"""),345.0)</f>
        <v>345</v>
      </c>
      <c r="C3682" s="2">
        <f>IFERROR(__xludf.DUMMYFUNCTION("""COMPUTED_VALUE"""),358.69)</f>
        <v>358.69</v>
      </c>
      <c r="D3682" s="2">
        <f>IFERROR(__xludf.DUMMYFUNCTION("""COMPUTED_VALUE"""),342.85)</f>
        <v>342.85</v>
      </c>
      <c r="E3682" s="2">
        <f>IFERROR(__xludf.DUMMYFUNCTION("""COMPUTED_VALUE"""),355.94)</f>
        <v>355.94</v>
      </c>
      <c r="F3682" s="2">
        <f>IFERROR(__xludf.DUMMYFUNCTION("""COMPUTED_VALUE"""),8.9441519E7)</f>
        <v>89441519</v>
      </c>
    </row>
    <row r="3683">
      <c r="A3683" s="3">
        <f>IFERROR(__xludf.DUMMYFUNCTION("""COMPUTED_VALUE"""),45702.66666666667)</f>
        <v>45702.66667</v>
      </c>
      <c r="B3683" s="2">
        <f>IFERROR(__xludf.DUMMYFUNCTION("""COMPUTED_VALUE"""),360.62)</f>
        <v>360.62</v>
      </c>
      <c r="C3683" s="2">
        <f>IFERROR(__xludf.DUMMYFUNCTION("""COMPUTED_VALUE"""),362.0)</f>
        <v>362</v>
      </c>
      <c r="D3683" s="2">
        <f>IFERROR(__xludf.DUMMYFUNCTION("""COMPUTED_VALUE"""),347.5)</f>
        <v>347.5</v>
      </c>
      <c r="E3683" s="2">
        <f>IFERROR(__xludf.DUMMYFUNCTION("""COMPUTED_VALUE"""),355.84)</f>
        <v>355.84</v>
      </c>
      <c r="F3683" s="2">
        <f>IFERROR(__xludf.DUMMYFUNCTION("""COMPUTED_VALUE"""),6.8277279E7)</f>
        <v>68277279</v>
      </c>
    </row>
    <row r="3684">
      <c r="A3684" s="3">
        <f>IFERROR(__xludf.DUMMYFUNCTION("""COMPUTED_VALUE"""),45706.66666666667)</f>
        <v>45706.66667</v>
      </c>
      <c r="B3684" s="2">
        <f>IFERROR(__xludf.DUMMYFUNCTION("""COMPUTED_VALUE"""),355.01)</f>
        <v>355.01</v>
      </c>
      <c r="C3684" s="2">
        <f>IFERROR(__xludf.DUMMYFUNCTION("""COMPUTED_VALUE"""),359.1)</f>
        <v>359.1</v>
      </c>
      <c r="D3684" s="2">
        <f>IFERROR(__xludf.DUMMYFUNCTION("""COMPUTED_VALUE"""),350.02)</f>
        <v>350.02</v>
      </c>
      <c r="E3684" s="2">
        <f>IFERROR(__xludf.DUMMYFUNCTION("""COMPUTED_VALUE"""),354.11)</f>
        <v>354.11</v>
      </c>
      <c r="F3684" s="2">
        <f>IFERROR(__xludf.DUMMYFUNCTION("""COMPUTED_VALUE"""),5.1631702E7)</f>
        <v>51631702</v>
      </c>
    </row>
    <row r="3685">
      <c r="A3685" s="3">
        <f>IFERROR(__xludf.DUMMYFUNCTION("""COMPUTED_VALUE"""),45707.66666666667)</f>
        <v>45707.66667</v>
      </c>
      <c r="B3685" s="2">
        <f>IFERROR(__xludf.DUMMYFUNCTION("""COMPUTED_VALUE"""),354.0)</f>
        <v>354</v>
      </c>
      <c r="C3685" s="2">
        <f>IFERROR(__xludf.DUMMYFUNCTION("""COMPUTED_VALUE"""),367.34)</f>
        <v>367.34</v>
      </c>
      <c r="D3685" s="2">
        <f>IFERROR(__xludf.DUMMYFUNCTION("""COMPUTED_VALUE"""),353.67)</f>
        <v>353.67</v>
      </c>
      <c r="E3685" s="2">
        <f>IFERROR(__xludf.DUMMYFUNCTION("""COMPUTED_VALUE"""),360.56)</f>
        <v>360.56</v>
      </c>
      <c r="F3685" s="2">
        <f>IFERROR(__xludf.DUMMYFUNCTION("""COMPUTED_VALUE"""),6.7094374E7)</f>
        <v>67094374</v>
      </c>
    </row>
    <row r="3686">
      <c r="A3686" s="3">
        <f>IFERROR(__xludf.DUMMYFUNCTION("""COMPUTED_VALUE"""),45708.66666666667)</f>
        <v>45708.66667</v>
      </c>
      <c r="B3686" s="2">
        <f>IFERROR(__xludf.DUMMYFUNCTION("""COMPUTED_VALUE"""),361.51)</f>
        <v>361.51</v>
      </c>
      <c r="C3686" s="2">
        <f>IFERROR(__xludf.DUMMYFUNCTION("""COMPUTED_VALUE"""),362.3)</f>
        <v>362.3</v>
      </c>
      <c r="D3686" s="2">
        <f>IFERROR(__xludf.DUMMYFUNCTION("""COMPUTED_VALUE"""),348.0)</f>
        <v>348</v>
      </c>
      <c r="E3686" s="2">
        <f>IFERROR(__xludf.DUMMYFUNCTION("""COMPUTED_VALUE"""),354.4)</f>
        <v>354.4</v>
      </c>
      <c r="F3686" s="2">
        <f>IFERROR(__xludf.DUMMYFUNCTION("""COMPUTED_VALUE"""),4.5965354E7)</f>
        <v>45965354</v>
      </c>
    </row>
    <row r="3687">
      <c r="A3687" s="3">
        <f>IFERROR(__xludf.DUMMYFUNCTION("""COMPUTED_VALUE"""),45709.66666666667)</f>
        <v>45709.66667</v>
      </c>
      <c r="B3687" s="2">
        <f>IFERROR(__xludf.DUMMYFUNCTION("""COMPUTED_VALUE"""),353.44)</f>
        <v>353.44</v>
      </c>
      <c r="C3687" s="2">
        <f>IFERROR(__xludf.DUMMYFUNCTION("""COMPUTED_VALUE"""),354.98)</f>
        <v>354.98</v>
      </c>
      <c r="D3687" s="2">
        <f>IFERROR(__xludf.DUMMYFUNCTION("""COMPUTED_VALUE"""),334.42)</f>
        <v>334.42</v>
      </c>
      <c r="E3687" s="2">
        <f>IFERROR(__xludf.DUMMYFUNCTION("""COMPUTED_VALUE"""),337.8)</f>
        <v>337.8</v>
      </c>
      <c r="F3687" s="2">
        <f>IFERROR(__xludf.DUMMYFUNCTION("""COMPUTED_VALUE"""),7.4058648E7)</f>
        <v>74058648</v>
      </c>
    </row>
    <row r="3688">
      <c r="A3688" s="3">
        <f>IFERROR(__xludf.DUMMYFUNCTION("""COMPUTED_VALUE"""),45712.66666666667)</f>
        <v>45712.66667</v>
      </c>
      <c r="B3688" s="2">
        <f>IFERROR(__xludf.DUMMYFUNCTION("""COMPUTED_VALUE"""),338.14)</f>
        <v>338.14</v>
      </c>
      <c r="C3688" s="2">
        <f>IFERROR(__xludf.DUMMYFUNCTION("""COMPUTED_VALUE"""),342.4)</f>
        <v>342.4</v>
      </c>
      <c r="D3688" s="2">
        <f>IFERROR(__xludf.DUMMYFUNCTION("""COMPUTED_VALUE"""),324.7)</f>
        <v>324.7</v>
      </c>
      <c r="E3688" s="2">
        <f>IFERROR(__xludf.DUMMYFUNCTION("""COMPUTED_VALUE"""),330.53)</f>
        <v>330.53</v>
      </c>
      <c r="F3688" s="2">
        <f>IFERROR(__xludf.DUMMYFUNCTION("""COMPUTED_VALUE"""),7.6052321E7)</f>
        <v>76052321</v>
      </c>
    </row>
    <row r="3689">
      <c r="A3689" s="3">
        <f>IFERROR(__xludf.DUMMYFUNCTION("""COMPUTED_VALUE"""),45713.66666666667)</f>
        <v>45713.66667</v>
      </c>
      <c r="B3689" s="2">
        <f>IFERROR(__xludf.DUMMYFUNCTION("""COMPUTED_VALUE"""),327.02)</f>
        <v>327.02</v>
      </c>
      <c r="C3689" s="2">
        <f>IFERROR(__xludf.DUMMYFUNCTION("""COMPUTED_VALUE"""),328.89)</f>
        <v>328.89</v>
      </c>
      <c r="D3689" s="2">
        <f>IFERROR(__xludf.DUMMYFUNCTION("""COMPUTED_VALUE"""),297.25)</f>
        <v>297.25</v>
      </c>
      <c r="E3689" s="2">
        <f>IFERROR(__xludf.DUMMYFUNCTION("""COMPUTED_VALUE"""),302.8)</f>
        <v>302.8</v>
      </c>
      <c r="F3689" s="2">
        <f>IFERROR(__xludf.DUMMYFUNCTION("""COMPUTED_VALUE"""),1.34228777E8)</f>
        <v>134228777</v>
      </c>
    </row>
    <row r="3690">
      <c r="A3690" s="3">
        <f>IFERROR(__xludf.DUMMYFUNCTION("""COMPUTED_VALUE"""),45714.66666666667)</f>
        <v>45714.66667</v>
      </c>
      <c r="B3690" s="2">
        <f>IFERROR(__xludf.DUMMYFUNCTION("""COMPUTED_VALUE"""),303.71)</f>
        <v>303.71</v>
      </c>
      <c r="C3690" s="2">
        <f>IFERROR(__xludf.DUMMYFUNCTION("""COMPUTED_VALUE"""),309.0)</f>
        <v>309</v>
      </c>
      <c r="D3690" s="2">
        <f>IFERROR(__xludf.DUMMYFUNCTION("""COMPUTED_VALUE"""),288.04)</f>
        <v>288.04</v>
      </c>
      <c r="E3690" s="2">
        <f>IFERROR(__xludf.DUMMYFUNCTION("""COMPUTED_VALUE"""),290.8)</f>
        <v>290.8</v>
      </c>
      <c r="F3690" s="2">
        <f>IFERROR(__xludf.DUMMYFUNCTION("""COMPUTED_VALUE"""),1.00118276E8)</f>
        <v>100118276</v>
      </c>
    </row>
    <row r="3691">
      <c r="A3691" s="3">
        <f>IFERROR(__xludf.DUMMYFUNCTION("""COMPUTED_VALUE"""),45715.66666666667)</f>
        <v>45715.66667</v>
      </c>
      <c r="B3691" s="2">
        <f>IFERROR(__xludf.DUMMYFUNCTION("""COMPUTED_VALUE"""),291.16)</f>
        <v>291.16</v>
      </c>
      <c r="C3691" s="2">
        <f>IFERROR(__xludf.DUMMYFUNCTION("""COMPUTED_VALUE"""),297.23)</f>
        <v>297.23</v>
      </c>
      <c r="D3691" s="2">
        <f>IFERROR(__xludf.DUMMYFUNCTION("""COMPUTED_VALUE"""),280.88)</f>
        <v>280.88</v>
      </c>
      <c r="E3691" s="2">
        <f>IFERROR(__xludf.DUMMYFUNCTION("""COMPUTED_VALUE"""),281.95)</f>
        <v>281.95</v>
      </c>
      <c r="F3691" s="2">
        <f>IFERROR(__xludf.DUMMYFUNCTION("""COMPUTED_VALUE"""),1.01748197E8)</f>
        <v>101748197</v>
      </c>
    </row>
    <row r="3692">
      <c r="A3692" s="3">
        <f>IFERROR(__xludf.DUMMYFUNCTION("""COMPUTED_VALUE"""),45716.66666666667)</f>
        <v>45716.66667</v>
      </c>
      <c r="B3692" s="2">
        <f>IFERROR(__xludf.DUMMYFUNCTION("""COMPUTED_VALUE"""),279.5)</f>
        <v>279.5</v>
      </c>
      <c r="C3692" s="2">
        <f>IFERROR(__xludf.DUMMYFUNCTION("""COMPUTED_VALUE"""),293.88)</f>
        <v>293.88</v>
      </c>
      <c r="D3692" s="2">
        <f>IFERROR(__xludf.DUMMYFUNCTION("""COMPUTED_VALUE"""),273.6)</f>
        <v>273.6</v>
      </c>
      <c r="E3692" s="2">
        <f>IFERROR(__xludf.DUMMYFUNCTION("""COMPUTED_VALUE"""),292.98)</f>
        <v>292.98</v>
      </c>
      <c r="F3692" s="2">
        <f>IFERROR(__xludf.DUMMYFUNCTION("""COMPUTED_VALUE"""),1.15696968E8)</f>
        <v>115696968</v>
      </c>
    </row>
    <row r="3693">
      <c r="A3693" s="3">
        <f>IFERROR(__xludf.DUMMYFUNCTION("""COMPUTED_VALUE"""),45719.66666666667)</f>
        <v>45719.66667</v>
      </c>
      <c r="B3693" s="2">
        <f>IFERROR(__xludf.DUMMYFUNCTION("""COMPUTED_VALUE"""),300.34)</f>
        <v>300.34</v>
      </c>
      <c r="C3693" s="2">
        <f>IFERROR(__xludf.DUMMYFUNCTION("""COMPUTED_VALUE"""),303.94)</f>
        <v>303.94</v>
      </c>
      <c r="D3693" s="2">
        <f>IFERROR(__xludf.DUMMYFUNCTION("""COMPUTED_VALUE"""),277.3)</f>
        <v>277.3</v>
      </c>
      <c r="E3693" s="2">
        <f>IFERROR(__xludf.DUMMYFUNCTION("""COMPUTED_VALUE"""),284.65)</f>
        <v>284.65</v>
      </c>
      <c r="F3693" s="2">
        <f>IFERROR(__xludf.DUMMYFUNCTION("""COMPUTED_VALUE"""),1.15551414E8)</f>
        <v>115551414</v>
      </c>
    </row>
    <row r="3694">
      <c r="A3694" s="3">
        <f>IFERROR(__xludf.DUMMYFUNCTION("""COMPUTED_VALUE"""),45720.66666666667)</f>
        <v>45720.66667</v>
      </c>
      <c r="B3694" s="2">
        <f>IFERROR(__xludf.DUMMYFUNCTION("""COMPUTED_VALUE"""),270.93)</f>
        <v>270.93</v>
      </c>
      <c r="C3694" s="2">
        <f>IFERROR(__xludf.DUMMYFUNCTION("""COMPUTED_VALUE"""),284.35)</f>
        <v>284.35</v>
      </c>
      <c r="D3694" s="2">
        <f>IFERROR(__xludf.DUMMYFUNCTION("""COMPUTED_VALUE"""),261.84)</f>
        <v>261.84</v>
      </c>
      <c r="E3694" s="2">
        <f>IFERROR(__xludf.DUMMYFUNCTION("""COMPUTED_VALUE"""),272.04)</f>
        <v>272.04</v>
      </c>
      <c r="F3694" s="2">
        <f>IFERROR(__xludf.DUMMYFUNCTION("""COMPUTED_VALUE"""),1.26706623E8)</f>
        <v>126706623</v>
      </c>
    </row>
    <row r="3695">
      <c r="A3695" s="3">
        <f>IFERROR(__xludf.DUMMYFUNCTION("""COMPUTED_VALUE"""),45721.66666666667)</f>
        <v>45721.66667</v>
      </c>
      <c r="B3695" s="2">
        <f>IFERROR(__xludf.DUMMYFUNCTION("""COMPUTED_VALUE"""),272.92)</f>
        <v>272.92</v>
      </c>
      <c r="C3695" s="2">
        <f>IFERROR(__xludf.DUMMYFUNCTION("""COMPUTED_VALUE"""),279.55)</f>
        <v>279.55</v>
      </c>
      <c r="D3695" s="2">
        <f>IFERROR(__xludf.DUMMYFUNCTION("""COMPUTED_VALUE"""),267.71)</f>
        <v>267.71</v>
      </c>
      <c r="E3695" s="2">
        <f>IFERROR(__xludf.DUMMYFUNCTION("""COMPUTED_VALUE"""),279.1)</f>
        <v>279.1</v>
      </c>
      <c r="F3695" s="2">
        <f>IFERROR(__xludf.DUMMYFUNCTION("""COMPUTED_VALUE"""),9.4042913E7)</f>
        <v>94042913</v>
      </c>
    </row>
    <row r="3696">
      <c r="A3696" s="3">
        <f>IFERROR(__xludf.DUMMYFUNCTION("""COMPUTED_VALUE"""),45722.66666666667)</f>
        <v>45722.66667</v>
      </c>
      <c r="B3696" s="2">
        <f>IFERROR(__xludf.DUMMYFUNCTION("""COMPUTED_VALUE"""),272.06)</f>
        <v>272.06</v>
      </c>
      <c r="C3696" s="2">
        <f>IFERROR(__xludf.DUMMYFUNCTION("""COMPUTED_VALUE"""),272.65)</f>
        <v>272.65</v>
      </c>
      <c r="D3696" s="2">
        <f>IFERROR(__xludf.DUMMYFUNCTION("""COMPUTED_VALUE"""),260.02)</f>
        <v>260.02</v>
      </c>
      <c r="E3696" s="2">
        <f>IFERROR(__xludf.DUMMYFUNCTION("""COMPUTED_VALUE"""),263.45)</f>
        <v>263.45</v>
      </c>
      <c r="F3696" s="2">
        <f>IFERROR(__xludf.DUMMYFUNCTION("""COMPUTED_VALUE"""),9.8451566E7)</f>
        <v>98451566</v>
      </c>
    </row>
    <row r="3697">
      <c r="A3697" s="3">
        <f>IFERROR(__xludf.DUMMYFUNCTION("""COMPUTED_VALUE"""),45723.66666666667)</f>
        <v>45723.66667</v>
      </c>
      <c r="B3697" s="2">
        <f>IFERROR(__xludf.DUMMYFUNCTION("""COMPUTED_VALUE"""),259.32)</f>
        <v>259.32</v>
      </c>
      <c r="C3697" s="2">
        <f>IFERROR(__xludf.DUMMYFUNCTION("""COMPUTED_VALUE"""),266.25)</f>
        <v>266.25</v>
      </c>
      <c r="D3697" s="2">
        <f>IFERROR(__xludf.DUMMYFUNCTION("""COMPUTED_VALUE"""),250.73)</f>
        <v>250.73</v>
      </c>
      <c r="E3697" s="2">
        <f>IFERROR(__xludf.DUMMYFUNCTION("""COMPUTED_VALUE"""),262.67)</f>
        <v>262.67</v>
      </c>
      <c r="F3697" s="2">
        <f>IFERROR(__xludf.DUMMYFUNCTION("""COMPUTED_VALUE"""),1.0236964E8)</f>
        <v>102369640</v>
      </c>
    </row>
    <row r="3698">
      <c r="A3698" s="3">
        <f>IFERROR(__xludf.DUMMYFUNCTION("""COMPUTED_VALUE"""),45726.66666666667)</f>
        <v>45726.66667</v>
      </c>
      <c r="B3698" s="2">
        <f>IFERROR(__xludf.DUMMYFUNCTION("""COMPUTED_VALUE"""),252.54)</f>
        <v>252.54</v>
      </c>
      <c r="C3698" s="2">
        <f>IFERROR(__xludf.DUMMYFUNCTION("""COMPUTED_VALUE"""),253.37)</f>
        <v>253.37</v>
      </c>
      <c r="D3698" s="2">
        <f>IFERROR(__xludf.DUMMYFUNCTION("""COMPUTED_VALUE"""),220.0)</f>
        <v>220</v>
      </c>
      <c r="E3698" s="2">
        <f>IFERROR(__xludf.DUMMYFUNCTION("""COMPUTED_VALUE"""),222.15)</f>
        <v>222.15</v>
      </c>
      <c r="F3698" s="2">
        <f>IFERROR(__xludf.DUMMYFUNCTION("""COMPUTED_VALUE"""),1.89076948E8)</f>
        <v>189076948</v>
      </c>
    </row>
    <row r="3699">
      <c r="A3699" s="3">
        <f>IFERROR(__xludf.DUMMYFUNCTION("""COMPUTED_VALUE"""),45727.66666666667)</f>
        <v>45727.66667</v>
      </c>
      <c r="B3699" s="2">
        <f>IFERROR(__xludf.DUMMYFUNCTION("""COMPUTED_VALUE"""),225.31)</f>
        <v>225.31</v>
      </c>
      <c r="C3699" s="2">
        <f>IFERROR(__xludf.DUMMYFUNCTION("""COMPUTED_VALUE"""),237.06)</f>
        <v>237.06</v>
      </c>
      <c r="D3699" s="2">
        <f>IFERROR(__xludf.DUMMYFUNCTION("""COMPUTED_VALUE"""),217.02)</f>
        <v>217.02</v>
      </c>
      <c r="E3699" s="2">
        <f>IFERROR(__xludf.DUMMYFUNCTION("""COMPUTED_VALUE"""),230.58)</f>
        <v>230.58</v>
      </c>
      <c r="F3699" s="2">
        <f>IFERROR(__xludf.DUMMYFUNCTION("""COMPUTED_VALUE"""),1.74896415E8)</f>
        <v>174896415</v>
      </c>
    </row>
    <row r="3700">
      <c r="A3700" s="3">
        <f>IFERROR(__xludf.DUMMYFUNCTION("""COMPUTED_VALUE"""),45728.66666666667)</f>
        <v>45728.66667</v>
      </c>
      <c r="B3700" s="2">
        <f>IFERROR(__xludf.DUMMYFUNCTION("""COMPUTED_VALUE"""),247.22)</f>
        <v>247.22</v>
      </c>
      <c r="C3700" s="2">
        <f>IFERROR(__xludf.DUMMYFUNCTION("""COMPUTED_VALUE"""),251.84)</f>
        <v>251.84</v>
      </c>
      <c r="D3700" s="2">
        <f>IFERROR(__xludf.DUMMYFUNCTION("""COMPUTED_VALUE"""),241.1)</f>
        <v>241.1</v>
      </c>
      <c r="E3700" s="2">
        <f>IFERROR(__xludf.DUMMYFUNCTION("""COMPUTED_VALUE"""),248.09)</f>
        <v>248.09</v>
      </c>
      <c r="F3700" s="2">
        <f>IFERROR(__xludf.DUMMYFUNCTION("""COMPUTED_VALUE"""),1.42215681E8)</f>
        <v>142215681</v>
      </c>
    </row>
    <row r="3701">
      <c r="A3701" s="3">
        <f>IFERROR(__xludf.DUMMYFUNCTION("""COMPUTED_VALUE"""),45729.66666666667)</f>
        <v>45729.66667</v>
      </c>
      <c r="B3701" s="2">
        <f>IFERROR(__xludf.DUMMYFUNCTION("""COMPUTED_VALUE"""),248.13)</f>
        <v>248.13</v>
      </c>
      <c r="C3701" s="2">
        <f>IFERROR(__xludf.DUMMYFUNCTION("""COMPUTED_VALUE"""),248.29)</f>
        <v>248.29</v>
      </c>
      <c r="D3701" s="2">
        <f>IFERROR(__xludf.DUMMYFUNCTION("""COMPUTED_VALUE"""),232.6)</f>
        <v>232.6</v>
      </c>
      <c r="E3701" s="2">
        <f>IFERROR(__xludf.DUMMYFUNCTION("""COMPUTED_VALUE"""),240.68)</f>
        <v>240.68</v>
      </c>
      <c r="F3701" s="2">
        <f>IFERROR(__xludf.DUMMYFUNCTION("""COMPUTED_VALUE"""),1.14813525E8)</f>
        <v>114813525</v>
      </c>
    </row>
    <row r="3702">
      <c r="A3702" s="3">
        <f>IFERROR(__xludf.DUMMYFUNCTION("""COMPUTED_VALUE"""),45730.66666666667)</f>
        <v>45730.66667</v>
      </c>
      <c r="B3702" s="2">
        <f>IFERROR(__xludf.DUMMYFUNCTION("""COMPUTED_VALUE"""),247.31)</f>
        <v>247.31</v>
      </c>
      <c r="C3702" s="2">
        <f>IFERROR(__xludf.DUMMYFUNCTION("""COMPUTED_VALUE"""),251.58)</f>
        <v>251.58</v>
      </c>
      <c r="D3702" s="2">
        <f>IFERROR(__xludf.DUMMYFUNCTION("""COMPUTED_VALUE"""),240.73)</f>
        <v>240.73</v>
      </c>
      <c r="E3702" s="2">
        <f>IFERROR(__xludf.DUMMYFUNCTION("""COMPUTED_VALUE"""),249.98)</f>
        <v>249.98</v>
      </c>
      <c r="F3702" s="2">
        <f>IFERROR(__xludf.DUMMYFUNCTION("""COMPUTED_VALUE"""),1.00242264E8)</f>
        <v>100242264</v>
      </c>
    </row>
    <row r="3703">
      <c r="A3703" s="3">
        <f>IFERROR(__xludf.DUMMYFUNCTION("""COMPUTED_VALUE"""),45733.66666666667)</f>
        <v>45733.66667</v>
      </c>
      <c r="B3703" s="2">
        <f>IFERROR(__xludf.DUMMYFUNCTION("""COMPUTED_VALUE"""),245.06)</f>
        <v>245.06</v>
      </c>
      <c r="C3703" s="2">
        <f>IFERROR(__xludf.DUMMYFUNCTION("""COMPUTED_VALUE"""),245.4)</f>
        <v>245.4</v>
      </c>
      <c r="D3703" s="2">
        <f>IFERROR(__xludf.DUMMYFUNCTION("""COMPUTED_VALUE"""),232.8)</f>
        <v>232.8</v>
      </c>
      <c r="E3703" s="2">
        <f>IFERROR(__xludf.DUMMYFUNCTION("""COMPUTED_VALUE"""),238.01)</f>
        <v>238.01</v>
      </c>
      <c r="F3703" s="2">
        <f>IFERROR(__xludf.DUMMYFUNCTION("""COMPUTED_VALUE"""),1.11900565E8)</f>
        <v>111900565</v>
      </c>
    </row>
    <row r="3704">
      <c r="A3704" s="3">
        <f>IFERROR(__xludf.DUMMYFUNCTION("""COMPUTED_VALUE"""),45734.66666666667)</f>
        <v>45734.66667</v>
      </c>
      <c r="B3704" s="2">
        <f>IFERROR(__xludf.DUMMYFUNCTION("""COMPUTED_VALUE"""),228.16)</f>
        <v>228.16</v>
      </c>
      <c r="C3704" s="2">
        <f>IFERROR(__xludf.DUMMYFUNCTION("""COMPUTED_VALUE"""),230.1)</f>
        <v>230.1</v>
      </c>
      <c r="D3704" s="2">
        <f>IFERROR(__xludf.DUMMYFUNCTION("""COMPUTED_VALUE"""),222.28)</f>
        <v>222.28</v>
      </c>
      <c r="E3704" s="2">
        <f>IFERROR(__xludf.DUMMYFUNCTION("""COMPUTED_VALUE"""),225.31)</f>
        <v>225.31</v>
      </c>
      <c r="F3704" s="2">
        <f>IFERROR(__xludf.DUMMYFUNCTION("""COMPUTED_VALUE"""),1.11477636E8)</f>
        <v>111477636</v>
      </c>
    </row>
    <row r="3705">
      <c r="A3705" s="3">
        <f>IFERROR(__xludf.DUMMYFUNCTION("""COMPUTED_VALUE"""),45735.66666666667)</f>
        <v>45735.66667</v>
      </c>
      <c r="B3705" s="2">
        <f>IFERROR(__xludf.DUMMYFUNCTION("""COMPUTED_VALUE"""),231.61)</f>
        <v>231.61</v>
      </c>
      <c r="C3705" s="2">
        <f>IFERROR(__xludf.DUMMYFUNCTION("""COMPUTED_VALUE"""),241.41)</f>
        <v>241.41</v>
      </c>
      <c r="D3705" s="2">
        <f>IFERROR(__xludf.DUMMYFUNCTION("""COMPUTED_VALUE"""),229.2)</f>
        <v>229.2</v>
      </c>
      <c r="E3705" s="2">
        <f>IFERROR(__xludf.DUMMYFUNCTION("""COMPUTED_VALUE"""),235.86)</f>
        <v>235.86</v>
      </c>
      <c r="F3705" s="2">
        <f>IFERROR(__xludf.DUMMYFUNCTION("""COMPUTED_VALUE"""),1.11993753E8)</f>
        <v>111993753</v>
      </c>
    </row>
    <row r="3706">
      <c r="A3706" s="3">
        <f>IFERROR(__xludf.DUMMYFUNCTION("""COMPUTED_VALUE"""),45736.66666666667)</f>
        <v>45736.66667</v>
      </c>
      <c r="B3706" s="2">
        <f>IFERROR(__xludf.DUMMYFUNCTION("""COMPUTED_VALUE"""),233.35)</f>
        <v>233.35</v>
      </c>
      <c r="C3706" s="2">
        <f>IFERROR(__xludf.DUMMYFUNCTION("""COMPUTED_VALUE"""),238.0)</f>
        <v>238</v>
      </c>
      <c r="D3706" s="2">
        <f>IFERROR(__xludf.DUMMYFUNCTION("""COMPUTED_VALUE"""),230.05)</f>
        <v>230.05</v>
      </c>
      <c r="E3706" s="2">
        <f>IFERROR(__xludf.DUMMYFUNCTION("""COMPUTED_VALUE"""),236.26)</f>
        <v>236.26</v>
      </c>
      <c r="F3706" s="2">
        <f>IFERROR(__xludf.DUMMYFUNCTION("""COMPUTED_VALUE"""),9.902827E7)</f>
        <v>99028270</v>
      </c>
    </row>
    <row r="3707">
      <c r="A3707" s="3">
        <f>IFERROR(__xludf.DUMMYFUNCTION("""COMPUTED_VALUE"""),45737.66666666667)</f>
        <v>45737.66667</v>
      </c>
      <c r="B3707" s="2">
        <f>IFERROR(__xludf.DUMMYFUNCTION("""COMPUTED_VALUE"""),234.99)</f>
        <v>234.99</v>
      </c>
      <c r="C3707" s="2">
        <f>IFERROR(__xludf.DUMMYFUNCTION("""COMPUTED_VALUE"""),249.52)</f>
        <v>249.52</v>
      </c>
      <c r="D3707" s="2">
        <f>IFERROR(__xludf.DUMMYFUNCTION("""COMPUTED_VALUE"""),234.55)</f>
        <v>234.55</v>
      </c>
      <c r="E3707" s="2">
        <f>IFERROR(__xludf.DUMMYFUNCTION("""COMPUTED_VALUE"""),248.71)</f>
        <v>248.71</v>
      </c>
      <c r="F3707" s="2">
        <f>IFERROR(__xludf.DUMMYFUNCTION("""COMPUTED_VALUE"""),1.32728684E8)</f>
        <v>132728684</v>
      </c>
    </row>
    <row r="3708">
      <c r="A3708" s="3">
        <f>IFERROR(__xludf.DUMMYFUNCTION("""COMPUTED_VALUE"""),45740.66666666667)</f>
        <v>45740.66667</v>
      </c>
      <c r="B3708" s="2">
        <f>IFERROR(__xludf.DUMMYFUNCTION("""COMPUTED_VALUE"""),258.08)</f>
        <v>258.08</v>
      </c>
      <c r="C3708" s="2">
        <f>IFERROR(__xludf.DUMMYFUNCTION("""COMPUTED_VALUE"""),278.64)</f>
        <v>278.64</v>
      </c>
      <c r="D3708" s="2">
        <f>IFERROR(__xludf.DUMMYFUNCTION("""COMPUTED_VALUE"""),256.33)</f>
        <v>256.33</v>
      </c>
      <c r="E3708" s="2">
        <f>IFERROR(__xludf.DUMMYFUNCTION("""COMPUTED_VALUE"""),278.39)</f>
        <v>278.39</v>
      </c>
      <c r="F3708" s="2">
        <f>IFERROR(__xludf.DUMMYFUNCTION("""COMPUTED_VALUE"""),1.69079865E8)</f>
        <v>169079865</v>
      </c>
    </row>
    <row r="3709">
      <c r="A3709" s="3">
        <f>IFERROR(__xludf.DUMMYFUNCTION("""COMPUTED_VALUE"""),45741.66666666667)</f>
        <v>45741.66667</v>
      </c>
      <c r="B3709" s="2">
        <f>IFERROR(__xludf.DUMMYFUNCTION("""COMPUTED_VALUE"""),283.6)</f>
        <v>283.6</v>
      </c>
      <c r="C3709" s="2">
        <f>IFERROR(__xludf.DUMMYFUNCTION("""COMPUTED_VALUE"""),288.2)</f>
        <v>288.2</v>
      </c>
      <c r="D3709" s="2">
        <f>IFERROR(__xludf.DUMMYFUNCTION("""COMPUTED_VALUE"""),271.28)</f>
        <v>271.28</v>
      </c>
      <c r="E3709" s="2">
        <f>IFERROR(__xludf.DUMMYFUNCTION("""COMPUTED_VALUE"""),288.14)</f>
        <v>288.14</v>
      </c>
      <c r="F3709" s="2">
        <f>IFERROR(__xludf.DUMMYFUNCTION("""COMPUTED_VALUE"""),1.50361538E8)</f>
        <v>150361538</v>
      </c>
    </row>
    <row r="3710">
      <c r="A3710" s="3">
        <f>IFERROR(__xludf.DUMMYFUNCTION("""COMPUTED_VALUE"""),45742.66666666667)</f>
        <v>45742.66667</v>
      </c>
      <c r="B3710" s="2">
        <f>IFERROR(__xludf.DUMMYFUNCTION("""COMPUTED_VALUE"""),282.66)</f>
        <v>282.66</v>
      </c>
      <c r="C3710" s="2">
        <f>IFERROR(__xludf.DUMMYFUNCTION("""COMPUTED_VALUE"""),284.9)</f>
        <v>284.9</v>
      </c>
      <c r="D3710" s="2">
        <f>IFERROR(__xludf.DUMMYFUNCTION("""COMPUTED_VALUE"""),266.51)</f>
        <v>266.51</v>
      </c>
      <c r="E3710" s="2">
        <f>IFERROR(__xludf.DUMMYFUNCTION("""COMPUTED_VALUE"""),272.06)</f>
        <v>272.06</v>
      </c>
      <c r="F3710" s="2">
        <f>IFERROR(__xludf.DUMMYFUNCTION("""COMPUTED_VALUE"""),1.56254441E8)</f>
        <v>156254441</v>
      </c>
    </row>
    <row r="3711">
      <c r="A3711" s="3">
        <f>IFERROR(__xludf.DUMMYFUNCTION("""COMPUTED_VALUE"""),45743.66666666667)</f>
        <v>45743.66667</v>
      </c>
      <c r="B3711" s="2">
        <f>IFERROR(__xludf.DUMMYFUNCTION("""COMPUTED_VALUE"""),272.48)</f>
        <v>272.48</v>
      </c>
      <c r="C3711" s="2">
        <f>IFERROR(__xludf.DUMMYFUNCTION("""COMPUTED_VALUE"""),291.85)</f>
        <v>291.85</v>
      </c>
      <c r="D3711" s="2">
        <f>IFERROR(__xludf.DUMMYFUNCTION("""COMPUTED_VALUE"""),271.82)</f>
        <v>271.82</v>
      </c>
      <c r="E3711" s="2">
        <f>IFERROR(__xludf.DUMMYFUNCTION("""COMPUTED_VALUE"""),273.13)</f>
        <v>273.13</v>
      </c>
      <c r="F3711" s="2">
        <f>IFERROR(__xludf.DUMMYFUNCTION("""COMPUTED_VALUE"""),1.62572146E8)</f>
        <v>162572146</v>
      </c>
    </row>
    <row r="3712">
      <c r="A3712" s="3">
        <f>IFERROR(__xludf.DUMMYFUNCTION("""COMPUTED_VALUE"""),45744.66666666667)</f>
        <v>45744.66667</v>
      </c>
      <c r="B3712" s="2">
        <f>IFERROR(__xludf.DUMMYFUNCTION("""COMPUTED_VALUE"""),275.58)</f>
        <v>275.58</v>
      </c>
      <c r="C3712" s="2">
        <f>IFERROR(__xludf.DUMMYFUNCTION("""COMPUTED_VALUE"""),276.1)</f>
        <v>276.1</v>
      </c>
      <c r="D3712" s="2">
        <f>IFERROR(__xludf.DUMMYFUNCTION("""COMPUTED_VALUE"""),260.57)</f>
        <v>260.57</v>
      </c>
      <c r="E3712" s="2">
        <f>IFERROR(__xludf.DUMMYFUNCTION("""COMPUTED_VALUE"""),263.55)</f>
        <v>263.55</v>
      </c>
      <c r="F3712" s="2">
        <f>IFERROR(__xludf.DUMMYFUNCTION("""COMPUTED_VALUE"""),1.23809389E8)</f>
        <v>123809389</v>
      </c>
    </row>
    <row r="3713">
      <c r="A3713" s="3">
        <f>IFERROR(__xludf.DUMMYFUNCTION("""COMPUTED_VALUE"""),45747.66666666667)</f>
        <v>45747.66667</v>
      </c>
      <c r="B3713" s="2">
        <f>IFERROR(__xludf.DUMMYFUNCTION("""COMPUTED_VALUE"""),249.31)</f>
        <v>249.31</v>
      </c>
      <c r="C3713" s="2">
        <f>IFERROR(__xludf.DUMMYFUNCTION("""COMPUTED_VALUE"""),260.56)</f>
        <v>260.56</v>
      </c>
      <c r="D3713" s="2">
        <f>IFERROR(__xludf.DUMMYFUNCTION("""COMPUTED_VALUE"""),243.36)</f>
        <v>243.36</v>
      </c>
      <c r="E3713" s="2">
        <f>IFERROR(__xludf.DUMMYFUNCTION("""COMPUTED_VALUE"""),259.16)</f>
        <v>259.16</v>
      </c>
      <c r="F3713" s="2">
        <f>IFERROR(__xludf.DUMMYFUNCTION("""COMPUTED_VALUE"""),1.34008936E8)</f>
        <v>134008936</v>
      </c>
    </row>
    <row r="3714">
      <c r="A3714" s="3">
        <f>IFERROR(__xludf.DUMMYFUNCTION("""COMPUTED_VALUE"""),45748.66666666667)</f>
        <v>45748.66667</v>
      </c>
      <c r="B3714" s="2">
        <f>IFERROR(__xludf.DUMMYFUNCTION("""COMPUTED_VALUE"""),263.8)</f>
        <v>263.8</v>
      </c>
      <c r="C3714" s="2">
        <f>IFERROR(__xludf.DUMMYFUNCTION("""COMPUTED_VALUE"""),277.45)</f>
        <v>277.45</v>
      </c>
      <c r="D3714" s="2">
        <f>IFERROR(__xludf.DUMMYFUNCTION("""COMPUTED_VALUE"""),259.25)</f>
        <v>259.25</v>
      </c>
      <c r="E3714" s="2">
        <f>IFERROR(__xludf.DUMMYFUNCTION("""COMPUTED_VALUE"""),268.46)</f>
        <v>268.46</v>
      </c>
      <c r="F3714" s="2">
        <f>IFERROR(__xludf.DUMMYFUNCTION("""COMPUTED_VALUE"""),1.46486911E8)</f>
        <v>146486911</v>
      </c>
    </row>
    <row r="3715">
      <c r="A3715" s="3">
        <f>IFERROR(__xludf.DUMMYFUNCTION("""COMPUTED_VALUE"""),45749.66666666667)</f>
        <v>45749.66667</v>
      </c>
      <c r="B3715" s="2">
        <f>IFERROR(__xludf.DUMMYFUNCTION("""COMPUTED_VALUE"""),254.6)</f>
        <v>254.6</v>
      </c>
      <c r="C3715" s="2">
        <f>IFERROR(__xludf.DUMMYFUNCTION("""COMPUTED_VALUE"""),284.99)</f>
        <v>284.99</v>
      </c>
      <c r="D3715" s="2">
        <f>IFERROR(__xludf.DUMMYFUNCTION("""COMPUTED_VALUE"""),251.27)</f>
        <v>251.27</v>
      </c>
      <c r="E3715" s="2">
        <f>IFERROR(__xludf.DUMMYFUNCTION("""COMPUTED_VALUE"""),282.76)</f>
        <v>282.76</v>
      </c>
      <c r="F3715" s="2">
        <f>IFERROR(__xludf.DUMMYFUNCTION("""COMPUTED_VALUE"""),2.12787817E8)</f>
        <v>212787817</v>
      </c>
    </row>
    <row r="3716">
      <c r="A3716" s="3">
        <f>IFERROR(__xludf.DUMMYFUNCTION("""COMPUTED_VALUE"""),45750.66666666667)</f>
        <v>45750.66667</v>
      </c>
      <c r="B3716" s="2">
        <f>IFERROR(__xludf.DUMMYFUNCTION("""COMPUTED_VALUE"""),265.29)</f>
        <v>265.29</v>
      </c>
      <c r="C3716" s="2">
        <f>IFERROR(__xludf.DUMMYFUNCTION("""COMPUTED_VALUE"""),276.3)</f>
        <v>276.3</v>
      </c>
      <c r="D3716" s="2">
        <f>IFERROR(__xludf.DUMMYFUNCTION("""COMPUTED_VALUE"""),261.51)</f>
        <v>261.51</v>
      </c>
      <c r="E3716" s="2">
        <f>IFERROR(__xludf.DUMMYFUNCTION("""COMPUTED_VALUE"""),267.28)</f>
        <v>267.28</v>
      </c>
      <c r="F3716" s="2">
        <f>IFERROR(__xludf.DUMMYFUNCTION("""COMPUTED_VALUE"""),1.36174291E8)</f>
        <v>136174291</v>
      </c>
    </row>
    <row r="3717">
      <c r="A3717" s="3">
        <f>IFERROR(__xludf.DUMMYFUNCTION("""COMPUTED_VALUE"""),45751.66666666667)</f>
        <v>45751.66667</v>
      </c>
      <c r="B3717" s="2">
        <f>IFERROR(__xludf.DUMMYFUNCTION("""COMPUTED_VALUE"""),255.38)</f>
        <v>255.38</v>
      </c>
      <c r="C3717" s="2">
        <f>IFERROR(__xludf.DUMMYFUNCTION("""COMPUTED_VALUE"""),261.0)</f>
        <v>261</v>
      </c>
      <c r="D3717" s="2">
        <f>IFERROR(__xludf.DUMMYFUNCTION("""COMPUTED_VALUE"""),236.0)</f>
        <v>236</v>
      </c>
      <c r="E3717" s="2">
        <f>IFERROR(__xludf.DUMMYFUNCTION("""COMPUTED_VALUE"""),239.43)</f>
        <v>239.43</v>
      </c>
      <c r="F3717" s="2">
        <f>IFERROR(__xludf.DUMMYFUNCTION("""COMPUTED_VALUE"""),1.81229353E8)</f>
        <v>181229353</v>
      </c>
    </row>
    <row r="3718">
      <c r="A3718" s="3">
        <f>IFERROR(__xludf.DUMMYFUNCTION("""COMPUTED_VALUE"""),45754.66666666667)</f>
        <v>45754.66667</v>
      </c>
      <c r="B3718" s="2">
        <f>IFERROR(__xludf.DUMMYFUNCTION("""COMPUTED_VALUE"""),223.78)</f>
        <v>223.78</v>
      </c>
      <c r="C3718" s="2">
        <f>IFERROR(__xludf.DUMMYFUNCTION("""COMPUTED_VALUE"""),252.0)</f>
        <v>252</v>
      </c>
      <c r="D3718" s="2">
        <f>IFERROR(__xludf.DUMMYFUNCTION("""COMPUTED_VALUE"""),214.25)</f>
        <v>214.25</v>
      </c>
      <c r="E3718" s="2">
        <f>IFERROR(__xludf.DUMMYFUNCTION("""COMPUTED_VALUE"""),233.29)</f>
        <v>233.29</v>
      </c>
      <c r="F3718" s="2">
        <f>IFERROR(__xludf.DUMMYFUNCTION("""COMPUTED_VALUE"""),1.83453776E8)</f>
        <v>183453776</v>
      </c>
    </row>
    <row r="3719">
      <c r="A3719" s="3">
        <f>IFERROR(__xludf.DUMMYFUNCTION("""COMPUTED_VALUE"""),45755.66666666667)</f>
        <v>45755.66667</v>
      </c>
      <c r="B3719" s="2">
        <f>IFERROR(__xludf.DUMMYFUNCTION("""COMPUTED_VALUE"""),245.0)</f>
        <v>245</v>
      </c>
      <c r="C3719" s="2">
        <f>IFERROR(__xludf.DUMMYFUNCTION("""COMPUTED_VALUE"""),250.44)</f>
        <v>250.44</v>
      </c>
      <c r="D3719" s="2">
        <f>IFERROR(__xludf.DUMMYFUNCTION("""COMPUTED_VALUE"""),217.8)</f>
        <v>217.8</v>
      </c>
      <c r="E3719" s="2">
        <f>IFERROR(__xludf.DUMMYFUNCTION("""COMPUTED_VALUE"""),221.86)</f>
        <v>221.86</v>
      </c>
      <c r="F3719" s="2">
        <f>IFERROR(__xludf.DUMMYFUNCTION("""COMPUTED_VALUE"""),1.71603472E8)</f>
        <v>171603472</v>
      </c>
    </row>
    <row r="3720">
      <c r="A3720" s="3">
        <f>IFERROR(__xludf.DUMMYFUNCTION("""COMPUTED_VALUE"""),45756.66666666667)</f>
        <v>45756.66667</v>
      </c>
      <c r="B3720" s="2">
        <f>IFERROR(__xludf.DUMMYFUNCTION("""COMPUTED_VALUE"""),224.69)</f>
        <v>224.69</v>
      </c>
      <c r="C3720" s="2">
        <f>IFERROR(__xludf.DUMMYFUNCTION("""COMPUTED_VALUE"""),274.69)</f>
        <v>274.69</v>
      </c>
      <c r="D3720" s="2">
        <f>IFERROR(__xludf.DUMMYFUNCTION("""COMPUTED_VALUE"""),223.88)</f>
        <v>223.88</v>
      </c>
      <c r="E3720" s="2">
        <f>IFERROR(__xludf.DUMMYFUNCTION("""COMPUTED_VALUE"""),272.2)</f>
        <v>272.2</v>
      </c>
      <c r="F3720" s="2">
        <f>IFERROR(__xludf.DUMMYFUNCTION("""COMPUTED_VALUE"""),2.19433373E8)</f>
        <v>219433373</v>
      </c>
    </row>
    <row r="3721">
      <c r="A3721" s="3">
        <f>IFERROR(__xludf.DUMMYFUNCTION("""COMPUTED_VALUE"""),45757.66666666667)</f>
        <v>45757.66667</v>
      </c>
      <c r="B3721" s="2">
        <f>IFERROR(__xludf.DUMMYFUNCTION("""COMPUTED_VALUE"""),260.0)</f>
        <v>260</v>
      </c>
      <c r="C3721" s="2">
        <f>IFERROR(__xludf.DUMMYFUNCTION("""COMPUTED_VALUE"""),262.49)</f>
        <v>262.49</v>
      </c>
      <c r="D3721" s="2">
        <f>IFERROR(__xludf.DUMMYFUNCTION("""COMPUTED_VALUE"""),239.33)</f>
        <v>239.33</v>
      </c>
      <c r="E3721" s="2">
        <f>IFERROR(__xludf.DUMMYFUNCTION("""COMPUTED_VALUE"""),252.4)</f>
        <v>252.4</v>
      </c>
      <c r="F3721" s="2">
        <f>IFERROR(__xludf.DUMMYFUNCTION("""COMPUTED_VALUE"""),1.81722604E8)</f>
        <v>181722604</v>
      </c>
    </row>
    <row r="3722">
      <c r="A3722" s="3">
        <f>IFERROR(__xludf.DUMMYFUNCTION("""COMPUTED_VALUE"""),45758.66666666667)</f>
        <v>45758.66667</v>
      </c>
      <c r="B3722" s="2">
        <f>IFERROR(__xludf.DUMMYFUNCTION("""COMPUTED_VALUE"""),251.84)</f>
        <v>251.84</v>
      </c>
      <c r="C3722" s="2">
        <f>IFERROR(__xludf.DUMMYFUNCTION("""COMPUTED_VALUE"""),257.74)</f>
        <v>257.74</v>
      </c>
      <c r="D3722" s="2">
        <f>IFERROR(__xludf.DUMMYFUNCTION("""COMPUTED_VALUE"""),241.36)</f>
        <v>241.36</v>
      </c>
      <c r="E3722" s="2">
        <f>IFERROR(__xludf.DUMMYFUNCTION("""COMPUTED_VALUE"""),252.31)</f>
        <v>252.31</v>
      </c>
      <c r="F3722" s="2">
        <f>IFERROR(__xludf.DUMMYFUNCTION("""COMPUTED_VALUE"""),1.28948085E8)</f>
        <v>128948085</v>
      </c>
    </row>
    <row r="3723">
      <c r="A3723" s="3">
        <f>IFERROR(__xludf.DUMMYFUNCTION("""COMPUTED_VALUE"""),45761.66666666667)</f>
        <v>45761.66667</v>
      </c>
      <c r="B3723" s="2">
        <f>IFERROR(__xludf.DUMMYFUNCTION("""COMPUTED_VALUE"""),258.36)</f>
        <v>258.36</v>
      </c>
      <c r="C3723" s="2">
        <f>IFERROR(__xludf.DUMMYFUNCTION("""COMPUTED_VALUE"""),261.8)</f>
        <v>261.8</v>
      </c>
      <c r="D3723" s="2">
        <f>IFERROR(__xludf.DUMMYFUNCTION("""COMPUTED_VALUE"""),245.93)</f>
        <v>245.93</v>
      </c>
      <c r="E3723" s="2">
        <f>IFERROR(__xludf.DUMMYFUNCTION("""COMPUTED_VALUE"""),252.35)</f>
        <v>252.35</v>
      </c>
      <c r="F3723" s="2">
        <f>IFERROR(__xludf.DUMMYFUNCTION("""COMPUTED_VALUE"""),1.00135241E8)</f>
        <v>100135241</v>
      </c>
    </row>
    <row r="3724">
      <c r="A3724" s="3">
        <f>IFERROR(__xludf.DUMMYFUNCTION("""COMPUTED_VALUE"""),45762.66666666667)</f>
        <v>45762.66667</v>
      </c>
      <c r="B3724" s="2">
        <f>IFERROR(__xludf.DUMMYFUNCTION("""COMPUTED_VALUE"""),249.91)</f>
        <v>249.91</v>
      </c>
      <c r="C3724" s="2">
        <f>IFERROR(__xludf.DUMMYFUNCTION("""COMPUTED_VALUE"""),258.75)</f>
        <v>258.75</v>
      </c>
      <c r="D3724" s="2">
        <f>IFERROR(__xludf.DUMMYFUNCTION("""COMPUTED_VALUE"""),247.54)</f>
        <v>247.54</v>
      </c>
      <c r="E3724" s="2">
        <f>IFERROR(__xludf.DUMMYFUNCTION("""COMPUTED_VALUE"""),254.11)</f>
        <v>254.11</v>
      </c>
      <c r="F3724" s="2">
        <f>IFERROR(__xludf.DUMMYFUNCTION("""COMPUTED_VALUE"""),7.9594318E7)</f>
        <v>79594318</v>
      </c>
    </row>
    <row r="3725">
      <c r="A3725" s="3">
        <f>IFERROR(__xludf.DUMMYFUNCTION("""COMPUTED_VALUE"""),45763.66666666667)</f>
        <v>45763.66667</v>
      </c>
      <c r="B3725" s="2">
        <f>IFERROR(__xludf.DUMMYFUNCTION("""COMPUTED_VALUE"""),247.61)</f>
        <v>247.61</v>
      </c>
      <c r="C3725" s="2">
        <f>IFERROR(__xludf.DUMMYFUNCTION("""COMPUTED_VALUE"""),251.97)</f>
        <v>251.97</v>
      </c>
      <c r="D3725" s="2">
        <f>IFERROR(__xludf.DUMMYFUNCTION("""COMPUTED_VALUE"""),233.89)</f>
        <v>233.89</v>
      </c>
      <c r="E3725" s="2">
        <f>IFERROR(__xludf.DUMMYFUNCTION("""COMPUTED_VALUE"""),241.55)</f>
        <v>241.55</v>
      </c>
      <c r="F3725" s="2">
        <f>IFERROR(__xludf.DUMMYFUNCTION("""COMPUTED_VALUE"""),1.12378737E8)</f>
        <v>112378737</v>
      </c>
    </row>
    <row r="3726">
      <c r="A3726" s="3">
        <f>IFERROR(__xludf.DUMMYFUNCTION("""COMPUTED_VALUE"""),45764.66666666667)</f>
        <v>45764.66667</v>
      </c>
      <c r="B3726" s="2">
        <f>IFERROR(__xludf.DUMMYFUNCTION("""COMPUTED_VALUE"""),243.47)</f>
        <v>243.47</v>
      </c>
      <c r="C3726" s="2">
        <f>IFERROR(__xludf.DUMMYFUNCTION("""COMPUTED_VALUE"""),244.34)</f>
        <v>244.34</v>
      </c>
      <c r="D3726" s="2">
        <f>IFERROR(__xludf.DUMMYFUNCTION("""COMPUTED_VALUE"""),237.68)</f>
        <v>237.68</v>
      </c>
      <c r="E3726" s="2">
        <f>IFERROR(__xludf.DUMMYFUNCTION("""COMPUTED_VALUE"""),241.37)</f>
        <v>241.37</v>
      </c>
      <c r="F3726" s="2">
        <f>IFERROR(__xludf.DUMMYFUNCTION("""COMPUTED_VALUE"""),8.3404775E7)</f>
        <v>83404775</v>
      </c>
    </row>
    <row r="3727">
      <c r="A3727" s="3">
        <f>IFERROR(__xludf.DUMMYFUNCTION("""COMPUTED_VALUE"""),45768.66666666667)</f>
        <v>45768.66667</v>
      </c>
      <c r="B3727" s="2">
        <f>IFERROR(__xludf.DUMMYFUNCTION("""COMPUTED_VALUE"""),230.26)</f>
        <v>230.26</v>
      </c>
      <c r="C3727" s="2">
        <f>IFERROR(__xludf.DUMMYFUNCTION("""COMPUTED_VALUE"""),232.21)</f>
        <v>232.21</v>
      </c>
      <c r="D3727" s="2">
        <f>IFERROR(__xludf.DUMMYFUNCTION("""COMPUTED_VALUE"""),222.79)</f>
        <v>222.79</v>
      </c>
      <c r="E3727" s="2">
        <f>IFERROR(__xludf.DUMMYFUNCTION("""COMPUTED_VALUE"""),227.5)</f>
        <v>227.5</v>
      </c>
      <c r="F3727" s="2">
        <f>IFERROR(__xludf.DUMMYFUNCTION("""COMPUTED_VALUE"""),9.7768007E7)</f>
        <v>97768007</v>
      </c>
    </row>
    <row r="3728">
      <c r="A3728" s="3">
        <f>IFERROR(__xludf.DUMMYFUNCTION("""COMPUTED_VALUE"""),45769.66666666667)</f>
        <v>45769.66667</v>
      </c>
      <c r="B3728" s="2">
        <f>IFERROR(__xludf.DUMMYFUNCTION("""COMPUTED_VALUE"""),230.96)</f>
        <v>230.96</v>
      </c>
      <c r="C3728" s="2">
        <f>IFERROR(__xludf.DUMMYFUNCTION("""COMPUTED_VALUE"""),242.79)</f>
        <v>242.79</v>
      </c>
      <c r="D3728" s="2">
        <f>IFERROR(__xludf.DUMMYFUNCTION("""COMPUTED_VALUE"""),229.85)</f>
        <v>229.85</v>
      </c>
      <c r="E3728" s="2">
        <f>IFERROR(__xludf.DUMMYFUNCTION("""COMPUTED_VALUE"""),237.97)</f>
        <v>237.97</v>
      </c>
      <c r="F3728" s="2">
        <f>IFERROR(__xludf.DUMMYFUNCTION("""COMPUTED_VALUE"""),1.20858452E8)</f>
        <v>120858452</v>
      </c>
    </row>
    <row r="3729">
      <c r="A3729" s="3">
        <f>IFERROR(__xludf.DUMMYFUNCTION("""COMPUTED_VALUE"""),45770.66666666667)</f>
        <v>45770.66667</v>
      </c>
      <c r="B3729" s="2">
        <f>IFERROR(__xludf.DUMMYFUNCTION("""COMPUTED_VALUE"""),254.86)</f>
        <v>254.86</v>
      </c>
      <c r="C3729" s="2">
        <f>IFERROR(__xludf.DUMMYFUNCTION("""COMPUTED_VALUE"""),259.45)</f>
        <v>259.45</v>
      </c>
      <c r="D3729" s="2">
        <f>IFERROR(__xludf.DUMMYFUNCTION("""COMPUTED_VALUE"""),244.43)</f>
        <v>244.43</v>
      </c>
      <c r="E3729" s="2">
        <f>IFERROR(__xludf.DUMMYFUNCTION("""COMPUTED_VALUE"""),250.74)</f>
        <v>250.74</v>
      </c>
      <c r="F3729" s="2">
        <f>IFERROR(__xludf.DUMMYFUNCTION("""COMPUTED_VALUE"""),1.50381903E8)</f>
        <v>150381903</v>
      </c>
    </row>
    <row r="3730">
      <c r="A3730" s="3">
        <f>IFERROR(__xludf.DUMMYFUNCTION("""COMPUTED_VALUE"""),45771.66666666667)</f>
        <v>45771.66667</v>
      </c>
      <c r="B3730" s="2">
        <f>IFERROR(__xludf.DUMMYFUNCTION("""COMPUTED_VALUE"""),250.5)</f>
        <v>250.5</v>
      </c>
      <c r="C3730" s="2">
        <f>IFERROR(__xludf.DUMMYFUNCTION("""COMPUTED_VALUE"""),259.54)</f>
        <v>259.54</v>
      </c>
      <c r="D3730" s="2">
        <f>IFERROR(__xludf.DUMMYFUNCTION("""COMPUTED_VALUE"""),249.2)</f>
        <v>249.2</v>
      </c>
      <c r="E3730" s="2">
        <f>IFERROR(__xludf.DUMMYFUNCTION("""COMPUTED_VALUE"""),259.51)</f>
        <v>259.51</v>
      </c>
      <c r="F3730" s="2">
        <f>IFERROR(__xludf.DUMMYFUNCTION("""COMPUTED_VALUE"""),9.4464195E7)</f>
        <v>94464195</v>
      </c>
    </row>
    <row r="3731">
      <c r="A3731" s="3">
        <f>IFERROR(__xludf.DUMMYFUNCTION("""COMPUTED_VALUE"""),45772.66666666667)</f>
        <v>45772.66667</v>
      </c>
      <c r="B3731" s="2">
        <f>IFERROR(__xludf.DUMMYFUNCTION("""COMPUTED_VALUE"""),261.69)</f>
        <v>261.69</v>
      </c>
      <c r="C3731" s="2">
        <f>IFERROR(__xludf.DUMMYFUNCTION("""COMPUTED_VALUE"""),286.85)</f>
        <v>286.85</v>
      </c>
      <c r="D3731" s="2">
        <f>IFERROR(__xludf.DUMMYFUNCTION("""COMPUTED_VALUE"""),259.63)</f>
        <v>259.63</v>
      </c>
      <c r="E3731" s="2">
        <f>IFERROR(__xludf.DUMMYFUNCTION("""COMPUTED_VALUE"""),284.95)</f>
        <v>284.95</v>
      </c>
      <c r="F3731" s="2">
        <f>IFERROR(__xludf.DUMMYFUNCTION("""COMPUTED_VALUE"""),1.67560688E8)</f>
        <v>167560688</v>
      </c>
    </row>
    <row r="3732">
      <c r="A3732" s="3">
        <f>IFERROR(__xludf.DUMMYFUNCTION("""COMPUTED_VALUE"""),45775.66666666667)</f>
        <v>45775.66667</v>
      </c>
      <c r="B3732" s="2">
        <f>IFERROR(__xludf.DUMMYFUNCTION("""COMPUTED_VALUE"""),288.98)</f>
        <v>288.98</v>
      </c>
      <c r="C3732" s="2">
        <f>IFERROR(__xludf.DUMMYFUNCTION("""COMPUTED_VALUE"""),294.86)</f>
        <v>294.86</v>
      </c>
      <c r="D3732" s="2">
        <f>IFERROR(__xludf.DUMMYFUNCTION("""COMPUTED_VALUE"""),272.42)</f>
        <v>272.42</v>
      </c>
      <c r="E3732" s="2">
        <f>IFERROR(__xludf.DUMMYFUNCTION("""COMPUTED_VALUE"""),285.88)</f>
        <v>285.88</v>
      </c>
      <c r="F3732" s="2">
        <f>IFERROR(__xludf.DUMMYFUNCTION("""COMPUTED_VALUE"""),1.51731771E8)</f>
        <v>151731771</v>
      </c>
    </row>
    <row r="3733">
      <c r="A3733" s="3">
        <f>IFERROR(__xludf.DUMMYFUNCTION("""COMPUTED_VALUE"""),45776.66666666667)</f>
        <v>45776.66667</v>
      </c>
      <c r="B3733" s="2">
        <f>IFERROR(__xludf.DUMMYFUNCTION("""COMPUTED_VALUE"""),285.5)</f>
        <v>285.5</v>
      </c>
      <c r="C3733" s="2">
        <f>IFERROR(__xludf.DUMMYFUNCTION("""COMPUTED_VALUE"""),293.32)</f>
        <v>293.32</v>
      </c>
      <c r="D3733" s="2">
        <f>IFERROR(__xludf.DUMMYFUNCTION("""COMPUTED_VALUE"""),279.47)</f>
        <v>279.47</v>
      </c>
      <c r="E3733" s="2">
        <f>IFERROR(__xludf.DUMMYFUNCTION("""COMPUTED_VALUE"""),292.03)</f>
        <v>292.03</v>
      </c>
      <c r="F3733" s="2">
        <f>IFERROR(__xludf.DUMMYFUNCTION("""COMPUTED_VALUE"""),1.08906553E8)</f>
        <v>108906553</v>
      </c>
    </row>
    <row r="3734">
      <c r="A3734" s="3">
        <f>IFERROR(__xludf.DUMMYFUNCTION("""COMPUTED_VALUE"""),45777.66666666667)</f>
        <v>45777.66667</v>
      </c>
      <c r="B3734" s="2">
        <f>IFERROR(__xludf.DUMMYFUNCTION("""COMPUTED_VALUE"""),279.9)</f>
        <v>279.9</v>
      </c>
      <c r="C3734" s="2">
        <f>IFERROR(__xludf.DUMMYFUNCTION("""COMPUTED_VALUE"""),284.45)</f>
        <v>284.45</v>
      </c>
      <c r="D3734" s="2">
        <f>IFERROR(__xludf.DUMMYFUNCTION("""COMPUTED_VALUE"""),270.78)</f>
        <v>270.78</v>
      </c>
      <c r="E3734" s="2">
        <f>IFERROR(__xludf.DUMMYFUNCTION("""COMPUTED_VALUE"""),282.16)</f>
        <v>282.16</v>
      </c>
      <c r="F3734" s="2">
        <f>IFERROR(__xludf.DUMMYFUNCTION("""COMPUTED_VALUE"""),1.28961057E8)</f>
        <v>128961057</v>
      </c>
    </row>
    <row r="3735">
      <c r="A3735" s="3">
        <f>IFERROR(__xludf.DUMMYFUNCTION("""COMPUTED_VALUE"""),45778.66666666667)</f>
        <v>45778.66667</v>
      </c>
      <c r="B3735" s="2">
        <f>IFERROR(__xludf.DUMMYFUNCTION("""COMPUTED_VALUE"""),280.01)</f>
        <v>280.01</v>
      </c>
      <c r="C3735" s="2">
        <f>IFERROR(__xludf.DUMMYFUNCTION("""COMPUTED_VALUE"""),290.87)</f>
        <v>290.87</v>
      </c>
      <c r="D3735" s="2">
        <f>IFERROR(__xludf.DUMMYFUNCTION("""COMPUTED_VALUE"""),279.81)</f>
        <v>279.81</v>
      </c>
      <c r="E3735" s="2">
        <f>IFERROR(__xludf.DUMMYFUNCTION("""COMPUTED_VALUE"""),280.52)</f>
        <v>280.52</v>
      </c>
      <c r="F3735" s="2">
        <f>IFERROR(__xludf.DUMMYFUNCTION("""COMPUTED_VALUE"""),9.9658974E7)</f>
        <v>99658974</v>
      </c>
    </row>
    <row r="3736">
      <c r="A3736" s="3">
        <f>IFERROR(__xludf.DUMMYFUNCTION("""COMPUTED_VALUE"""),45779.66666666667)</f>
        <v>45779.66667</v>
      </c>
      <c r="B3736" s="2">
        <f>IFERROR(__xludf.DUMMYFUNCTION("""COMPUTED_VALUE"""),284.9)</f>
        <v>284.9</v>
      </c>
      <c r="C3736" s="2">
        <f>IFERROR(__xludf.DUMMYFUNCTION("""COMPUTED_VALUE"""),294.78)</f>
        <v>294.78</v>
      </c>
      <c r="D3736" s="2">
        <f>IFERROR(__xludf.DUMMYFUNCTION("""COMPUTED_VALUE"""),279.81)</f>
        <v>279.81</v>
      </c>
      <c r="E3736" s="2">
        <f>IFERROR(__xludf.DUMMYFUNCTION("""COMPUTED_VALUE"""),287.21)</f>
        <v>287.21</v>
      </c>
      <c r="F3736" s="2">
        <f>IFERROR(__xludf.DUMMYFUNCTION("""COMPUTED_VALUE"""),1.14454683E8)</f>
        <v>114454683</v>
      </c>
    </row>
    <row r="3737">
      <c r="A3737" s="3">
        <f>IFERROR(__xludf.DUMMYFUNCTION("""COMPUTED_VALUE"""),45782.66666666667)</f>
        <v>45782.66667</v>
      </c>
      <c r="B3737" s="2">
        <f>IFERROR(__xludf.DUMMYFUNCTION("""COMPUTED_VALUE"""),284.57)</f>
        <v>284.57</v>
      </c>
      <c r="C3737" s="2">
        <f>IFERROR(__xludf.DUMMYFUNCTION("""COMPUTED_VALUE"""),284.85)</f>
        <v>284.85</v>
      </c>
      <c r="D3737" s="2">
        <f>IFERROR(__xludf.DUMMYFUNCTION("""COMPUTED_VALUE"""),274.4)</f>
        <v>274.4</v>
      </c>
      <c r="E3737" s="2">
        <f>IFERROR(__xludf.DUMMYFUNCTION("""COMPUTED_VALUE"""),280.26)</f>
        <v>280.26</v>
      </c>
      <c r="F3737" s="2">
        <f>IFERROR(__xludf.DUMMYFUNCTION("""COMPUTED_VALUE"""),9.4618882E7)</f>
        <v>94618882</v>
      </c>
    </row>
    <row r="3738">
      <c r="A3738" s="3">
        <f>IFERROR(__xludf.DUMMYFUNCTION("""COMPUTED_VALUE"""),45783.66666666667)</f>
        <v>45783.66667</v>
      </c>
      <c r="B3738" s="2">
        <f>IFERROR(__xludf.DUMMYFUNCTION("""COMPUTED_VALUE"""),273.11)</f>
        <v>273.11</v>
      </c>
      <c r="C3738" s="2">
        <f>IFERROR(__xludf.DUMMYFUNCTION("""COMPUTED_VALUE"""),277.73)</f>
        <v>277.73</v>
      </c>
      <c r="D3738" s="2">
        <f>IFERROR(__xludf.DUMMYFUNCTION("""COMPUTED_VALUE"""),271.35)</f>
        <v>271.35</v>
      </c>
      <c r="E3738" s="2">
        <f>IFERROR(__xludf.DUMMYFUNCTION("""COMPUTED_VALUE"""),275.35)</f>
        <v>275.35</v>
      </c>
      <c r="F3738" s="2">
        <f>IFERROR(__xludf.DUMMYFUNCTION("""COMPUTED_VALUE"""),7.6715792E7)</f>
        <v>76715792</v>
      </c>
    </row>
    <row r="3739">
      <c r="A3739" s="3">
        <f>IFERROR(__xludf.DUMMYFUNCTION("""COMPUTED_VALUE"""),45784.66666666667)</f>
        <v>45784.66667</v>
      </c>
      <c r="B3739" s="2">
        <f>IFERROR(__xludf.DUMMYFUNCTION("""COMPUTED_VALUE"""),276.88)</f>
        <v>276.88</v>
      </c>
      <c r="C3739" s="2">
        <f>IFERROR(__xludf.DUMMYFUNCTION("""COMPUTED_VALUE"""),277.92)</f>
        <v>277.92</v>
      </c>
      <c r="D3739" s="2">
        <f>IFERROR(__xludf.DUMMYFUNCTION("""COMPUTED_VALUE"""),271.0)</f>
        <v>271</v>
      </c>
      <c r="E3739" s="2">
        <f>IFERROR(__xludf.DUMMYFUNCTION("""COMPUTED_VALUE"""),276.22)</f>
        <v>276.22</v>
      </c>
      <c r="F3739" s="2">
        <f>IFERROR(__xludf.DUMMYFUNCTION("""COMPUTED_VALUE"""),7.1882408E7)</f>
        <v>71882408</v>
      </c>
    </row>
    <row r="3740">
      <c r="A3740" s="3">
        <f>IFERROR(__xludf.DUMMYFUNCTION("""COMPUTED_VALUE"""),45785.66666666667)</f>
        <v>45785.66667</v>
      </c>
      <c r="B3740" s="2">
        <f>IFERROR(__xludf.DUMMYFUNCTION("""COMPUTED_VALUE"""),279.63)</f>
        <v>279.63</v>
      </c>
      <c r="C3740" s="2">
        <f>IFERROR(__xludf.DUMMYFUNCTION("""COMPUTED_VALUE"""),289.8)</f>
        <v>289.8</v>
      </c>
      <c r="D3740" s="2">
        <f>IFERROR(__xludf.DUMMYFUNCTION("""COMPUTED_VALUE"""),279.41)</f>
        <v>279.41</v>
      </c>
      <c r="E3740" s="2">
        <f>IFERROR(__xludf.DUMMYFUNCTION("""COMPUTED_VALUE"""),284.82)</f>
        <v>284.82</v>
      </c>
      <c r="F3740" s="2">
        <f>IFERROR(__xludf.DUMMYFUNCTION("""COMPUTED_VALUE"""),9.7539448E7)</f>
        <v>97539448</v>
      </c>
    </row>
    <row r="3741">
      <c r="A3741" s="3">
        <f>IFERROR(__xludf.DUMMYFUNCTION("""COMPUTED_VALUE"""),45786.66666666667)</f>
        <v>45786.66667</v>
      </c>
      <c r="B3741" s="2">
        <f>IFERROR(__xludf.DUMMYFUNCTION("""COMPUTED_VALUE"""),290.21)</f>
        <v>290.21</v>
      </c>
      <c r="C3741" s="2">
        <f>IFERROR(__xludf.DUMMYFUNCTION("""COMPUTED_VALUE"""),307.04)</f>
        <v>307.04</v>
      </c>
      <c r="D3741" s="2">
        <f>IFERROR(__xludf.DUMMYFUNCTION("""COMPUTED_VALUE"""),290.0)</f>
        <v>290</v>
      </c>
      <c r="E3741" s="2">
        <f>IFERROR(__xludf.DUMMYFUNCTION("""COMPUTED_VALUE"""),298.26)</f>
        <v>298.26</v>
      </c>
      <c r="F3741" s="2">
        <f>IFERROR(__xludf.DUMMYFUNCTION("""COMPUTED_VALUE"""),1.32387835E8)</f>
        <v>132387835</v>
      </c>
    </row>
    <row r="3742">
      <c r="A3742" s="3">
        <f>IFERROR(__xludf.DUMMYFUNCTION("""COMPUTED_VALUE"""),45789.66666666667)</f>
        <v>45789.66667</v>
      </c>
      <c r="B3742" s="2">
        <f>IFERROR(__xludf.DUMMYFUNCTION("""COMPUTED_VALUE"""),321.99)</f>
        <v>321.99</v>
      </c>
      <c r="C3742" s="2">
        <f>IFERROR(__xludf.DUMMYFUNCTION("""COMPUTED_VALUE"""),322.21)</f>
        <v>322.21</v>
      </c>
      <c r="D3742" s="2">
        <f>IFERROR(__xludf.DUMMYFUNCTION("""COMPUTED_VALUE"""),311.5)</f>
        <v>311.5</v>
      </c>
      <c r="E3742" s="2">
        <f>IFERROR(__xludf.DUMMYFUNCTION("""COMPUTED_VALUE"""),318.38)</f>
        <v>318.38</v>
      </c>
      <c r="F3742" s="2">
        <f>IFERROR(__xludf.DUMMYFUNCTION("""COMPUTED_VALUE"""),1.12826661E8)</f>
        <v>112826661</v>
      </c>
    </row>
    <row r="3743">
      <c r="A3743" s="3">
        <f>IFERROR(__xludf.DUMMYFUNCTION("""COMPUTED_VALUE"""),45790.66666666667)</f>
        <v>45790.66667</v>
      </c>
      <c r="B3743" s="2">
        <f>IFERROR(__xludf.DUMMYFUNCTION("""COMPUTED_VALUE"""),320.0)</f>
        <v>320</v>
      </c>
      <c r="C3743" s="2">
        <f>IFERROR(__xludf.DUMMYFUNCTION("""COMPUTED_VALUE"""),337.59)</f>
        <v>337.59</v>
      </c>
      <c r="D3743" s="2">
        <f>IFERROR(__xludf.DUMMYFUNCTION("""COMPUTED_VALUE"""),316.8)</f>
        <v>316.8</v>
      </c>
      <c r="E3743" s="2">
        <f>IFERROR(__xludf.DUMMYFUNCTION("""COMPUTED_VALUE"""),334.07)</f>
        <v>334.07</v>
      </c>
      <c r="F3743" s="2">
        <f>IFERROR(__xludf.DUMMYFUNCTION("""COMPUTED_VALUE"""),1.36992574E8)</f>
        <v>136992574</v>
      </c>
    </row>
    <row r="3744">
      <c r="A3744" s="3">
        <f>IFERROR(__xludf.DUMMYFUNCTION("""COMPUTED_VALUE"""),45791.66666666667)</f>
        <v>45791.66667</v>
      </c>
      <c r="B3744" s="2">
        <f>IFERROR(__xludf.DUMMYFUNCTION("""COMPUTED_VALUE"""),342.5)</f>
        <v>342.5</v>
      </c>
      <c r="C3744" s="2">
        <f>IFERROR(__xludf.DUMMYFUNCTION("""COMPUTED_VALUE"""),350.0)</f>
        <v>350</v>
      </c>
      <c r="D3744" s="2">
        <f>IFERROR(__xludf.DUMMYFUNCTION("""COMPUTED_VALUE"""),337.0)</f>
        <v>337</v>
      </c>
      <c r="E3744" s="2">
        <f>IFERROR(__xludf.DUMMYFUNCTION("""COMPUTED_VALUE"""),347.68)</f>
        <v>347.68</v>
      </c>
      <c r="F3744" s="2">
        <f>IFERROR(__xludf.DUMMYFUNCTION("""COMPUTED_VALUE"""),1.36997264E8)</f>
        <v>136997264</v>
      </c>
    </row>
    <row r="3745">
      <c r="A3745" s="3">
        <f>IFERROR(__xludf.DUMMYFUNCTION("""COMPUTED_VALUE"""),45792.66666666667)</f>
        <v>45792.66667</v>
      </c>
      <c r="B3745" s="2">
        <f>IFERROR(__xludf.DUMMYFUNCTION("""COMPUTED_VALUE"""),340.34)</f>
        <v>340.34</v>
      </c>
      <c r="C3745" s="2">
        <f>IFERROR(__xludf.DUMMYFUNCTION("""COMPUTED_VALUE"""),346.14)</f>
        <v>346.14</v>
      </c>
      <c r="D3745" s="2">
        <f>IFERROR(__xludf.DUMMYFUNCTION("""COMPUTED_VALUE"""),334.72)</f>
        <v>334.72</v>
      </c>
      <c r="E3745" s="2">
        <f>IFERROR(__xludf.DUMMYFUNCTION("""COMPUTED_VALUE"""),342.82)</f>
        <v>342.82</v>
      </c>
      <c r="F3745" s="2">
        <f>IFERROR(__xludf.DUMMYFUNCTION("""COMPUTED_VALUE"""),9.7882596E7)</f>
        <v>97882596</v>
      </c>
    </row>
    <row r="3746">
      <c r="A3746" s="3">
        <f>IFERROR(__xludf.DUMMYFUNCTION("""COMPUTED_VALUE"""),45793.66666666667)</f>
        <v>45793.66667</v>
      </c>
      <c r="B3746" s="2">
        <f>IFERROR(__xludf.DUMMYFUNCTION("""COMPUTED_VALUE"""),346.24)</f>
        <v>346.24</v>
      </c>
      <c r="C3746" s="2">
        <f>IFERROR(__xludf.DUMMYFUNCTION("""COMPUTED_VALUE"""),351.62)</f>
        <v>351.62</v>
      </c>
      <c r="D3746" s="2">
        <f>IFERROR(__xludf.DUMMYFUNCTION("""COMPUTED_VALUE"""),342.33)</f>
        <v>342.33</v>
      </c>
      <c r="E3746" s="2">
        <f>IFERROR(__xludf.DUMMYFUNCTION("""COMPUTED_VALUE"""),349.98)</f>
        <v>349.98</v>
      </c>
      <c r="F3746" s="2">
        <f>IFERROR(__xludf.DUMMYFUNCTION("""COMPUTED_VALUE"""),9.5895665E7)</f>
        <v>95895665</v>
      </c>
    </row>
    <row r="3747">
      <c r="A3747" s="3">
        <f>IFERROR(__xludf.DUMMYFUNCTION("""COMPUTED_VALUE"""),45796.66666666667)</f>
        <v>45796.66667</v>
      </c>
      <c r="B3747" s="2">
        <f>IFERROR(__xludf.DUMMYFUNCTION("""COMPUTED_VALUE"""),336.3)</f>
        <v>336.3</v>
      </c>
      <c r="C3747" s="2">
        <f>IFERROR(__xludf.DUMMYFUNCTION("""COMPUTED_VALUE"""),343.0)</f>
        <v>343</v>
      </c>
      <c r="D3747" s="2">
        <f>IFERROR(__xludf.DUMMYFUNCTION("""COMPUTED_VALUE"""),333.37)</f>
        <v>333.37</v>
      </c>
      <c r="E3747" s="2">
        <f>IFERROR(__xludf.DUMMYFUNCTION("""COMPUTED_VALUE"""),342.09)</f>
        <v>342.09</v>
      </c>
      <c r="F3747" s="2">
        <f>IFERROR(__xludf.DUMMYFUNCTION("""COMPUTED_VALUE"""),8.8869853E7)</f>
        <v>88869853</v>
      </c>
    </row>
    <row r="3748">
      <c r="A3748" s="3">
        <f>IFERROR(__xludf.DUMMYFUNCTION("""COMPUTED_VALUE"""),45797.66666666667)</f>
        <v>45797.66667</v>
      </c>
      <c r="B3748" s="2">
        <f>IFERROR(__xludf.DUMMYFUNCTION("""COMPUTED_VALUE"""),347.87)</f>
        <v>347.87</v>
      </c>
      <c r="C3748" s="2">
        <f>IFERROR(__xludf.DUMMYFUNCTION("""COMPUTED_VALUE"""),354.99)</f>
        <v>354.99</v>
      </c>
      <c r="D3748" s="2">
        <f>IFERROR(__xludf.DUMMYFUNCTION("""COMPUTED_VALUE"""),341.63)</f>
        <v>341.63</v>
      </c>
      <c r="E3748" s="2">
        <f>IFERROR(__xludf.DUMMYFUNCTION("""COMPUTED_VALUE"""),343.82)</f>
        <v>343.82</v>
      </c>
      <c r="F3748" s="2">
        <f>IFERROR(__xludf.DUMMYFUNCTION("""COMPUTED_VALUE"""),1.31715548E8)</f>
        <v>131715548</v>
      </c>
    </row>
    <row r="3749">
      <c r="A3749" s="3">
        <f>IFERROR(__xludf.DUMMYFUNCTION("""COMPUTED_VALUE"""),45798.66666666667)</f>
        <v>45798.66667</v>
      </c>
      <c r="B3749" s="2">
        <f>IFERROR(__xludf.DUMMYFUNCTION("""COMPUTED_VALUE"""),344.43)</f>
        <v>344.43</v>
      </c>
      <c r="C3749" s="2">
        <f>IFERROR(__xludf.DUMMYFUNCTION("""COMPUTED_VALUE"""),347.35)</f>
        <v>347.35</v>
      </c>
      <c r="D3749" s="2">
        <f>IFERROR(__xludf.DUMMYFUNCTION("""COMPUTED_VALUE"""),332.2)</f>
        <v>332.2</v>
      </c>
      <c r="E3749" s="2">
        <f>IFERROR(__xludf.DUMMYFUNCTION("""COMPUTED_VALUE"""),334.62)</f>
        <v>334.62</v>
      </c>
      <c r="F3749" s="2">
        <f>IFERROR(__xludf.DUMMYFUNCTION("""COMPUTED_VALUE"""),1.02354844E8)</f>
        <v>102354844</v>
      </c>
    </row>
    <row r="3750">
      <c r="A3750" s="3">
        <f>IFERROR(__xludf.DUMMYFUNCTION("""COMPUTED_VALUE"""),45799.66666666667)</f>
        <v>45799.66667</v>
      </c>
      <c r="B3750" s="2">
        <f>IFERROR(__xludf.DUMMYFUNCTION("""COMPUTED_VALUE"""),344.43)</f>
        <v>344.43</v>
      </c>
      <c r="C3750" s="2">
        <f>IFERROR(__xludf.DUMMYFUNCTION("""COMPUTED_VALUE"""),347.35)</f>
        <v>347.35</v>
      </c>
      <c r="D3750" s="2">
        <f>IFERROR(__xludf.DUMMYFUNCTION("""COMPUTED_VALUE"""),332.2)</f>
        <v>332.2</v>
      </c>
      <c r="E3750" s="2">
        <f>IFERROR(__xludf.DUMMYFUNCTION("""COMPUTED_VALUE"""),334.62)</f>
        <v>334.62</v>
      </c>
      <c r="F3750" s="2">
        <f>IFERROR(__xludf.DUMMYFUNCTION("""COMPUTED_VALUE"""),5462213.0)</f>
        <v>5462213</v>
      </c>
    </row>
    <row r="3751">
      <c r="A3751" s="3">
        <f>IFERROR(__xludf.DUMMYFUNCTION("""COMPUTED_VALUE"""),45800.66666666667)</f>
        <v>45800.66667</v>
      </c>
      <c r="B3751" s="2">
        <f>IFERROR(__xludf.DUMMYFUNCTION("""COMPUTED_VALUE"""),337.92)</f>
        <v>337.92</v>
      </c>
      <c r="C3751" s="2">
        <f>IFERROR(__xludf.DUMMYFUNCTION("""COMPUTED_VALUE"""),343.18)</f>
        <v>343.18</v>
      </c>
      <c r="D3751" s="2">
        <f>IFERROR(__xludf.DUMMYFUNCTION("""COMPUTED_VALUE"""),333.21)</f>
        <v>333.21</v>
      </c>
      <c r="E3751" s="2">
        <f>IFERROR(__xludf.DUMMYFUNCTION("""COMPUTED_VALUE"""),339.34)</f>
        <v>339.34</v>
      </c>
      <c r="F3751" s="2">
        <f>IFERROR(__xludf.DUMMYFUNCTION("""COMPUTED_VALUE"""),8.4654818E7)</f>
        <v>84654818</v>
      </c>
    </row>
    <row r="3752">
      <c r="A3752" s="3">
        <f>IFERROR(__xludf.DUMMYFUNCTION("""COMPUTED_VALUE"""),45804.66666666667)</f>
        <v>45804.66667</v>
      </c>
      <c r="B3752" s="2">
        <f>IFERROR(__xludf.DUMMYFUNCTION("""COMPUTED_VALUE"""),347.35)</f>
        <v>347.35</v>
      </c>
      <c r="C3752" s="2">
        <f>IFERROR(__xludf.DUMMYFUNCTION("""COMPUTED_VALUE"""),363.79)</f>
        <v>363.79</v>
      </c>
      <c r="D3752" s="2">
        <f>IFERROR(__xludf.DUMMYFUNCTION("""COMPUTED_VALUE"""),347.32)</f>
        <v>347.32</v>
      </c>
      <c r="E3752" s="2">
        <f>IFERROR(__xludf.DUMMYFUNCTION("""COMPUTED_VALUE"""),362.89)</f>
        <v>362.89</v>
      </c>
      <c r="F3752" s="2">
        <f>IFERROR(__xludf.DUMMYFUNCTION("""COMPUTED_VALUE"""),1.20146414E8)</f>
        <v>120146414</v>
      </c>
    </row>
    <row r="3753">
      <c r="A3753" s="3">
        <f>IFERROR(__xludf.DUMMYFUNCTION("""COMPUTED_VALUE"""),45805.66666666667)</f>
        <v>45805.66667</v>
      </c>
      <c r="B3753" s="2">
        <f>IFERROR(__xludf.DUMMYFUNCTION("""COMPUTED_VALUE"""),364.84)</f>
        <v>364.84</v>
      </c>
      <c r="C3753" s="2">
        <f>IFERROR(__xludf.DUMMYFUNCTION("""COMPUTED_VALUE"""),365.0)</f>
        <v>365</v>
      </c>
      <c r="D3753" s="2">
        <f>IFERROR(__xludf.DUMMYFUNCTION("""COMPUTED_VALUE"""),355.91)</f>
        <v>355.91</v>
      </c>
      <c r="E3753" s="2">
        <f>IFERROR(__xludf.DUMMYFUNCTION("""COMPUTED_VALUE"""),356.9)</f>
        <v>356.9</v>
      </c>
      <c r="F3753" s="2">
        <f>IFERROR(__xludf.DUMMYFUNCTION("""COMPUTED_VALUE"""),9.1404309E7)</f>
        <v>91404309</v>
      </c>
    </row>
    <row r="3754">
      <c r="A3754" s="3">
        <f>IFERROR(__xludf.DUMMYFUNCTION("""COMPUTED_VALUE"""),45806.66666666667)</f>
        <v>45806.66667</v>
      </c>
      <c r="B3754" s="2">
        <f>IFERROR(__xludf.DUMMYFUNCTION("""COMPUTED_VALUE"""),365.29)</f>
        <v>365.29</v>
      </c>
      <c r="C3754" s="2">
        <f>IFERROR(__xludf.DUMMYFUNCTION("""COMPUTED_VALUE"""),367.71)</f>
        <v>367.71</v>
      </c>
      <c r="D3754" s="2">
        <f>IFERROR(__xludf.DUMMYFUNCTION("""COMPUTED_VALUE"""),356.0)</f>
        <v>356</v>
      </c>
      <c r="E3754" s="2">
        <f>IFERROR(__xludf.DUMMYFUNCTION("""COMPUTED_VALUE"""),358.43)</f>
        <v>358.43</v>
      </c>
      <c r="F3754" s="2">
        <f>IFERROR(__xludf.DUMMYFUNCTION("""COMPUTED_VALUE"""),8.8545666E7)</f>
        <v>88545666</v>
      </c>
    </row>
    <row r="3755">
      <c r="A3755" s="3">
        <f>IFERROR(__xludf.DUMMYFUNCTION("""COMPUTED_VALUE"""),45807.66666666667)</f>
        <v>45807.66667</v>
      </c>
      <c r="B3755" s="2">
        <f>IFERROR(__xludf.DUMMYFUNCTION("""COMPUTED_VALUE"""),355.52)</f>
        <v>355.52</v>
      </c>
      <c r="C3755" s="2">
        <f>IFERROR(__xludf.DUMMYFUNCTION("""COMPUTED_VALUE"""),363.68)</f>
        <v>363.68</v>
      </c>
      <c r="D3755" s="2">
        <f>IFERROR(__xludf.DUMMYFUNCTION("""COMPUTED_VALUE"""),345.29)</f>
        <v>345.29</v>
      </c>
      <c r="E3755" s="2">
        <f>IFERROR(__xludf.DUMMYFUNCTION("""COMPUTED_VALUE"""),346.46)</f>
        <v>346.46</v>
      </c>
      <c r="F3755" s="2">
        <f>IFERROR(__xludf.DUMMYFUNCTION("""COMPUTED_VALUE"""),1.23474938E8)</f>
        <v>123474938</v>
      </c>
    </row>
    <row r="3756">
      <c r="A3756" s="3">
        <f>IFERROR(__xludf.DUMMYFUNCTION("""COMPUTED_VALUE"""),45810.66666666667)</f>
        <v>45810.66667</v>
      </c>
      <c r="B3756" s="2">
        <f>IFERROR(__xludf.DUMMYFUNCTION("""COMPUTED_VALUE"""),343.5)</f>
        <v>343.5</v>
      </c>
      <c r="C3756" s="2">
        <f>IFERROR(__xludf.DUMMYFUNCTION("""COMPUTED_VALUE"""),348.02)</f>
        <v>348.02</v>
      </c>
      <c r="D3756" s="2">
        <f>IFERROR(__xludf.DUMMYFUNCTION("""COMPUTED_VALUE"""),333.33)</f>
        <v>333.33</v>
      </c>
      <c r="E3756" s="2">
        <f>IFERROR(__xludf.DUMMYFUNCTION("""COMPUTED_VALUE"""),342.69)</f>
        <v>342.69</v>
      </c>
      <c r="F3756" s="2">
        <f>IFERROR(__xludf.DUMMYFUNCTION("""COMPUTED_VALUE"""),8.1873829E7)</f>
        <v>81873829</v>
      </c>
    </row>
    <row r="3757">
      <c r="A3757" s="3">
        <f>IFERROR(__xludf.DUMMYFUNCTION("""COMPUTED_VALUE"""),45811.66666666667)</f>
        <v>45811.66667</v>
      </c>
      <c r="B3757" s="2">
        <f>IFERROR(__xludf.DUMMYFUNCTION("""COMPUTED_VALUE"""),346.6)</f>
        <v>346.6</v>
      </c>
      <c r="C3757" s="2">
        <f>IFERROR(__xludf.DUMMYFUNCTION("""COMPUTED_VALUE"""),355.4)</f>
        <v>355.4</v>
      </c>
      <c r="D3757" s="2">
        <f>IFERROR(__xludf.DUMMYFUNCTION("""COMPUTED_VALUE"""),343.04)</f>
        <v>343.04</v>
      </c>
      <c r="E3757" s="2">
        <f>IFERROR(__xludf.DUMMYFUNCTION("""COMPUTED_VALUE"""),344.27)</f>
        <v>344.27</v>
      </c>
      <c r="F3757" s="2">
        <f>IFERROR(__xludf.DUMMYFUNCTION("""COMPUTED_VALUE"""),9.9324544E7)</f>
        <v>99324544</v>
      </c>
    </row>
    <row r="3758">
      <c r="A3758" s="3">
        <f>IFERROR(__xludf.DUMMYFUNCTION("""COMPUTED_VALUE"""),45812.66666666667)</f>
        <v>45812.66667</v>
      </c>
      <c r="B3758" s="2">
        <f>IFERROR(__xludf.DUMMYFUNCTION("""COMPUTED_VALUE"""),345.1)</f>
        <v>345.1</v>
      </c>
      <c r="C3758" s="2">
        <f>IFERROR(__xludf.DUMMYFUNCTION("""COMPUTED_VALUE"""),345.6)</f>
        <v>345.6</v>
      </c>
      <c r="D3758" s="2">
        <f>IFERROR(__xludf.DUMMYFUNCTION("""COMPUTED_VALUE"""),327.33)</f>
        <v>327.33</v>
      </c>
      <c r="E3758" s="2">
        <f>IFERROR(__xludf.DUMMYFUNCTION("""COMPUTED_VALUE"""),332.05)</f>
        <v>332.05</v>
      </c>
      <c r="F3758" s="2">
        <f>IFERROR(__xludf.DUMMYFUNCTION("""COMPUTED_VALUE"""),9.8912075E7)</f>
        <v>98912075</v>
      </c>
    </row>
    <row r="3759">
      <c r="A3759" s="3">
        <f>IFERROR(__xludf.DUMMYFUNCTION("""COMPUTED_VALUE"""),45813.66666666667)</f>
        <v>45813.66667</v>
      </c>
      <c r="B3759" s="2">
        <f>IFERROR(__xludf.DUMMYFUNCTION("""COMPUTED_VALUE"""),322.49)</f>
        <v>322.49</v>
      </c>
      <c r="C3759" s="2">
        <f>IFERROR(__xludf.DUMMYFUNCTION("""COMPUTED_VALUE"""),324.55)</f>
        <v>324.55</v>
      </c>
      <c r="D3759" s="2">
        <f>IFERROR(__xludf.DUMMYFUNCTION("""COMPUTED_VALUE"""),273.21)</f>
        <v>273.21</v>
      </c>
      <c r="E3759" s="2">
        <f>IFERROR(__xludf.DUMMYFUNCTION("""COMPUTED_VALUE"""),284.7)</f>
        <v>284.7</v>
      </c>
      <c r="F3759" s="2">
        <f>IFERROR(__xludf.DUMMYFUNCTION("""COMPUTED_VALUE"""),2.92818655E8)</f>
        <v>292818655</v>
      </c>
    </row>
    <row r="3760">
      <c r="A3760" s="3">
        <f>IFERROR(__xludf.DUMMYFUNCTION("""COMPUTED_VALUE"""),45814.66666666667)</f>
        <v>45814.66667</v>
      </c>
      <c r="B3760" s="2">
        <f>IFERROR(__xludf.DUMMYFUNCTION("""COMPUTED_VALUE"""),298.83)</f>
        <v>298.83</v>
      </c>
      <c r="C3760" s="2">
        <f>IFERROR(__xludf.DUMMYFUNCTION("""COMPUTED_VALUE"""),305.5)</f>
        <v>305.5</v>
      </c>
      <c r="D3760" s="2">
        <f>IFERROR(__xludf.DUMMYFUNCTION("""COMPUTED_VALUE"""),291.14)</f>
        <v>291.14</v>
      </c>
      <c r="E3760" s="2">
        <f>IFERROR(__xludf.DUMMYFUNCTION("""COMPUTED_VALUE"""),295.14)</f>
        <v>295.14</v>
      </c>
      <c r="F3760" s="2">
        <f>IFERROR(__xludf.DUMMYFUNCTION("""COMPUTED_VALUE"""),1.64747685E8)</f>
        <v>164747685</v>
      </c>
    </row>
    <row r="3761">
      <c r="A3761" s="3">
        <f>IFERROR(__xludf.DUMMYFUNCTION("""COMPUTED_VALUE"""),45817.66666666667)</f>
        <v>45817.66667</v>
      </c>
      <c r="B3761" s="2">
        <f>IFERROR(__xludf.DUMMYFUNCTION("""COMPUTED_VALUE"""),285.96)</f>
        <v>285.96</v>
      </c>
      <c r="C3761" s="2">
        <f>IFERROR(__xludf.DUMMYFUNCTION("""COMPUTED_VALUE"""),309.83)</f>
        <v>309.83</v>
      </c>
      <c r="D3761" s="2">
        <f>IFERROR(__xludf.DUMMYFUNCTION("""COMPUTED_VALUE"""),281.85)</f>
        <v>281.85</v>
      </c>
      <c r="E3761" s="2">
        <f>IFERROR(__xludf.DUMMYFUNCTION("""COMPUTED_VALUE"""),308.58)</f>
        <v>308.58</v>
      </c>
      <c r="F3761" s="2">
        <f>IFERROR(__xludf.DUMMYFUNCTION("""COMPUTED_VALUE"""),1.40908876E8)</f>
        <v>140908876</v>
      </c>
    </row>
    <row r="3762">
      <c r="A3762" s="3">
        <f>IFERROR(__xludf.DUMMYFUNCTION("""COMPUTED_VALUE"""),45818.66666666667)</f>
        <v>45818.66667</v>
      </c>
      <c r="B3762" s="2">
        <f>IFERROR(__xludf.DUMMYFUNCTION("""COMPUTED_VALUE"""),314.94)</f>
        <v>314.94</v>
      </c>
      <c r="C3762" s="2">
        <f>IFERROR(__xludf.DUMMYFUNCTION("""COMPUTED_VALUE"""),327.83)</f>
        <v>327.83</v>
      </c>
      <c r="D3762" s="2">
        <f>IFERROR(__xludf.DUMMYFUNCTION("""COMPUTED_VALUE"""),310.67)</f>
        <v>310.67</v>
      </c>
      <c r="E3762" s="2">
        <f>IFERROR(__xludf.DUMMYFUNCTION("""COMPUTED_VALUE"""),326.09)</f>
        <v>326.09</v>
      </c>
      <c r="F3762" s="2">
        <f>IFERROR(__xludf.DUMMYFUNCTION("""COMPUTED_VALUE"""),1.5125652E8)</f>
        <v>151256520</v>
      </c>
    </row>
    <row r="3763">
      <c r="A3763" s="3">
        <f>IFERROR(__xludf.DUMMYFUNCTION("""COMPUTED_VALUE"""),45819.66666666667)</f>
        <v>45819.66667</v>
      </c>
      <c r="B3763" s="2">
        <f>IFERROR(__xludf.DUMMYFUNCTION("""COMPUTED_VALUE"""),334.4)</f>
        <v>334.4</v>
      </c>
      <c r="C3763" s="2">
        <f>IFERROR(__xludf.DUMMYFUNCTION("""COMPUTED_VALUE"""),335.5)</f>
        <v>335.5</v>
      </c>
      <c r="D3763" s="2">
        <f>IFERROR(__xludf.DUMMYFUNCTION("""COMPUTED_VALUE"""),322.5)</f>
        <v>322.5</v>
      </c>
      <c r="E3763" s="2">
        <f>IFERROR(__xludf.DUMMYFUNCTION("""COMPUTED_VALUE"""),326.43)</f>
        <v>326.43</v>
      </c>
      <c r="F3763" s="2">
        <f>IFERROR(__xludf.DUMMYFUNCTION("""COMPUTED_VALUE"""),1.2261136E8)</f>
        <v>122611360</v>
      </c>
    </row>
    <row r="3764">
      <c r="A3764" s="3">
        <f>IFERROR(__xludf.DUMMYFUNCTION("""COMPUTED_VALUE"""),45820.66666666667)</f>
        <v>45820.66667</v>
      </c>
      <c r="B3764" s="2">
        <f>IFERROR(__xludf.DUMMYFUNCTION("""COMPUTED_VALUE"""),323.08)</f>
        <v>323.08</v>
      </c>
      <c r="C3764" s="2">
        <f>IFERROR(__xludf.DUMMYFUNCTION("""COMPUTED_VALUE"""),332.56)</f>
        <v>332.56</v>
      </c>
      <c r="D3764" s="2">
        <f>IFERROR(__xludf.DUMMYFUNCTION("""COMPUTED_VALUE"""),316.86)</f>
        <v>316.86</v>
      </c>
      <c r="E3764" s="2">
        <f>IFERROR(__xludf.DUMMYFUNCTION("""COMPUTED_VALUE"""),319.11)</f>
        <v>319.11</v>
      </c>
      <c r="F3764" s="2">
        <f>IFERROR(__xludf.DUMMYFUNCTION("""COMPUTED_VALUE"""),1.05127536E8)</f>
        <v>105127536</v>
      </c>
    </row>
    <row r="3765">
      <c r="A3765" s="3">
        <f>IFERROR(__xludf.DUMMYFUNCTION("""COMPUTED_VALUE"""),45821.66666666667)</f>
        <v>45821.66667</v>
      </c>
      <c r="B3765" s="2">
        <f>IFERROR(__xludf.DUMMYFUNCTION("""COMPUTED_VALUE"""),313.97)</f>
        <v>313.97</v>
      </c>
      <c r="C3765" s="2">
        <f>IFERROR(__xludf.DUMMYFUNCTION("""COMPUTED_VALUE"""),332.99)</f>
        <v>332.99</v>
      </c>
      <c r="D3765" s="2">
        <f>IFERROR(__xludf.DUMMYFUNCTION("""COMPUTED_VALUE"""),313.3)</f>
        <v>313.3</v>
      </c>
      <c r="E3765" s="2">
        <f>IFERROR(__xludf.DUMMYFUNCTION("""COMPUTED_VALUE"""),325.31)</f>
        <v>325.31</v>
      </c>
      <c r="F3765" s="2">
        <f>IFERROR(__xludf.DUMMYFUNCTION("""COMPUTED_VALUE"""),1.28964279E8)</f>
        <v>128964279</v>
      </c>
    </row>
    <row r="3766">
      <c r="A3766" s="3">
        <f>IFERROR(__xludf.DUMMYFUNCTION("""COMPUTED_VALUE"""),45824.66666666667)</f>
        <v>45824.66667</v>
      </c>
      <c r="B3766" s="2">
        <f>IFERROR(__xludf.DUMMYFUNCTION("""COMPUTED_VALUE"""),331.29)</f>
        <v>331.29</v>
      </c>
      <c r="C3766" s="2">
        <f>IFERROR(__xludf.DUMMYFUNCTION("""COMPUTED_VALUE"""),332.05)</f>
        <v>332.05</v>
      </c>
      <c r="D3766" s="2">
        <f>IFERROR(__xludf.DUMMYFUNCTION("""COMPUTED_VALUE"""),326.41)</f>
        <v>326.41</v>
      </c>
      <c r="E3766" s="2">
        <f>IFERROR(__xludf.DUMMYFUNCTION("""COMPUTED_VALUE"""),329.13)</f>
        <v>329.13</v>
      </c>
      <c r="F3766" s="2">
        <f>IFERROR(__xludf.DUMMYFUNCTION("""COMPUTED_VALUE"""),8.3925858E7)</f>
        <v>83925858</v>
      </c>
    </row>
    <row r="3767">
      <c r="A3767" s="3">
        <f>IFERROR(__xludf.DUMMYFUNCTION("""COMPUTED_VALUE"""),45825.66666666667)</f>
        <v>45825.66667</v>
      </c>
      <c r="B3767" s="2">
        <f>IFERROR(__xludf.DUMMYFUNCTION("""COMPUTED_VALUE"""),326.09)</f>
        <v>326.09</v>
      </c>
      <c r="C3767" s="2">
        <f>IFERROR(__xludf.DUMMYFUNCTION("""COMPUTED_VALUE"""),327.26)</f>
        <v>327.26</v>
      </c>
      <c r="D3767" s="2">
        <f>IFERROR(__xludf.DUMMYFUNCTION("""COMPUTED_VALUE"""),314.74)</f>
        <v>314.74</v>
      </c>
      <c r="E3767" s="2">
        <f>IFERROR(__xludf.DUMMYFUNCTION("""COMPUTED_VALUE"""),316.35)</f>
        <v>316.35</v>
      </c>
      <c r="F3767" s="2">
        <f>IFERROR(__xludf.DUMMYFUNCTION("""COMPUTED_VALUE"""),8.8282669E7)</f>
        <v>88282669</v>
      </c>
    </row>
    <row r="3768">
      <c r="A3768" s="3">
        <f>IFERROR(__xludf.DUMMYFUNCTION("""COMPUTED_VALUE"""),45826.66666666667)</f>
        <v>45826.66667</v>
      </c>
      <c r="B3768" s="2">
        <f>IFERROR(__xludf.DUMMYFUNCTION("""COMPUTED_VALUE"""),317.31)</f>
        <v>317.31</v>
      </c>
      <c r="C3768" s="2">
        <f>IFERROR(__xludf.DUMMYFUNCTION("""COMPUTED_VALUE"""),329.32)</f>
        <v>329.32</v>
      </c>
      <c r="D3768" s="2">
        <f>IFERROR(__xludf.DUMMYFUNCTION("""COMPUTED_VALUE"""),315.45)</f>
        <v>315.45</v>
      </c>
      <c r="E3768" s="2">
        <f>IFERROR(__xludf.DUMMYFUNCTION("""COMPUTED_VALUE"""),322.05)</f>
        <v>322.05</v>
      </c>
      <c r="F3768" s="2">
        <f>IFERROR(__xludf.DUMMYFUNCTION("""COMPUTED_VALUE"""),9.5137686E7)</f>
        <v>95137686</v>
      </c>
    </row>
    <row r="3769">
      <c r="A3769" s="3">
        <f>IFERROR(__xludf.DUMMYFUNCTION("""COMPUTED_VALUE"""),45828.66666666667)</f>
        <v>45828.66667</v>
      </c>
      <c r="B3769" s="2">
        <f>IFERROR(__xludf.DUMMYFUNCTION("""COMPUTED_VALUE"""),327.95)</f>
        <v>327.95</v>
      </c>
      <c r="C3769" s="2">
        <f>IFERROR(__xludf.DUMMYFUNCTION("""COMPUTED_VALUE"""),332.36)</f>
        <v>332.36</v>
      </c>
      <c r="D3769" s="2">
        <f>IFERROR(__xludf.DUMMYFUNCTION("""COMPUTED_VALUE"""),317.78)</f>
        <v>317.78</v>
      </c>
      <c r="E3769" s="2">
        <f>IFERROR(__xludf.DUMMYFUNCTION("""COMPUTED_VALUE"""),322.16)</f>
        <v>322.16</v>
      </c>
      <c r="F3769" s="2">
        <f>IFERROR(__xludf.DUMMYFUNCTION("""COMPUTED_VALUE"""),1.08688008E8)</f>
        <v>108688008</v>
      </c>
    </row>
    <row r="3770">
      <c r="A3770" s="3">
        <f>IFERROR(__xludf.DUMMYFUNCTION("""COMPUTED_VALUE"""),45831.66666666667)</f>
        <v>45831.66667</v>
      </c>
      <c r="B3770" s="2">
        <f>IFERROR(__xludf.DUMMYFUNCTION("""COMPUTED_VALUE"""),327.54)</f>
        <v>327.54</v>
      </c>
      <c r="C3770" s="2">
        <f>IFERROR(__xludf.DUMMYFUNCTION("""COMPUTED_VALUE"""),357.54)</f>
        <v>357.54</v>
      </c>
      <c r="D3770" s="2">
        <f>IFERROR(__xludf.DUMMYFUNCTION("""COMPUTED_VALUE"""),327.48)</f>
        <v>327.48</v>
      </c>
      <c r="E3770" s="2">
        <f>IFERROR(__xludf.DUMMYFUNCTION("""COMPUTED_VALUE"""),348.68)</f>
        <v>348.68</v>
      </c>
      <c r="F3770" s="2">
        <f>IFERROR(__xludf.DUMMYFUNCTION("""COMPUTED_VALUE"""),1.90716815E8)</f>
        <v>190716815</v>
      </c>
    </row>
    <row r="3771">
      <c r="A3771" s="3">
        <f>IFERROR(__xludf.DUMMYFUNCTION("""COMPUTED_VALUE"""),45832.66666666667)</f>
        <v>45832.66667</v>
      </c>
      <c r="B3771" s="2">
        <f>IFERROR(__xludf.DUMMYFUNCTION("""COMPUTED_VALUE"""),356.17)</f>
        <v>356.17</v>
      </c>
      <c r="C3771" s="2">
        <f>IFERROR(__xludf.DUMMYFUNCTION("""COMPUTED_VALUE"""),356.26)</f>
        <v>356.26</v>
      </c>
      <c r="D3771" s="2">
        <f>IFERROR(__xludf.DUMMYFUNCTION("""COMPUTED_VALUE"""),340.44)</f>
        <v>340.44</v>
      </c>
      <c r="E3771" s="2">
        <f>IFERROR(__xludf.DUMMYFUNCTION("""COMPUTED_VALUE"""),340.47)</f>
        <v>340.47</v>
      </c>
      <c r="F3771" s="2">
        <f>IFERROR(__xludf.DUMMYFUNCTION("""COMPUTED_VALUE"""),1.14736245E8)</f>
        <v>114736245</v>
      </c>
    </row>
    <row r="3772">
      <c r="A3772" s="3">
        <f>IFERROR(__xludf.DUMMYFUNCTION("""COMPUTED_VALUE"""),45833.66666666667)</f>
        <v>45833.66667</v>
      </c>
      <c r="B3772" s="2">
        <f>IFERROR(__xludf.DUMMYFUNCTION("""COMPUTED_VALUE"""),342.7)</f>
        <v>342.7</v>
      </c>
      <c r="C3772" s="2">
        <f>IFERROR(__xludf.DUMMYFUNCTION("""COMPUTED_VALUE"""),343.0)</f>
        <v>343</v>
      </c>
      <c r="D3772" s="2">
        <f>IFERROR(__xludf.DUMMYFUNCTION("""COMPUTED_VALUE"""),320.4)</f>
        <v>320.4</v>
      </c>
      <c r="E3772" s="2">
        <f>IFERROR(__xludf.DUMMYFUNCTION("""COMPUTED_VALUE"""),327.55)</f>
        <v>327.55</v>
      </c>
      <c r="F3772" s="2">
        <f>IFERROR(__xludf.DUMMYFUNCTION("""COMPUTED_VALUE"""),1.1984505E8)</f>
        <v>119845050</v>
      </c>
    </row>
    <row r="3773">
      <c r="A3773" s="3">
        <f>IFERROR(__xludf.DUMMYFUNCTION("""COMPUTED_VALUE"""),45834.66666666667)</f>
        <v>45834.66667</v>
      </c>
      <c r="B3773" s="2">
        <f>IFERROR(__xludf.DUMMYFUNCTION("""COMPUTED_VALUE"""),324.61)</f>
        <v>324.61</v>
      </c>
      <c r="C3773" s="2">
        <f>IFERROR(__xludf.DUMMYFUNCTION("""COMPUTED_VALUE"""),331.05)</f>
        <v>331.05</v>
      </c>
      <c r="D3773" s="2">
        <f>IFERROR(__xludf.DUMMYFUNCTION("""COMPUTED_VALUE"""),323.61)</f>
        <v>323.61</v>
      </c>
      <c r="E3773" s="2">
        <f>IFERROR(__xludf.DUMMYFUNCTION("""COMPUTED_VALUE"""),325.78)</f>
        <v>325.78</v>
      </c>
      <c r="F3773" s="2">
        <f>IFERROR(__xludf.DUMMYFUNCTION("""COMPUTED_VALUE"""),8.0440907E7)</f>
        <v>80440907</v>
      </c>
    </row>
    <row r="3774">
      <c r="A3774" s="3">
        <f>IFERROR(__xludf.DUMMYFUNCTION("""COMPUTED_VALUE"""),45835.66666666667)</f>
        <v>45835.66667</v>
      </c>
      <c r="B3774" s="2">
        <f>IFERROR(__xludf.DUMMYFUNCTION("""COMPUTED_VALUE"""),324.51)</f>
        <v>324.51</v>
      </c>
      <c r="C3774" s="2">
        <f>IFERROR(__xludf.DUMMYFUNCTION("""COMPUTED_VALUE"""),329.34)</f>
        <v>329.34</v>
      </c>
      <c r="D3774" s="2">
        <f>IFERROR(__xludf.DUMMYFUNCTION("""COMPUTED_VALUE"""),317.5)</f>
        <v>317.5</v>
      </c>
      <c r="E3774" s="2">
        <f>IFERROR(__xludf.DUMMYFUNCTION("""COMPUTED_VALUE"""),323.63)</f>
        <v>323.63</v>
      </c>
      <c r="F3774" s="2">
        <f>IFERROR(__xludf.DUMMYFUNCTION("""COMPUTED_VALUE"""),8.9067049E7)</f>
        <v>89067049</v>
      </c>
    </row>
    <row r="3775">
      <c r="A3775" s="3">
        <f>IFERROR(__xludf.DUMMYFUNCTION("""COMPUTED_VALUE"""),45838.66666666667)</f>
        <v>45838.66667</v>
      </c>
      <c r="B3775" s="2">
        <f>IFERROR(__xludf.DUMMYFUNCTION("""COMPUTED_VALUE"""),319.9)</f>
        <v>319.9</v>
      </c>
      <c r="C3775" s="2">
        <f>IFERROR(__xludf.DUMMYFUNCTION("""COMPUTED_VALUE"""),325.58)</f>
        <v>325.58</v>
      </c>
      <c r="D3775" s="2">
        <f>IFERROR(__xludf.DUMMYFUNCTION("""COMPUTED_VALUE"""),316.6)</f>
        <v>316.6</v>
      </c>
      <c r="E3775" s="2">
        <f>IFERROR(__xludf.DUMMYFUNCTION("""COMPUTED_VALUE"""),317.66)</f>
        <v>317.66</v>
      </c>
      <c r="F3775" s="2">
        <f>IFERROR(__xludf.DUMMYFUNCTION("""COMPUTED_VALUE"""),7.6695081E7)</f>
        <v>76695081</v>
      </c>
    </row>
    <row r="3776">
      <c r="A3776" s="3">
        <f>IFERROR(__xludf.DUMMYFUNCTION("""COMPUTED_VALUE"""),45839.66666666667)</f>
        <v>45839.66667</v>
      </c>
      <c r="B3776" s="2">
        <f>IFERROR(__xludf.DUMMYFUNCTION("""COMPUTED_VALUE"""),298.46)</f>
        <v>298.46</v>
      </c>
      <c r="C3776" s="2">
        <f>IFERROR(__xludf.DUMMYFUNCTION("""COMPUTED_VALUE"""),305.89)</f>
        <v>305.89</v>
      </c>
      <c r="D3776" s="2">
        <f>IFERROR(__xludf.DUMMYFUNCTION("""COMPUTED_VALUE"""),293.21)</f>
        <v>293.21</v>
      </c>
      <c r="E3776" s="2">
        <f>IFERROR(__xludf.DUMMYFUNCTION("""COMPUTED_VALUE"""),300.71)</f>
        <v>300.71</v>
      </c>
      <c r="F3776" s="2">
        <f>IFERROR(__xludf.DUMMYFUNCTION("""COMPUTED_VALUE"""),1.45085665E8)</f>
        <v>145085665</v>
      </c>
    </row>
    <row r="3777">
      <c r="A3777" s="3">
        <f>IFERROR(__xludf.DUMMYFUNCTION("""COMPUTED_VALUE"""),45840.66666666667)</f>
        <v>45840.66667</v>
      </c>
      <c r="B3777" s="2">
        <f>IFERROR(__xludf.DUMMYFUNCTION("""COMPUTED_VALUE"""),312.63)</f>
        <v>312.63</v>
      </c>
      <c r="C3777" s="2">
        <f>IFERROR(__xludf.DUMMYFUNCTION("""COMPUTED_VALUE"""),316.83)</f>
        <v>316.83</v>
      </c>
      <c r="D3777" s="2">
        <f>IFERROR(__xludf.DUMMYFUNCTION("""COMPUTED_VALUE"""),303.82)</f>
        <v>303.82</v>
      </c>
      <c r="E3777" s="2">
        <f>IFERROR(__xludf.DUMMYFUNCTION("""COMPUTED_VALUE"""),315.65)</f>
        <v>315.65</v>
      </c>
      <c r="F3777" s="2">
        <f>IFERROR(__xludf.DUMMYFUNCTION("""COMPUTED_VALUE"""),1.1948373E8)</f>
        <v>119483730</v>
      </c>
    </row>
    <row r="3778">
      <c r="A3778" s="3">
        <f>IFERROR(__xludf.DUMMYFUNCTION("""COMPUTED_VALUE"""),45841.54513888889)</f>
        <v>45841.54514</v>
      </c>
      <c r="B3778" s="2">
        <f>IFERROR(__xludf.DUMMYFUNCTION("""COMPUTED_VALUE"""),317.99)</f>
        <v>317.99</v>
      </c>
      <c r="C3778" s="2">
        <f>IFERROR(__xludf.DUMMYFUNCTION("""COMPUTED_VALUE"""),318.45)</f>
        <v>318.45</v>
      </c>
      <c r="D3778" s="2">
        <f>IFERROR(__xludf.DUMMYFUNCTION("""COMPUTED_VALUE"""),312.76)</f>
        <v>312.76</v>
      </c>
      <c r="E3778" s="2">
        <f>IFERROR(__xludf.DUMMYFUNCTION("""COMPUTED_VALUE"""),315.35)</f>
        <v>315.35</v>
      </c>
      <c r="F3778" s="2">
        <f>IFERROR(__xludf.DUMMYFUNCTION("""COMPUTED_VALUE"""),5.8042302E7)</f>
        <v>58042302</v>
      </c>
    </row>
    <row r="3779">
      <c r="A3779" s="3">
        <f>IFERROR(__xludf.DUMMYFUNCTION("""COMPUTED_VALUE"""),45845.66666666667)</f>
        <v>45845.66667</v>
      </c>
      <c r="B3779" s="2">
        <f>IFERROR(__xludf.DUMMYFUNCTION("""COMPUTED_VALUE"""),291.37)</f>
        <v>291.37</v>
      </c>
      <c r="C3779" s="2">
        <f>IFERROR(__xludf.DUMMYFUNCTION("""COMPUTED_VALUE"""),296.15)</f>
        <v>296.15</v>
      </c>
      <c r="D3779" s="2">
        <f>IFERROR(__xludf.DUMMYFUNCTION("""COMPUTED_VALUE"""),288.77)</f>
        <v>288.77</v>
      </c>
      <c r="E3779" s="2">
        <f>IFERROR(__xludf.DUMMYFUNCTION("""COMPUTED_VALUE"""),293.94)</f>
        <v>293.94</v>
      </c>
      <c r="F3779" s="2">
        <f>IFERROR(__xludf.DUMMYFUNCTION("""COMPUTED_VALUE"""),1.31177949E8)</f>
        <v>131177949</v>
      </c>
    </row>
    <row r="3780">
      <c r="A3780" s="3">
        <f>IFERROR(__xludf.DUMMYFUNCTION("""COMPUTED_VALUE"""),45846.66666666667)</f>
        <v>45846.66667</v>
      </c>
      <c r="B3780" s="2">
        <f>IFERROR(__xludf.DUMMYFUNCTION("""COMPUTED_VALUE"""),297.0)</f>
        <v>297</v>
      </c>
      <c r="C3780" s="2">
        <f>IFERROR(__xludf.DUMMYFUNCTION("""COMPUTED_VALUE"""),304.05)</f>
        <v>304.05</v>
      </c>
      <c r="D3780" s="2">
        <f>IFERROR(__xludf.DUMMYFUNCTION("""COMPUTED_VALUE"""),294.35)</f>
        <v>294.35</v>
      </c>
      <c r="E3780" s="2">
        <f>IFERROR(__xludf.DUMMYFUNCTION("""COMPUTED_VALUE"""),297.81)</f>
        <v>297.81</v>
      </c>
      <c r="F3780" s="2">
        <f>IFERROR(__xludf.DUMMYFUNCTION("""COMPUTED_VALUE"""),1.03246742E8)</f>
        <v>103246742</v>
      </c>
    </row>
    <row r="3781">
      <c r="A3781" s="3">
        <f>IFERROR(__xludf.DUMMYFUNCTION("""COMPUTED_VALUE"""),45847.66666666667)</f>
        <v>45847.66667</v>
      </c>
      <c r="B3781" s="2">
        <f>IFERROR(__xludf.DUMMYFUNCTION("""COMPUTED_VALUE"""),297.55)</f>
        <v>297.55</v>
      </c>
      <c r="C3781" s="2">
        <f>IFERROR(__xludf.DUMMYFUNCTION("""COMPUTED_VALUE"""),300.15)</f>
        <v>300.15</v>
      </c>
      <c r="D3781" s="2">
        <f>IFERROR(__xludf.DUMMYFUNCTION("""COMPUTED_VALUE"""),293.55)</f>
        <v>293.55</v>
      </c>
      <c r="E3781" s="2">
        <f>IFERROR(__xludf.DUMMYFUNCTION("""COMPUTED_VALUE"""),295.88)</f>
        <v>295.88</v>
      </c>
      <c r="F3781" s="2">
        <f>IFERROR(__xludf.DUMMYFUNCTION("""COMPUTED_VALUE"""),7.5586771E7)</f>
        <v>75586771</v>
      </c>
    </row>
    <row r="3782">
      <c r="A3782" s="3">
        <f>IFERROR(__xludf.DUMMYFUNCTION("""COMPUTED_VALUE"""),45848.66666666667)</f>
        <v>45848.66667</v>
      </c>
      <c r="B3782" s="2">
        <f>IFERROR(__xludf.DUMMYFUNCTION("""COMPUTED_VALUE"""),300.05)</f>
        <v>300.05</v>
      </c>
      <c r="C3782" s="2">
        <f>IFERROR(__xludf.DUMMYFUNCTION("""COMPUTED_VALUE"""),310.48)</f>
        <v>310.48</v>
      </c>
      <c r="D3782" s="2">
        <f>IFERROR(__xludf.DUMMYFUNCTION("""COMPUTED_VALUE"""),300.0)</f>
        <v>300</v>
      </c>
      <c r="E3782" s="2">
        <f>IFERROR(__xludf.DUMMYFUNCTION("""COMPUTED_VALUE"""),309.87)</f>
        <v>309.87</v>
      </c>
      <c r="F3782" s="2">
        <f>IFERROR(__xludf.DUMMYFUNCTION("""COMPUTED_VALUE"""),1.04365271E8)</f>
        <v>104365271</v>
      </c>
    </row>
    <row r="3783">
      <c r="A3783" s="3">
        <f>IFERROR(__xludf.DUMMYFUNCTION("""COMPUTED_VALUE"""),45849.66666666667)</f>
        <v>45849.66667</v>
      </c>
      <c r="B3783" s="2">
        <f>IFERROR(__xludf.DUMMYFUNCTION("""COMPUTED_VALUE"""),307.89)</f>
        <v>307.89</v>
      </c>
      <c r="C3783" s="2">
        <f>IFERROR(__xludf.DUMMYFUNCTION("""COMPUTED_VALUE"""),314.09)</f>
        <v>314.09</v>
      </c>
      <c r="D3783" s="2">
        <f>IFERROR(__xludf.DUMMYFUNCTION("""COMPUTED_VALUE"""),305.65)</f>
        <v>305.65</v>
      </c>
      <c r="E3783" s="2">
        <f>IFERROR(__xludf.DUMMYFUNCTION("""COMPUTED_VALUE"""),313.51)</f>
        <v>313.51</v>
      </c>
      <c r="F3783" s="2">
        <f>IFERROR(__xludf.DUMMYFUNCTION("""COMPUTED_VALUE"""),7.9236442E7)</f>
        <v>79236442</v>
      </c>
    </row>
    <row r="3784">
      <c r="A3784" s="3">
        <f>IFERROR(__xludf.DUMMYFUNCTION("""COMPUTED_VALUE"""),45852.66666666667)</f>
        <v>45852.66667</v>
      </c>
      <c r="B3784" s="2">
        <f>IFERROR(__xludf.DUMMYFUNCTION("""COMPUTED_VALUE"""),317.73)</f>
        <v>317.73</v>
      </c>
      <c r="C3784" s="2">
        <f>IFERROR(__xludf.DUMMYFUNCTION("""COMPUTED_VALUE"""),322.6)</f>
        <v>322.6</v>
      </c>
      <c r="D3784" s="2">
        <f>IFERROR(__xludf.DUMMYFUNCTION("""COMPUTED_VALUE"""),312.67)</f>
        <v>312.67</v>
      </c>
      <c r="E3784" s="2">
        <f>IFERROR(__xludf.DUMMYFUNCTION("""COMPUTED_VALUE"""),316.9)</f>
        <v>316.9</v>
      </c>
      <c r="F3784" s="2">
        <f>IFERROR(__xludf.DUMMYFUNCTION("""COMPUTED_VALUE"""),7.804343E7)</f>
        <v>78043430</v>
      </c>
    </row>
    <row r="3785">
      <c r="A3785" s="3">
        <f>IFERROR(__xludf.DUMMYFUNCTION("""COMPUTED_VALUE"""),45853.66666666667)</f>
        <v>45853.66667</v>
      </c>
      <c r="B3785" s="2">
        <f>IFERROR(__xludf.DUMMYFUNCTION("""COMPUTED_VALUE"""),319.68)</f>
        <v>319.68</v>
      </c>
      <c r="C3785" s="2">
        <f>IFERROR(__xludf.DUMMYFUNCTION("""COMPUTED_VALUE"""),321.2)</f>
        <v>321.2</v>
      </c>
      <c r="D3785" s="2">
        <f>IFERROR(__xludf.DUMMYFUNCTION("""COMPUTED_VALUE"""),310.5)</f>
        <v>310.5</v>
      </c>
      <c r="E3785" s="2">
        <f>IFERROR(__xludf.DUMMYFUNCTION("""COMPUTED_VALUE"""),310.78)</f>
        <v>310.78</v>
      </c>
      <c r="F3785" s="2">
        <f>IFERROR(__xludf.DUMMYFUNCTION("""COMPUTED_VALUE"""),7.7556346E7)</f>
        <v>77556346</v>
      </c>
    </row>
    <row r="3786">
      <c r="A3786" s="3">
        <f>IFERROR(__xludf.DUMMYFUNCTION("""COMPUTED_VALUE"""),45854.66666666667)</f>
        <v>45854.66667</v>
      </c>
      <c r="B3786" s="2">
        <f>IFERROR(__xludf.DUMMYFUNCTION("""COMPUTED_VALUE"""),312.8)</f>
        <v>312.8</v>
      </c>
      <c r="C3786" s="2">
        <f>IFERROR(__xludf.DUMMYFUNCTION("""COMPUTED_VALUE"""),323.5)</f>
        <v>323.5</v>
      </c>
      <c r="D3786" s="2">
        <f>IFERROR(__xludf.DUMMYFUNCTION("""COMPUTED_VALUE"""),312.62)</f>
        <v>312.62</v>
      </c>
      <c r="E3786" s="2">
        <f>IFERROR(__xludf.DUMMYFUNCTION("""COMPUTED_VALUE"""),321.67)</f>
        <v>321.67</v>
      </c>
      <c r="F3786" s="2">
        <f>IFERROR(__xludf.DUMMYFUNCTION("""COMPUTED_VALUE"""),9.7284786E7)</f>
        <v>97284786</v>
      </c>
    </row>
    <row r="3787">
      <c r="A3787" s="3">
        <f>IFERROR(__xludf.DUMMYFUNCTION("""COMPUTED_VALUE"""),45855.66666666667)</f>
        <v>45855.66667</v>
      </c>
      <c r="B3787" s="2">
        <f>IFERROR(__xludf.DUMMYFUNCTION("""COMPUTED_VALUE"""),323.15)</f>
        <v>323.15</v>
      </c>
      <c r="C3787" s="2">
        <f>IFERROR(__xludf.DUMMYFUNCTION("""COMPUTED_VALUE"""),324.34)</f>
        <v>324.34</v>
      </c>
      <c r="D3787" s="2">
        <f>IFERROR(__xludf.DUMMYFUNCTION("""COMPUTED_VALUE"""),317.06)</f>
        <v>317.06</v>
      </c>
      <c r="E3787" s="2">
        <f>IFERROR(__xludf.DUMMYFUNCTION("""COMPUTED_VALUE"""),319.41)</f>
        <v>319.41</v>
      </c>
      <c r="F3787" s="2">
        <f>IFERROR(__xludf.DUMMYFUNCTION("""COMPUTED_VALUE"""),7.392287E7)</f>
        <v>73922870</v>
      </c>
    </row>
    <row r="3788">
      <c r="A3788" s="3">
        <f>IFERROR(__xludf.DUMMYFUNCTION("""COMPUTED_VALUE"""),45856.66666666667)</f>
        <v>45856.66667</v>
      </c>
      <c r="B3788" s="2">
        <f>IFERROR(__xludf.DUMMYFUNCTION("""COMPUTED_VALUE"""),321.66)</f>
        <v>321.66</v>
      </c>
      <c r="C3788" s="2">
        <f>IFERROR(__xludf.DUMMYFUNCTION("""COMPUTED_VALUE"""),330.9)</f>
        <v>330.9</v>
      </c>
      <c r="D3788" s="2">
        <f>IFERROR(__xludf.DUMMYFUNCTION("""COMPUTED_VALUE"""),321.42)</f>
        <v>321.42</v>
      </c>
      <c r="E3788" s="2">
        <f>IFERROR(__xludf.DUMMYFUNCTION("""COMPUTED_VALUE"""),329.65)</f>
        <v>329.65</v>
      </c>
      <c r="F3788" s="2">
        <f>IFERROR(__xludf.DUMMYFUNCTION("""COMPUTED_VALUE"""),9.4254993E7)</f>
        <v>94254993</v>
      </c>
    </row>
    <row r="3789">
      <c r="A3789" s="3">
        <f>IFERROR(__xludf.DUMMYFUNCTION("""COMPUTED_VALUE"""),45859.66666666667)</f>
        <v>45859.66667</v>
      </c>
      <c r="B3789" s="2">
        <f>IFERROR(__xludf.DUMMYFUNCTION("""COMPUTED_VALUE"""),334.4)</f>
        <v>334.4</v>
      </c>
      <c r="C3789" s="2">
        <f>IFERROR(__xludf.DUMMYFUNCTION("""COMPUTED_VALUE"""),338.0)</f>
        <v>338</v>
      </c>
      <c r="D3789" s="2">
        <f>IFERROR(__xludf.DUMMYFUNCTION("""COMPUTED_VALUE"""),326.88)</f>
        <v>326.88</v>
      </c>
      <c r="E3789" s="2">
        <f>IFERROR(__xludf.DUMMYFUNCTION("""COMPUTED_VALUE"""),328.49)</f>
        <v>328.49</v>
      </c>
      <c r="F3789" s="2">
        <f>IFERROR(__xludf.DUMMYFUNCTION("""COMPUTED_VALUE"""),7.5768797E7)</f>
        <v>75768797</v>
      </c>
    </row>
    <row r="3790">
      <c r="A3790" s="3">
        <f>IFERROR(__xludf.DUMMYFUNCTION("""COMPUTED_VALUE"""),45860.66666666667)</f>
        <v>45860.66667</v>
      </c>
      <c r="B3790" s="2">
        <f>IFERROR(__xludf.DUMMYFUNCTION("""COMPUTED_VALUE"""),329.74)</f>
        <v>329.74</v>
      </c>
      <c r="C3790" s="2">
        <f>IFERROR(__xludf.DUMMYFUNCTION("""COMPUTED_VALUE"""),335.41)</f>
        <v>335.41</v>
      </c>
      <c r="D3790" s="2">
        <f>IFERROR(__xludf.DUMMYFUNCTION("""COMPUTED_VALUE"""),321.55)</f>
        <v>321.55</v>
      </c>
      <c r="E3790" s="2">
        <f>IFERROR(__xludf.DUMMYFUNCTION("""COMPUTED_VALUE"""),332.11)</f>
        <v>332.11</v>
      </c>
      <c r="F3790" s="2">
        <f>IFERROR(__xludf.DUMMYFUNCTION("""COMPUTED_VALUE"""),7.7370371E7)</f>
        <v>77370371</v>
      </c>
    </row>
    <row r="3791">
      <c r="A3791" s="3">
        <f>IFERROR(__xludf.DUMMYFUNCTION("""COMPUTED_VALUE"""),45861.66666666667)</f>
        <v>45861.66667</v>
      </c>
      <c r="B3791" s="2">
        <f>IFERROR(__xludf.DUMMYFUNCTION("""COMPUTED_VALUE"""),330.9)</f>
        <v>330.9</v>
      </c>
      <c r="C3791" s="2">
        <f>IFERROR(__xludf.DUMMYFUNCTION("""COMPUTED_VALUE"""),336.2)</f>
        <v>336.2</v>
      </c>
      <c r="D3791" s="2">
        <f>IFERROR(__xludf.DUMMYFUNCTION("""COMPUTED_VALUE"""),328.67)</f>
        <v>328.67</v>
      </c>
      <c r="E3791" s="2">
        <f>IFERROR(__xludf.DUMMYFUNCTION("""COMPUTED_VALUE"""),332.56)</f>
        <v>332.56</v>
      </c>
      <c r="F3791" s="2">
        <f>IFERROR(__xludf.DUMMYFUNCTION("""COMPUTED_VALUE"""),9.2553756E7)</f>
        <v>92553756</v>
      </c>
    </row>
    <row r="3792">
      <c r="A3792" s="3">
        <f>IFERROR(__xludf.DUMMYFUNCTION("""COMPUTED_VALUE"""),45862.66666666667)</f>
        <v>45862.66667</v>
      </c>
      <c r="B3792" s="2">
        <f>IFERROR(__xludf.DUMMYFUNCTION("""COMPUTED_VALUE"""),310.0)</f>
        <v>310</v>
      </c>
      <c r="C3792" s="2">
        <f>IFERROR(__xludf.DUMMYFUNCTION("""COMPUTED_VALUE"""),310.15)</f>
        <v>310.15</v>
      </c>
      <c r="D3792" s="2">
        <f>IFERROR(__xludf.DUMMYFUNCTION("""COMPUTED_VALUE"""),300.41)</f>
        <v>300.41</v>
      </c>
      <c r="E3792" s="2">
        <f>IFERROR(__xludf.DUMMYFUNCTION("""COMPUTED_VALUE"""),305.3)</f>
        <v>305.3</v>
      </c>
      <c r="F3792" s="2">
        <f>IFERROR(__xludf.DUMMYFUNCTION("""COMPUTED_VALUE"""),1.56966023E8)</f>
        <v>156966023</v>
      </c>
    </row>
    <row r="3793">
      <c r="A3793" s="3">
        <f>IFERROR(__xludf.DUMMYFUNCTION("""COMPUTED_VALUE"""),45863.66666666667)</f>
        <v>45863.66667</v>
      </c>
      <c r="B3793" s="2">
        <f>IFERROR(__xludf.DUMMYFUNCTION("""COMPUTED_VALUE"""),308.74)</f>
        <v>308.74</v>
      </c>
      <c r="C3793" s="2">
        <f>IFERROR(__xludf.DUMMYFUNCTION("""COMPUTED_VALUE"""),323.63)</f>
        <v>323.63</v>
      </c>
      <c r="D3793" s="2">
        <f>IFERROR(__xludf.DUMMYFUNCTION("""COMPUTED_VALUE"""),308.01)</f>
        <v>308.01</v>
      </c>
      <c r="E3793" s="2">
        <f>IFERROR(__xludf.DUMMYFUNCTION("""COMPUTED_VALUE"""),316.06)</f>
        <v>316.06</v>
      </c>
      <c r="F3793" s="2">
        <f>IFERROR(__xludf.DUMMYFUNCTION("""COMPUTED_VALUE"""),1.48227027E8)</f>
        <v>148227027</v>
      </c>
    </row>
    <row r="3794">
      <c r="A3794" s="3">
        <f>IFERROR(__xludf.DUMMYFUNCTION("""COMPUTED_VALUE"""),45866.66666666667)</f>
        <v>45866.66667</v>
      </c>
      <c r="B3794" s="2">
        <f>IFERROR(__xludf.DUMMYFUNCTION("""COMPUTED_VALUE"""),318.45)</f>
        <v>318.45</v>
      </c>
      <c r="C3794" s="2">
        <f>IFERROR(__xludf.DUMMYFUNCTION("""COMPUTED_VALUE"""),330.49)</f>
        <v>330.49</v>
      </c>
      <c r="D3794" s="2">
        <f>IFERROR(__xludf.DUMMYFUNCTION("""COMPUTED_VALUE"""),315.69)</f>
        <v>315.69</v>
      </c>
      <c r="E3794" s="2">
        <f>IFERROR(__xludf.DUMMYFUNCTION("""COMPUTED_VALUE"""),325.59)</f>
        <v>325.59</v>
      </c>
      <c r="F3794" s="2">
        <f>IFERROR(__xludf.DUMMYFUNCTION("""COMPUTED_VALUE"""),1.12673755E8)</f>
        <v>112673755</v>
      </c>
    </row>
    <row r="3795">
      <c r="A3795" s="3">
        <f>IFERROR(__xludf.DUMMYFUNCTION("""COMPUTED_VALUE"""),45867.66666666667)</f>
        <v>45867.66667</v>
      </c>
      <c r="B3795" s="2">
        <f>IFERROR(__xludf.DUMMYFUNCTION("""COMPUTED_VALUE"""),325.55)</f>
        <v>325.55</v>
      </c>
      <c r="C3795" s="2">
        <f>IFERROR(__xludf.DUMMYFUNCTION("""COMPUTED_VALUE"""),326.25)</f>
        <v>326.25</v>
      </c>
      <c r="D3795" s="2">
        <f>IFERROR(__xludf.DUMMYFUNCTION("""COMPUTED_VALUE"""),318.25)</f>
        <v>318.25</v>
      </c>
      <c r="E3795" s="2">
        <f>IFERROR(__xludf.DUMMYFUNCTION("""COMPUTED_VALUE"""),321.2)</f>
        <v>321.2</v>
      </c>
      <c r="F3795" s="2">
        <f>IFERROR(__xludf.DUMMYFUNCTION("""COMPUTED_VALUE"""),8.7358861E7)</f>
        <v>87358861</v>
      </c>
    </row>
    <row r="3796">
      <c r="A3796" s="3">
        <f>IFERROR(__xludf.DUMMYFUNCTION("""COMPUTED_VALUE"""),45868.66666666667)</f>
        <v>45868.66667</v>
      </c>
      <c r="B3796" s="2">
        <f>IFERROR(__xludf.DUMMYFUNCTION("""COMPUTED_VALUE"""),322.18)</f>
        <v>322.18</v>
      </c>
      <c r="C3796" s="2">
        <f>IFERROR(__xludf.DUMMYFUNCTION("""COMPUTED_VALUE"""),324.45)</f>
        <v>324.45</v>
      </c>
      <c r="D3796" s="2">
        <f>IFERROR(__xludf.DUMMYFUNCTION("""COMPUTED_VALUE"""),311.62)</f>
        <v>311.62</v>
      </c>
      <c r="E3796" s="2">
        <f>IFERROR(__xludf.DUMMYFUNCTION("""COMPUTED_VALUE"""),319.04)</f>
        <v>319.04</v>
      </c>
      <c r="F3796" s="2">
        <f>IFERROR(__xludf.DUMMYFUNCTION("""COMPUTED_VALUE"""),8.3931942E7)</f>
        <v>83931942</v>
      </c>
    </row>
    <row r="3797">
      <c r="A3797" s="3">
        <f>IFERROR(__xludf.DUMMYFUNCTION("""COMPUTED_VALUE"""),45869.66666666667)</f>
        <v>45869.66667</v>
      </c>
      <c r="B3797" s="2">
        <f>IFERROR(__xludf.DUMMYFUNCTION("""COMPUTED_VALUE"""),319.61)</f>
        <v>319.61</v>
      </c>
      <c r="C3797" s="2">
        <f>IFERROR(__xludf.DUMMYFUNCTION("""COMPUTED_VALUE"""),321.37)</f>
        <v>321.37</v>
      </c>
      <c r="D3797" s="2">
        <f>IFERROR(__xludf.DUMMYFUNCTION("""COMPUTED_VALUE"""),306.1)</f>
        <v>306.1</v>
      </c>
      <c r="E3797" s="2">
        <f>IFERROR(__xludf.DUMMYFUNCTION("""COMPUTED_VALUE"""),308.27)</f>
        <v>308.27</v>
      </c>
      <c r="F3797" s="2">
        <f>IFERROR(__xludf.DUMMYFUNCTION("""COMPUTED_VALUE"""),8.5270919E7)</f>
        <v>85270919</v>
      </c>
    </row>
    <row r="3798">
      <c r="A3798" s="3">
        <f>IFERROR(__xludf.DUMMYFUNCTION("""COMPUTED_VALUE"""),45870.66666666667)</f>
        <v>45870.66667</v>
      </c>
      <c r="B3798" s="2">
        <f>IFERROR(__xludf.DUMMYFUNCTION("""COMPUTED_VALUE"""),306.21)</f>
        <v>306.21</v>
      </c>
      <c r="C3798" s="2">
        <f>IFERROR(__xludf.DUMMYFUNCTION("""COMPUTED_VALUE"""),309.31)</f>
        <v>309.31</v>
      </c>
      <c r="D3798" s="2">
        <f>IFERROR(__xludf.DUMMYFUNCTION("""COMPUTED_VALUE"""),297.82)</f>
        <v>297.82</v>
      </c>
      <c r="E3798" s="2">
        <f>IFERROR(__xludf.DUMMYFUNCTION("""COMPUTED_VALUE"""),302.63)</f>
        <v>302.63</v>
      </c>
      <c r="F3798" s="2">
        <f>IFERROR(__xludf.DUMMYFUNCTION("""COMPUTED_VALUE"""),8.9121446E7)</f>
        <v>89121446</v>
      </c>
    </row>
    <row r="3799">
      <c r="A3799" s="3">
        <f>IFERROR(__xludf.DUMMYFUNCTION("""COMPUTED_VALUE"""),45873.66666666667)</f>
        <v>45873.66667</v>
      </c>
      <c r="B3799" s="2">
        <f>IFERROR(__xludf.DUMMYFUNCTION("""COMPUTED_VALUE"""),309.08)</f>
        <v>309.08</v>
      </c>
      <c r="C3799" s="2">
        <f>IFERROR(__xludf.DUMMYFUNCTION("""COMPUTED_VALUE"""),312.12)</f>
        <v>312.12</v>
      </c>
      <c r="D3799" s="2">
        <f>IFERROR(__xludf.DUMMYFUNCTION("""COMPUTED_VALUE"""),303.0)</f>
        <v>303</v>
      </c>
      <c r="E3799" s="2">
        <f>IFERROR(__xludf.DUMMYFUNCTION("""COMPUTED_VALUE"""),309.26)</f>
        <v>309.26</v>
      </c>
      <c r="F3799" s="2">
        <f>IFERROR(__xludf.DUMMYFUNCTION("""COMPUTED_VALUE"""),7.8683905E7)</f>
        <v>78683905</v>
      </c>
    </row>
    <row r="3800">
      <c r="A3800" s="3">
        <f>IFERROR(__xludf.DUMMYFUNCTION("""COMPUTED_VALUE"""),45874.66666666667)</f>
        <v>45874.66667</v>
      </c>
      <c r="B3800" s="2">
        <f>IFERROR(__xludf.DUMMYFUNCTION("""COMPUTED_VALUE"""),308.95)</f>
        <v>308.95</v>
      </c>
      <c r="C3800" s="2">
        <f>IFERROR(__xludf.DUMMYFUNCTION("""COMPUTED_VALUE"""),312.45)</f>
        <v>312.45</v>
      </c>
      <c r="D3800" s="2">
        <f>IFERROR(__xludf.DUMMYFUNCTION("""COMPUTED_VALUE"""),305.5)</f>
        <v>305.5</v>
      </c>
      <c r="E3800" s="2">
        <f>IFERROR(__xludf.DUMMYFUNCTION("""COMPUTED_VALUE"""),308.72)</f>
        <v>308.72</v>
      </c>
      <c r="F3800" s="2">
        <f>IFERROR(__xludf.DUMMYFUNCTION("""COMPUTED_VALUE"""),5.7961278E7)</f>
        <v>57961278</v>
      </c>
    </row>
    <row r="3801">
      <c r="A3801" s="3">
        <f>IFERROR(__xludf.DUMMYFUNCTION("""COMPUTED_VALUE"""),45875.66666666667)</f>
        <v>45875.66667</v>
      </c>
      <c r="B3801" s="2">
        <f>IFERROR(__xludf.DUMMYFUNCTION("""COMPUTED_VALUE"""),307.89)</f>
        <v>307.89</v>
      </c>
      <c r="C3801" s="2">
        <f>IFERROR(__xludf.DUMMYFUNCTION("""COMPUTED_VALUE"""),320.47)</f>
        <v>320.47</v>
      </c>
      <c r="D3801" s="2">
        <f>IFERROR(__xludf.DUMMYFUNCTION("""COMPUTED_VALUE"""),306.93)</f>
        <v>306.93</v>
      </c>
      <c r="E3801" s="2">
        <f>IFERROR(__xludf.DUMMYFUNCTION("""COMPUTED_VALUE"""),319.91)</f>
        <v>319.91</v>
      </c>
      <c r="F3801" s="2">
        <f>IFERROR(__xludf.DUMMYFUNCTION("""COMPUTED_VALUE"""),7.8523579E7)</f>
        <v>78523579</v>
      </c>
    </row>
    <row r="3802">
      <c r="A3802" s="3">
        <f>IFERROR(__xludf.DUMMYFUNCTION("""COMPUTED_VALUE"""),45876.66666666667)</f>
        <v>45876.66667</v>
      </c>
      <c r="B3802" s="2">
        <f>IFERROR(__xludf.DUMMYFUNCTION("""COMPUTED_VALUE"""),319.79)</f>
        <v>319.79</v>
      </c>
      <c r="C3802" s="2">
        <f>IFERROR(__xludf.DUMMYFUNCTION("""COMPUTED_VALUE"""),322.4)</f>
        <v>322.4</v>
      </c>
      <c r="D3802" s="2">
        <f>IFERROR(__xludf.DUMMYFUNCTION("""COMPUTED_VALUE"""),316.16)</f>
        <v>316.16</v>
      </c>
      <c r="E3802" s="2">
        <f>IFERROR(__xludf.DUMMYFUNCTION("""COMPUTED_VALUE"""),322.27)</f>
        <v>322.27</v>
      </c>
      <c r="F3802" s="2">
        <f>IFERROR(__xludf.DUMMYFUNCTION("""COMPUTED_VALUE"""),6.6658672E7)</f>
        <v>66658672</v>
      </c>
    </row>
    <row r="3803">
      <c r="A3803" s="3">
        <f>IFERROR(__xludf.DUMMYFUNCTION("""COMPUTED_VALUE"""),45877.66666666667)</f>
        <v>45877.66667</v>
      </c>
      <c r="B3803" s="2">
        <f>IFERROR(__xludf.DUMMYFUNCTION("""COMPUTED_VALUE"""),321.43)</f>
        <v>321.43</v>
      </c>
      <c r="C3803" s="2">
        <f>IFERROR(__xludf.DUMMYFUNCTION("""COMPUTED_VALUE"""),335.15)</f>
        <v>335.15</v>
      </c>
      <c r="D3803" s="2">
        <f>IFERROR(__xludf.DUMMYFUNCTION("""COMPUTED_VALUE"""),320.98)</f>
        <v>320.98</v>
      </c>
      <c r="E3803" s="2">
        <f>IFERROR(__xludf.DUMMYFUNCTION("""COMPUTED_VALUE"""),329.65)</f>
        <v>329.65</v>
      </c>
      <c r="F3803" s="2">
        <f>IFERROR(__xludf.DUMMYFUNCTION("""COMPUTED_VALUE"""),9.1200319E7)</f>
        <v>91200319</v>
      </c>
    </row>
    <row r="3804">
      <c r="A3804" s="3">
        <f>IFERROR(__xludf.DUMMYFUNCTION("""COMPUTED_VALUE"""),45880.66666666667)</f>
        <v>45880.66667</v>
      </c>
      <c r="B3804" s="2">
        <f>IFERROR(__xludf.DUMMYFUNCTION("""COMPUTED_VALUE"""),335.0)</f>
        <v>335</v>
      </c>
      <c r="C3804" s="2">
        <f>IFERROR(__xludf.DUMMYFUNCTION("""COMPUTED_VALUE"""),346.64)</f>
        <v>346.64</v>
      </c>
      <c r="D3804" s="2">
        <f>IFERROR(__xludf.DUMMYFUNCTION("""COMPUTED_VALUE"""),334.15)</f>
        <v>334.15</v>
      </c>
      <c r="E3804" s="2">
        <f>IFERROR(__xludf.DUMMYFUNCTION("""COMPUTED_VALUE"""),339.03)</f>
        <v>339.03</v>
      </c>
      <c r="F3804" s="2">
        <f>IFERROR(__xludf.DUMMYFUNCTION("""COMPUTED_VALUE"""),1.05320174E8)</f>
        <v>105320174</v>
      </c>
    </row>
    <row r="3805">
      <c r="A3805" s="3">
        <f>IFERROR(__xludf.DUMMYFUNCTION("""COMPUTED_VALUE"""),45881.66666666667)</f>
        <v>45881.66667</v>
      </c>
      <c r="B3805" s="2">
        <f>IFERROR(__xludf.DUMMYFUNCTION("""COMPUTED_VALUE"""),345.0)</f>
        <v>345</v>
      </c>
      <c r="C3805" s="2">
        <f>IFERROR(__xludf.DUMMYFUNCTION("""COMPUTED_VALUE"""),345.26)</f>
        <v>345.26</v>
      </c>
      <c r="D3805" s="2">
        <f>IFERROR(__xludf.DUMMYFUNCTION("""COMPUTED_VALUE"""),332.94)</f>
        <v>332.94</v>
      </c>
      <c r="E3805" s="2">
        <f>IFERROR(__xludf.DUMMYFUNCTION("""COMPUTED_VALUE"""),340.84)</f>
        <v>340.84</v>
      </c>
      <c r="F3805" s="2">
        <f>IFERROR(__xludf.DUMMYFUNCTION("""COMPUTED_VALUE"""),8.0690111E7)</f>
        <v>80690111</v>
      </c>
    </row>
    <row r="3806">
      <c r="A3806" s="3">
        <f>IFERROR(__xludf.DUMMYFUNCTION("""COMPUTED_VALUE"""),45882.66666666667)</f>
        <v>45882.66667</v>
      </c>
      <c r="B3806" s="2">
        <f>IFERROR(__xludf.DUMMYFUNCTION("""COMPUTED_VALUE"""),341.5)</f>
        <v>341.5</v>
      </c>
      <c r="C3806" s="2">
        <f>IFERROR(__xludf.DUMMYFUNCTION("""COMPUTED_VALUE"""),348.98)</f>
        <v>348.98</v>
      </c>
      <c r="D3806" s="2">
        <f>IFERROR(__xludf.DUMMYFUNCTION("""COMPUTED_VALUE"""),338.2)</f>
        <v>338.2</v>
      </c>
      <c r="E3806" s="2">
        <f>IFERROR(__xludf.DUMMYFUNCTION("""COMPUTED_VALUE"""),339.38)</f>
        <v>339.38</v>
      </c>
      <c r="F3806" s="2">
        <f>IFERROR(__xludf.DUMMYFUNCTION("""COMPUTED_VALUE"""),6.7838892E7)</f>
        <v>67838892</v>
      </c>
    </row>
    <row r="3807">
      <c r="A3807" s="3">
        <f>IFERROR(__xludf.DUMMYFUNCTION("""COMPUTED_VALUE"""),45883.66666666667)</f>
        <v>45883.66667</v>
      </c>
      <c r="B3807" s="2">
        <f>IFERROR(__xludf.DUMMYFUNCTION("""COMPUTED_VALUE"""),335.76)</f>
        <v>335.76</v>
      </c>
      <c r="C3807" s="2">
        <f>IFERROR(__xludf.DUMMYFUNCTION("""COMPUTED_VALUE"""),340.47)</f>
        <v>340.47</v>
      </c>
      <c r="D3807" s="2">
        <f>IFERROR(__xludf.DUMMYFUNCTION("""COMPUTED_VALUE"""),330.4)</f>
        <v>330.4</v>
      </c>
      <c r="E3807" s="2">
        <f>IFERROR(__xludf.DUMMYFUNCTION("""COMPUTED_VALUE"""),335.58)</f>
        <v>335.58</v>
      </c>
      <c r="F3807" s="2">
        <f>IFERROR(__xludf.DUMMYFUNCTION("""COMPUTED_VALUE"""),7.5000662E7)</f>
        <v>75000662</v>
      </c>
    </row>
    <row r="3808">
      <c r="A3808" s="3">
        <f>IFERROR(__xludf.DUMMYFUNCTION("""COMPUTED_VALUE"""),45884.66666666667)</f>
        <v>45884.66667</v>
      </c>
      <c r="B3808" s="2">
        <f>IFERROR(__xludf.DUMMYFUNCTION("""COMPUTED_VALUE"""),337.66)</f>
        <v>337.66</v>
      </c>
      <c r="C3808" s="2">
        <f>IFERROR(__xludf.DUMMYFUNCTION("""COMPUTED_VALUE"""),339.3)</f>
        <v>339.3</v>
      </c>
      <c r="D3808" s="2">
        <f>IFERROR(__xludf.DUMMYFUNCTION("""COMPUTED_VALUE"""),327.02)</f>
        <v>327.02</v>
      </c>
      <c r="E3808" s="2">
        <f>IFERROR(__xludf.DUMMYFUNCTION("""COMPUTED_VALUE"""),330.56)</f>
        <v>330.56</v>
      </c>
      <c r="F3808" s="2">
        <f>IFERROR(__xludf.DUMMYFUNCTION("""COMPUTED_VALUE"""),7.4319792E7)</f>
        <v>74319792</v>
      </c>
    </row>
    <row r="3809">
      <c r="A3809" s="3">
        <f>IFERROR(__xludf.DUMMYFUNCTION("""COMPUTED_VALUE"""),45887.66666666667)</f>
        <v>45887.66667</v>
      </c>
      <c r="B3809" s="2">
        <f>IFERROR(__xludf.DUMMYFUNCTION("""COMPUTED_VALUE"""),329.62)</f>
        <v>329.62</v>
      </c>
      <c r="C3809" s="2">
        <f>IFERROR(__xludf.DUMMYFUNCTION("""COMPUTED_VALUE"""),336.27)</f>
        <v>336.27</v>
      </c>
      <c r="D3809" s="2">
        <f>IFERROR(__xludf.DUMMYFUNCTION("""COMPUTED_VALUE"""),329.59)</f>
        <v>329.59</v>
      </c>
      <c r="E3809" s="2">
        <f>IFERROR(__xludf.DUMMYFUNCTION("""COMPUTED_VALUE"""),335.16)</f>
        <v>335.16</v>
      </c>
      <c r="F3809" s="2">
        <f>IFERROR(__xludf.DUMMYFUNCTION("""COMPUTED_VALUE"""),5.6956552E7)</f>
        <v>56956552</v>
      </c>
    </row>
    <row r="3810">
      <c r="A3810" s="3">
        <f>IFERROR(__xludf.DUMMYFUNCTION("""COMPUTED_VALUE"""),45888.66666666667)</f>
        <v>45888.66667</v>
      </c>
      <c r="B3810" s="2">
        <f>IFERROR(__xludf.DUMMYFUNCTION("""COMPUTED_VALUE"""),335.79)</f>
        <v>335.79</v>
      </c>
      <c r="C3810" s="2">
        <f>IFERROR(__xludf.DUMMYFUNCTION("""COMPUTED_VALUE"""),340.55)</f>
        <v>340.55</v>
      </c>
      <c r="D3810" s="2">
        <f>IFERROR(__xludf.DUMMYFUNCTION("""COMPUTED_VALUE"""),327.85)</f>
        <v>327.85</v>
      </c>
      <c r="E3810" s="2">
        <f>IFERROR(__xludf.DUMMYFUNCTION("""COMPUTED_VALUE"""),329.31)</f>
        <v>329.31</v>
      </c>
      <c r="F3810" s="2">
        <f>IFERROR(__xludf.DUMMYFUNCTION("""COMPUTED_VALUE"""),7.5956002E7)</f>
        <v>75956002</v>
      </c>
    </row>
    <row r="3811">
      <c r="A3811" s="3">
        <f>IFERROR(__xludf.DUMMYFUNCTION("""COMPUTED_VALUE"""),45889.66666666667)</f>
        <v>45889.66667</v>
      </c>
      <c r="B3811" s="2">
        <f>IFERROR(__xludf.DUMMYFUNCTION("""COMPUTED_VALUE"""),329.22)</f>
        <v>329.22</v>
      </c>
      <c r="C3811" s="2">
        <f>IFERROR(__xludf.DUMMYFUNCTION("""COMPUTED_VALUE"""),331.37)</f>
        <v>331.37</v>
      </c>
      <c r="D3811" s="2">
        <f>IFERROR(__xludf.DUMMYFUNCTION("""COMPUTED_VALUE"""),314.6)</f>
        <v>314.6</v>
      </c>
      <c r="E3811" s="2">
        <f>IFERROR(__xludf.DUMMYFUNCTION("""COMPUTED_VALUE"""),323.9)</f>
        <v>323.9</v>
      </c>
      <c r="F3811" s="2">
        <f>IFERROR(__xludf.DUMMYFUNCTION("""COMPUTED_VALUE"""),7.7481768E7)</f>
        <v>77481768</v>
      </c>
    </row>
    <row r="3812">
      <c r="A3812" s="3">
        <f>IFERROR(__xludf.DUMMYFUNCTION("""COMPUTED_VALUE"""),45890.66666666667)</f>
        <v>45890.66667</v>
      </c>
      <c r="B3812" s="2">
        <f>IFERROR(__xludf.DUMMYFUNCTION("""COMPUTED_VALUE"""),322.08)</f>
        <v>322.08</v>
      </c>
      <c r="C3812" s="2">
        <f>IFERROR(__xludf.DUMMYFUNCTION("""COMPUTED_VALUE"""),324.9)</f>
        <v>324.9</v>
      </c>
      <c r="D3812" s="2">
        <f>IFERROR(__xludf.DUMMYFUNCTION("""COMPUTED_VALUE"""),318.68)</f>
        <v>318.68</v>
      </c>
      <c r="E3812" s="2">
        <f>IFERROR(__xludf.DUMMYFUNCTION("""COMPUTED_VALUE"""),320.11)</f>
        <v>320.11</v>
      </c>
      <c r="F3812" s="2">
        <f>IFERROR(__xludf.DUMMYFUNCTION("""COMPUTED_VALUE"""),5.5744445E7)</f>
        <v>55744445</v>
      </c>
    </row>
    <row r="3813">
      <c r="A3813" s="3">
        <f>IFERROR(__xludf.DUMMYFUNCTION("""COMPUTED_VALUE"""),45891.66666666667)</f>
        <v>45891.66667</v>
      </c>
      <c r="B3813" s="2">
        <f>IFERROR(__xludf.DUMMYFUNCTION("""COMPUTED_VALUE"""),321.66)</f>
        <v>321.66</v>
      </c>
      <c r="C3813" s="2">
        <f>IFERROR(__xludf.DUMMYFUNCTION("""COMPUTED_VALUE"""),340.25)</f>
        <v>340.25</v>
      </c>
      <c r="D3813" s="2">
        <f>IFERROR(__xludf.DUMMYFUNCTION("""COMPUTED_VALUE"""),319.69)</f>
        <v>319.69</v>
      </c>
      <c r="E3813" s="2">
        <f>IFERROR(__xludf.DUMMYFUNCTION("""COMPUTED_VALUE"""),340.01)</f>
        <v>340.01</v>
      </c>
      <c r="F3813" s="2">
        <f>IFERROR(__xludf.DUMMYFUNCTION("""COMPUTED_VALUE"""),9.4016347E7)</f>
        <v>94016347</v>
      </c>
    </row>
    <row r="3814">
      <c r="A3814" s="3">
        <f>IFERROR(__xludf.DUMMYFUNCTION("""COMPUTED_VALUE"""),45894.66666666667)</f>
        <v>45894.66667</v>
      </c>
      <c r="B3814" s="2">
        <f>IFERROR(__xludf.DUMMYFUNCTION("""COMPUTED_VALUE"""),338.9)</f>
        <v>338.9</v>
      </c>
      <c r="C3814" s="2">
        <f>IFERROR(__xludf.DUMMYFUNCTION("""COMPUTED_VALUE"""),349.53)</f>
        <v>349.53</v>
      </c>
      <c r="D3814" s="2">
        <f>IFERROR(__xludf.DUMMYFUNCTION("""COMPUTED_VALUE"""),335.03)</f>
        <v>335.03</v>
      </c>
      <c r="E3814" s="2">
        <f>IFERROR(__xludf.DUMMYFUNCTION("""COMPUTED_VALUE"""),346.6)</f>
        <v>346.6</v>
      </c>
      <c r="F3814" s="2">
        <f>IFERROR(__xludf.DUMMYFUNCTION("""COMPUTED_VALUE"""),8.6670037E7)</f>
        <v>86670037</v>
      </c>
    </row>
    <row r="3815">
      <c r="A3815" s="3">
        <f>IFERROR(__xludf.DUMMYFUNCTION("""COMPUTED_VALUE"""),45895.66666666667)</f>
        <v>45895.66667</v>
      </c>
      <c r="B3815" s="2">
        <f>IFERROR(__xludf.DUMMYFUNCTION("""COMPUTED_VALUE"""),344.93)</f>
        <v>344.93</v>
      </c>
      <c r="C3815" s="2">
        <f>IFERROR(__xludf.DUMMYFUNCTION("""COMPUTED_VALUE"""),351.9)</f>
        <v>351.9</v>
      </c>
      <c r="D3815" s="2">
        <f>IFERROR(__xludf.DUMMYFUNCTION("""COMPUTED_VALUE"""),343.72)</f>
        <v>343.72</v>
      </c>
      <c r="E3815" s="2">
        <f>IFERROR(__xludf.DUMMYFUNCTION("""COMPUTED_VALUE"""),351.67)</f>
        <v>351.67</v>
      </c>
      <c r="F3815" s="2">
        <f>IFERROR(__xludf.DUMMYFUNCTION("""COMPUTED_VALUE"""),7.665155E7)</f>
        <v>76651550</v>
      </c>
    </row>
    <row r="3816">
      <c r="A3816" s="3">
        <f>IFERROR(__xludf.DUMMYFUNCTION("""COMPUTED_VALUE"""),45896.66666666667)</f>
        <v>45896.66667</v>
      </c>
      <c r="B3816" s="2">
        <f>IFERROR(__xludf.DUMMYFUNCTION("""COMPUTED_VALUE"""),351.94)</f>
        <v>351.94</v>
      </c>
      <c r="C3816" s="2">
        <f>IFERROR(__xludf.DUMMYFUNCTION("""COMPUTED_VALUE"""),355.39)</f>
        <v>355.39</v>
      </c>
      <c r="D3816" s="2">
        <f>IFERROR(__xludf.DUMMYFUNCTION("""COMPUTED_VALUE"""),349.16)</f>
        <v>349.16</v>
      </c>
      <c r="E3816" s="2">
        <f>IFERROR(__xludf.DUMMYFUNCTION("""COMPUTED_VALUE"""),349.6)</f>
        <v>349.6</v>
      </c>
      <c r="F3816" s="2">
        <f>IFERROR(__xludf.DUMMYFUNCTION("""COMPUTED_VALUE"""),6.5519012E7)</f>
        <v>65519012</v>
      </c>
    </row>
    <row r="3817">
      <c r="A3817" s="3">
        <f>IFERROR(__xludf.DUMMYFUNCTION("""COMPUTED_VALUE"""),45897.66666666667)</f>
        <v>45897.66667</v>
      </c>
      <c r="B3817" s="2">
        <f>IFERROR(__xludf.DUMMYFUNCTION("""COMPUTED_VALUE"""),350.91)</f>
        <v>350.91</v>
      </c>
      <c r="C3817" s="2">
        <f>IFERROR(__xludf.DUMMYFUNCTION("""COMPUTED_VALUE"""),353.55)</f>
        <v>353.55</v>
      </c>
      <c r="D3817" s="2">
        <f>IFERROR(__xludf.DUMMYFUNCTION("""COMPUTED_VALUE"""),340.26)</f>
        <v>340.26</v>
      </c>
      <c r="E3817" s="2">
        <f>IFERROR(__xludf.DUMMYFUNCTION("""COMPUTED_VALUE"""),345.98)</f>
        <v>345.98</v>
      </c>
      <c r="F3817" s="2">
        <f>IFERROR(__xludf.DUMMYFUNCTION("""COMPUTED_VALUE"""),6.7903224E7)</f>
        <v>67903224</v>
      </c>
    </row>
    <row r="3818">
      <c r="A3818" s="3">
        <f>IFERROR(__xludf.DUMMYFUNCTION("""COMPUTED_VALUE"""),45898.66666666667)</f>
        <v>45898.66667</v>
      </c>
      <c r="B3818" s="2">
        <f>IFERROR(__xludf.DUMMYFUNCTION("""COMPUTED_VALUE"""),347.23)</f>
        <v>347.23</v>
      </c>
      <c r="C3818" s="2">
        <f>IFERROR(__xludf.DUMMYFUNCTION("""COMPUTED_VALUE"""),348.75)</f>
        <v>348.75</v>
      </c>
      <c r="D3818" s="2">
        <f>IFERROR(__xludf.DUMMYFUNCTION("""COMPUTED_VALUE"""),331.7)</f>
        <v>331.7</v>
      </c>
      <c r="E3818" s="2">
        <f>IFERROR(__xludf.DUMMYFUNCTION("""COMPUTED_VALUE"""),333.87)</f>
        <v>333.87</v>
      </c>
      <c r="F3818" s="2">
        <f>IFERROR(__xludf.DUMMYFUNCTION("""COMPUTED_VALUE"""),8.114566E7)</f>
        <v>81145660</v>
      </c>
    </row>
    <row r="3819">
      <c r="A3819" s="3">
        <f>IFERROR(__xludf.DUMMYFUNCTION("""COMPUTED_VALUE"""),45902.66666666667)</f>
        <v>45902.66667</v>
      </c>
      <c r="B3819" s="2">
        <f>IFERROR(__xludf.DUMMYFUNCTION("""COMPUTED_VALUE"""),328.23)</f>
        <v>328.23</v>
      </c>
      <c r="C3819" s="2">
        <f>IFERROR(__xludf.DUMMYFUNCTION("""COMPUTED_VALUE"""),333.33)</f>
        <v>333.33</v>
      </c>
      <c r="D3819" s="2">
        <f>IFERROR(__xludf.DUMMYFUNCTION("""COMPUTED_VALUE"""),325.6)</f>
        <v>325.6</v>
      </c>
      <c r="E3819" s="2">
        <f>IFERROR(__xludf.DUMMYFUNCTION("""COMPUTED_VALUE"""),329.36)</f>
        <v>329.36</v>
      </c>
      <c r="F3819" s="2">
        <f>IFERROR(__xludf.DUMMYFUNCTION("""COMPUTED_VALUE"""),5.8391952E7)</f>
        <v>58391952</v>
      </c>
    </row>
    <row r="3820">
      <c r="A3820" s="3">
        <f>IFERROR(__xludf.DUMMYFUNCTION("""COMPUTED_VALUE"""),45903.66666666667)</f>
        <v>45903.66667</v>
      </c>
      <c r="B3820" s="2">
        <f>IFERROR(__xludf.DUMMYFUNCTION("""COMPUTED_VALUE"""),335.2)</f>
        <v>335.2</v>
      </c>
      <c r="C3820" s="2">
        <f>IFERROR(__xludf.DUMMYFUNCTION("""COMPUTED_VALUE"""),343.33)</f>
        <v>343.33</v>
      </c>
      <c r="D3820" s="2">
        <f>IFERROR(__xludf.DUMMYFUNCTION("""COMPUTED_VALUE"""),328.51)</f>
        <v>328.51</v>
      </c>
      <c r="E3820" s="2">
        <f>IFERROR(__xludf.DUMMYFUNCTION("""COMPUTED_VALUE"""),334.09)</f>
        <v>334.09</v>
      </c>
      <c r="F3820" s="2">
        <f>IFERROR(__xludf.DUMMYFUNCTION("""COMPUTED_VALUE"""),8.8733288E7)</f>
        <v>88733288</v>
      </c>
    </row>
    <row r="3821">
      <c r="A3821" s="3">
        <f>IFERROR(__xludf.DUMMYFUNCTION("""COMPUTED_VALUE"""),45904.66666666667)</f>
        <v>45904.66667</v>
      </c>
      <c r="B3821" s="2">
        <f>IFERROR(__xludf.DUMMYFUNCTION("""COMPUTED_VALUE"""),336.15)</f>
        <v>336.15</v>
      </c>
      <c r="C3821" s="2">
        <f>IFERROR(__xludf.DUMMYFUNCTION("""COMPUTED_VALUE"""),338.89)</f>
        <v>338.89</v>
      </c>
      <c r="D3821" s="2">
        <f>IFERROR(__xludf.DUMMYFUNCTION("""COMPUTED_VALUE"""),331.48)</f>
        <v>331.48</v>
      </c>
      <c r="E3821" s="2">
        <f>IFERROR(__xludf.DUMMYFUNCTION("""COMPUTED_VALUE"""),338.53)</f>
        <v>338.53</v>
      </c>
      <c r="F3821" s="2">
        <f>IFERROR(__xludf.DUMMYFUNCTION("""COMPUTED_VALUE"""),6.0711033E7)</f>
        <v>60711033</v>
      </c>
    </row>
    <row r="3822">
      <c r="A3822" s="3">
        <f>IFERROR(__xludf.DUMMYFUNCTION("""COMPUTED_VALUE"""),45905.66666666667)</f>
        <v>45905.66667</v>
      </c>
      <c r="B3822" s="2">
        <f>IFERROR(__xludf.DUMMYFUNCTION("""COMPUTED_VALUE"""),348.0)</f>
        <v>348</v>
      </c>
      <c r="C3822" s="2">
        <f>IFERROR(__xludf.DUMMYFUNCTION("""COMPUTED_VALUE"""),355.87)</f>
        <v>355.87</v>
      </c>
      <c r="D3822" s="2">
        <f>IFERROR(__xludf.DUMMYFUNCTION("""COMPUTED_VALUE"""),344.68)</f>
        <v>344.68</v>
      </c>
      <c r="E3822" s="2">
        <f>IFERROR(__xludf.DUMMYFUNCTION("""COMPUTED_VALUE"""),350.84)</f>
        <v>350.84</v>
      </c>
      <c r="F3822" s="2">
        <f>IFERROR(__xludf.DUMMYFUNCTION("""COMPUTED_VALUE"""),1.08989785E8)</f>
        <v>108989785</v>
      </c>
    </row>
    <row r="3823">
      <c r="A3823" s="3">
        <f>IFERROR(__xludf.DUMMYFUNCTION("""COMPUTED_VALUE"""),45908.66666666667)</f>
        <v>45908.66667</v>
      </c>
      <c r="B3823" s="2">
        <f>IFERROR(__xludf.DUMMYFUNCTION("""COMPUTED_VALUE"""),354.64)</f>
        <v>354.64</v>
      </c>
      <c r="C3823" s="2">
        <f>IFERROR(__xludf.DUMMYFUNCTION("""COMPUTED_VALUE"""),358.44)</f>
        <v>358.44</v>
      </c>
      <c r="D3823" s="2">
        <f>IFERROR(__xludf.DUMMYFUNCTION("""COMPUTED_VALUE"""),344.84)</f>
        <v>344.84</v>
      </c>
      <c r="E3823" s="2">
        <f>IFERROR(__xludf.DUMMYFUNCTION("""COMPUTED_VALUE"""),346.4)</f>
        <v>346.4</v>
      </c>
      <c r="F3823" s="2">
        <f>IFERROR(__xludf.DUMMYFUNCTION("""COMPUTED_VALUE"""),7.520829E7)</f>
        <v>75208290</v>
      </c>
    </row>
    <row r="3824">
      <c r="A3824" s="3">
        <f>IFERROR(__xludf.DUMMYFUNCTION("""COMPUTED_VALUE"""),45909.66666666667)</f>
        <v>45909.66667</v>
      </c>
      <c r="B3824" s="2">
        <f>IFERROR(__xludf.DUMMYFUNCTION("""COMPUTED_VALUE"""),348.44)</f>
        <v>348.44</v>
      </c>
      <c r="C3824" s="2">
        <f>IFERROR(__xludf.DUMMYFUNCTION("""COMPUTED_VALUE"""),350.77)</f>
        <v>350.77</v>
      </c>
      <c r="D3824" s="2">
        <f>IFERROR(__xludf.DUMMYFUNCTION("""COMPUTED_VALUE"""),343.82)</f>
        <v>343.82</v>
      </c>
      <c r="E3824" s="2">
        <f>IFERROR(__xludf.DUMMYFUNCTION("""COMPUTED_VALUE"""),346.97)</f>
        <v>346.97</v>
      </c>
      <c r="F3824" s="2">
        <f>IFERROR(__xludf.DUMMYFUNCTION("""COMPUTED_VALUE"""),5.3815991E7)</f>
        <v>53815991</v>
      </c>
    </row>
    <row r="3825">
      <c r="A3825" s="3">
        <f>IFERROR(__xludf.DUMMYFUNCTION("""COMPUTED_VALUE"""),45910.66666666667)</f>
        <v>45910.66667</v>
      </c>
      <c r="B3825" s="2">
        <f>IFERROR(__xludf.DUMMYFUNCTION("""COMPUTED_VALUE"""),350.55)</f>
        <v>350.55</v>
      </c>
      <c r="C3825" s="2">
        <f>IFERROR(__xludf.DUMMYFUNCTION("""COMPUTED_VALUE"""),356.33)</f>
        <v>356.33</v>
      </c>
      <c r="D3825" s="2">
        <f>IFERROR(__xludf.DUMMYFUNCTION("""COMPUTED_VALUE"""),346.07)</f>
        <v>346.07</v>
      </c>
      <c r="E3825" s="2">
        <f>IFERROR(__xludf.DUMMYFUNCTION("""COMPUTED_VALUE"""),347.79)</f>
        <v>347.79</v>
      </c>
      <c r="F3825" s="2">
        <f>IFERROR(__xludf.DUMMYFUNCTION("""COMPUTED_VALUE"""),7.2121679E7)</f>
        <v>72121679</v>
      </c>
    </row>
    <row r="3826">
      <c r="A3826" s="3">
        <f>IFERROR(__xludf.DUMMYFUNCTION("""COMPUTED_VALUE"""),45911.66666666667)</f>
        <v>45911.66667</v>
      </c>
      <c r="B3826" s="2">
        <f>IFERROR(__xludf.DUMMYFUNCTION("""COMPUTED_VALUE"""),350.17)</f>
        <v>350.17</v>
      </c>
      <c r="C3826" s="2">
        <f>IFERROR(__xludf.DUMMYFUNCTION("""COMPUTED_VALUE"""),368.99)</f>
        <v>368.99</v>
      </c>
      <c r="D3826" s="2">
        <f>IFERROR(__xludf.DUMMYFUNCTION("""COMPUTED_VALUE"""),347.6)</f>
        <v>347.6</v>
      </c>
      <c r="E3826" s="2">
        <f>IFERROR(__xludf.DUMMYFUNCTION("""COMPUTED_VALUE"""),368.81)</f>
        <v>368.81</v>
      </c>
      <c r="F3826" s="2">
        <f>IFERROR(__xludf.DUMMYFUNCTION("""COMPUTED_VALUE"""),1.0375601E8)</f>
        <v>103756010</v>
      </c>
    </row>
    <row r="3827">
      <c r="A3827" s="3">
        <f>IFERROR(__xludf.DUMMYFUNCTION("""COMPUTED_VALUE"""),45912.66666666667)</f>
        <v>45912.66667</v>
      </c>
      <c r="B3827" s="2">
        <f>IFERROR(__xludf.DUMMYFUNCTION("""COMPUTED_VALUE"""),370.94)</f>
        <v>370.94</v>
      </c>
      <c r="C3827" s="2">
        <f>IFERROR(__xludf.DUMMYFUNCTION("""COMPUTED_VALUE"""),396.69)</f>
        <v>396.69</v>
      </c>
      <c r="D3827" s="2">
        <f>IFERROR(__xludf.DUMMYFUNCTION("""COMPUTED_VALUE"""),370.24)</f>
        <v>370.24</v>
      </c>
      <c r="E3827" s="2">
        <f>IFERROR(__xludf.DUMMYFUNCTION("""COMPUTED_VALUE"""),395.94)</f>
        <v>395.94</v>
      </c>
      <c r="F3827" s="2">
        <f>IFERROR(__xludf.DUMMYFUNCTION("""COMPUTED_VALUE"""),1.68156391E8)</f>
        <v>168156391</v>
      </c>
    </row>
    <row r="3828">
      <c r="A3828" s="3">
        <f>IFERROR(__xludf.DUMMYFUNCTION("""COMPUTED_VALUE"""),45915.66666666667)</f>
        <v>45915.66667</v>
      </c>
      <c r="B3828" s="2">
        <f>IFERROR(__xludf.DUMMYFUNCTION("""COMPUTED_VALUE"""),423.13)</f>
        <v>423.13</v>
      </c>
      <c r="C3828" s="2">
        <f>IFERROR(__xludf.DUMMYFUNCTION("""COMPUTED_VALUE"""),425.7)</f>
        <v>425.7</v>
      </c>
      <c r="D3828" s="2">
        <f>IFERROR(__xludf.DUMMYFUNCTION("""COMPUTED_VALUE"""),402.43)</f>
        <v>402.43</v>
      </c>
      <c r="E3828" s="2">
        <f>IFERROR(__xludf.DUMMYFUNCTION("""COMPUTED_VALUE"""),410.04)</f>
        <v>410.04</v>
      </c>
      <c r="F3828" s="2">
        <f>IFERROR(__xludf.DUMMYFUNCTION("""COMPUTED_VALUE"""),1.63823667E8)</f>
        <v>163823667</v>
      </c>
    </row>
    <row r="3829">
      <c r="A3829" s="3">
        <f>IFERROR(__xludf.DUMMYFUNCTION("""COMPUTED_VALUE"""),45916.66666666667)</f>
        <v>45916.66667</v>
      </c>
      <c r="B3829" s="2">
        <f>IFERROR(__xludf.DUMMYFUNCTION("""COMPUTED_VALUE"""),414.5)</f>
        <v>414.5</v>
      </c>
      <c r="C3829" s="2">
        <f>IFERROR(__xludf.DUMMYFUNCTION("""COMPUTED_VALUE"""),423.25)</f>
        <v>423.25</v>
      </c>
      <c r="D3829" s="2">
        <f>IFERROR(__xludf.DUMMYFUNCTION("""COMPUTED_VALUE"""),411.43)</f>
        <v>411.43</v>
      </c>
      <c r="E3829" s="2">
        <f>IFERROR(__xludf.DUMMYFUNCTION("""COMPUTED_VALUE"""),421.62)</f>
        <v>421.62</v>
      </c>
      <c r="F3829" s="2">
        <f>IFERROR(__xludf.DUMMYFUNCTION("""COMPUTED_VALUE"""),1.04285721E8)</f>
        <v>104285721</v>
      </c>
    </row>
    <row r="3830">
      <c r="A3830" s="3">
        <f>IFERROR(__xludf.DUMMYFUNCTION("""COMPUTED_VALUE"""),45917.66666666667)</f>
        <v>45917.66667</v>
      </c>
      <c r="B3830" s="2">
        <f>IFERROR(__xludf.DUMMYFUNCTION("""COMPUTED_VALUE"""),415.75)</f>
        <v>415.75</v>
      </c>
      <c r="C3830" s="2">
        <f>IFERROR(__xludf.DUMMYFUNCTION("""COMPUTED_VALUE"""),428.31)</f>
        <v>428.31</v>
      </c>
      <c r="D3830" s="2">
        <f>IFERROR(__xludf.DUMMYFUNCTION("""COMPUTED_VALUE"""),409.67)</f>
        <v>409.67</v>
      </c>
      <c r="E3830" s="2">
        <f>IFERROR(__xludf.DUMMYFUNCTION("""COMPUTED_VALUE"""),425.86)</f>
        <v>425.86</v>
      </c>
      <c r="F3830" s="2">
        <f>IFERROR(__xludf.DUMMYFUNCTION("""COMPUTED_VALUE"""),1.06133532E8)</f>
        <v>106133532</v>
      </c>
    </row>
    <row r="3831">
      <c r="A3831" s="3">
        <f>IFERROR(__xludf.DUMMYFUNCTION("""COMPUTED_VALUE"""),45918.66666666667)</f>
        <v>45918.66667</v>
      </c>
      <c r="B3831" s="2">
        <f>IFERROR(__xludf.DUMMYFUNCTION("""COMPUTED_VALUE"""),428.87)</f>
        <v>428.87</v>
      </c>
      <c r="C3831" s="2">
        <f>IFERROR(__xludf.DUMMYFUNCTION("""COMPUTED_VALUE"""),432.22)</f>
        <v>432.22</v>
      </c>
      <c r="D3831" s="2">
        <f>IFERROR(__xludf.DUMMYFUNCTION("""COMPUTED_VALUE"""),416.56)</f>
        <v>416.56</v>
      </c>
      <c r="E3831" s="2">
        <f>IFERROR(__xludf.DUMMYFUNCTION("""COMPUTED_VALUE"""),416.85)</f>
        <v>416.85</v>
      </c>
      <c r="F3831" s="2">
        <f>IFERROR(__xludf.DUMMYFUNCTION("""COMPUTED_VALUE"""),9.0454509E7)</f>
        <v>90454509</v>
      </c>
    </row>
    <row r="3832">
      <c r="A3832" s="3">
        <f>IFERROR(__xludf.DUMMYFUNCTION("""COMPUTED_VALUE"""),45919.66666666667)</f>
        <v>45919.66667</v>
      </c>
      <c r="B3832" s="2">
        <f>IFERROR(__xludf.DUMMYFUNCTION("""COMPUTED_VALUE"""),421.82)</f>
        <v>421.82</v>
      </c>
      <c r="C3832" s="2">
        <f>IFERROR(__xludf.DUMMYFUNCTION("""COMPUTED_VALUE"""),429.47)</f>
        <v>429.47</v>
      </c>
      <c r="D3832" s="2">
        <f>IFERROR(__xludf.DUMMYFUNCTION("""COMPUTED_VALUE"""),421.72)</f>
        <v>421.72</v>
      </c>
      <c r="E3832" s="2">
        <f>IFERROR(__xludf.DUMMYFUNCTION("""COMPUTED_VALUE"""),426.07)</f>
        <v>426.07</v>
      </c>
      <c r="F3832" s="2">
        <f>IFERROR(__xludf.DUMMYFUNCTION("""COMPUTED_VALUE"""),9.3131034E7)</f>
        <v>93131034</v>
      </c>
    </row>
    <row r="3833">
      <c r="A3833" s="3">
        <f>IFERROR(__xludf.DUMMYFUNCTION("""COMPUTED_VALUE"""),45922.66666666667)</f>
        <v>45922.66667</v>
      </c>
      <c r="B3833" s="2">
        <f>IFERROR(__xludf.DUMMYFUNCTION("""COMPUTED_VALUE"""),431.11)</f>
        <v>431.11</v>
      </c>
      <c r="C3833" s="2">
        <f>IFERROR(__xludf.DUMMYFUNCTION("""COMPUTED_VALUE"""),444.98)</f>
        <v>444.98</v>
      </c>
      <c r="D3833" s="2">
        <f>IFERROR(__xludf.DUMMYFUNCTION("""COMPUTED_VALUE"""),429.13)</f>
        <v>429.13</v>
      </c>
      <c r="E3833" s="2">
        <f>IFERROR(__xludf.DUMMYFUNCTION("""COMPUTED_VALUE"""),434.21)</f>
        <v>434.21</v>
      </c>
      <c r="F3833" s="2">
        <f>IFERROR(__xludf.DUMMYFUNCTION("""COMPUTED_VALUE"""),9.7108777E7)</f>
        <v>97108777</v>
      </c>
    </row>
    <row r="3834">
      <c r="A3834" s="3">
        <f>IFERROR(__xludf.DUMMYFUNCTION("""COMPUTED_VALUE"""),45923.66666666667)</f>
        <v>45923.66667</v>
      </c>
      <c r="B3834" s="2">
        <f>IFERROR(__xludf.DUMMYFUNCTION("""COMPUTED_VALUE"""),439.88)</f>
        <v>439.88</v>
      </c>
      <c r="C3834" s="2">
        <f>IFERROR(__xludf.DUMMYFUNCTION("""COMPUTED_VALUE"""),440.97)</f>
        <v>440.97</v>
      </c>
      <c r="D3834" s="2">
        <f>IFERROR(__xludf.DUMMYFUNCTION("""COMPUTED_VALUE"""),423.72)</f>
        <v>423.72</v>
      </c>
      <c r="E3834" s="2">
        <f>IFERROR(__xludf.DUMMYFUNCTION("""COMPUTED_VALUE"""),425.85)</f>
        <v>425.85</v>
      </c>
      <c r="F3834" s="2">
        <f>IFERROR(__xludf.DUMMYFUNCTION("""COMPUTED_VALUE"""),8.3422691E7)</f>
        <v>83422691</v>
      </c>
    </row>
    <row r="3835">
      <c r="A3835" s="3">
        <f>IFERROR(__xludf.DUMMYFUNCTION("""COMPUTED_VALUE"""),45924.66666666667)</f>
        <v>45924.66667</v>
      </c>
      <c r="B3835" s="2">
        <f>IFERROR(__xludf.DUMMYFUNCTION("""COMPUTED_VALUE"""),429.83)</f>
        <v>429.83</v>
      </c>
      <c r="C3835" s="2">
        <f>IFERROR(__xludf.DUMMYFUNCTION("""COMPUTED_VALUE"""),444.21)</f>
        <v>444.21</v>
      </c>
      <c r="D3835" s="2">
        <f>IFERROR(__xludf.DUMMYFUNCTION("""COMPUTED_VALUE"""),429.03)</f>
        <v>429.03</v>
      </c>
      <c r="E3835" s="2">
        <f>IFERROR(__xludf.DUMMYFUNCTION("""COMPUTED_VALUE"""),442.79)</f>
        <v>442.79</v>
      </c>
      <c r="F3835" s="2">
        <f>IFERROR(__xludf.DUMMYFUNCTION("""COMPUTED_VALUE"""),9.313357E7)</f>
        <v>93133570</v>
      </c>
    </row>
    <row r="3836">
      <c r="A3836" s="3">
        <f>IFERROR(__xludf.DUMMYFUNCTION("""COMPUTED_VALUE"""),45925.66666666667)</f>
        <v>45925.66667</v>
      </c>
      <c r="B3836" s="2">
        <f>IFERROR(__xludf.DUMMYFUNCTION("""COMPUTED_VALUE"""),435.24)</f>
        <v>435.24</v>
      </c>
      <c r="C3836" s="2">
        <f>IFERROR(__xludf.DUMMYFUNCTION("""COMPUTED_VALUE"""),435.35)</f>
        <v>435.35</v>
      </c>
      <c r="D3836" s="2">
        <f>IFERROR(__xludf.DUMMYFUNCTION("""COMPUTED_VALUE"""),419.08)</f>
        <v>419.08</v>
      </c>
      <c r="E3836" s="2">
        <f>IFERROR(__xludf.DUMMYFUNCTION("""COMPUTED_VALUE"""),423.39)</f>
        <v>423.39</v>
      </c>
      <c r="F3836" s="2">
        <f>IFERROR(__xludf.DUMMYFUNCTION("""COMPUTED_VALUE"""),9.6746426E7)</f>
        <v>96746426</v>
      </c>
    </row>
    <row r="3837">
      <c r="A3837" s="3">
        <f>IFERROR(__xludf.DUMMYFUNCTION("""COMPUTED_VALUE"""),45926.66666666667)</f>
        <v>45926.66667</v>
      </c>
      <c r="B3837" s="2">
        <f>IFERROR(__xludf.DUMMYFUNCTION("""COMPUTED_VALUE"""),428.3)</f>
        <v>428.3</v>
      </c>
      <c r="C3837" s="2">
        <f>IFERROR(__xludf.DUMMYFUNCTION("""COMPUTED_VALUE"""),440.47)</f>
        <v>440.47</v>
      </c>
      <c r="D3837" s="2">
        <f>IFERROR(__xludf.DUMMYFUNCTION("""COMPUTED_VALUE"""),421.02)</f>
        <v>421.02</v>
      </c>
      <c r="E3837" s="2">
        <f>IFERROR(__xludf.DUMMYFUNCTION("""COMPUTED_VALUE"""),440.4)</f>
        <v>440.4</v>
      </c>
      <c r="F3837" s="2">
        <f>IFERROR(__xludf.DUMMYFUNCTION("""COMPUTED_VALUE"""),1.0162816E8)</f>
        <v>101628160</v>
      </c>
    </row>
    <row r="3838">
      <c r="A3838" s="3">
        <f>IFERROR(__xludf.DUMMYFUNCTION("""COMPUTED_VALUE"""),45929.66666666667)</f>
        <v>45929.66667</v>
      </c>
      <c r="B3838" s="2">
        <f>IFERROR(__xludf.DUMMYFUNCTION("""COMPUTED_VALUE"""),444.35)</f>
        <v>444.35</v>
      </c>
      <c r="C3838" s="2">
        <f>IFERROR(__xludf.DUMMYFUNCTION("""COMPUTED_VALUE"""),450.98)</f>
        <v>450.98</v>
      </c>
      <c r="D3838" s="2">
        <f>IFERROR(__xludf.DUMMYFUNCTION("""COMPUTED_VALUE"""),439.5)</f>
        <v>439.5</v>
      </c>
      <c r="E3838" s="2">
        <f>IFERROR(__xludf.DUMMYFUNCTION("""COMPUTED_VALUE"""),443.21)</f>
        <v>443.21</v>
      </c>
      <c r="F3838" s="2">
        <f>IFERROR(__xludf.DUMMYFUNCTION("""COMPUTED_VALUE"""),7.949151E7)</f>
        <v>79491510</v>
      </c>
    </row>
    <row r="3839">
      <c r="A3839" s="3">
        <f>IFERROR(__xludf.DUMMYFUNCTION("""COMPUTED_VALUE"""),45930.66666666667)</f>
        <v>45930.66667</v>
      </c>
      <c r="B3839" s="2">
        <f>IFERROR(__xludf.DUMMYFUNCTION("""COMPUTED_VALUE"""),441.52)</f>
        <v>441.52</v>
      </c>
      <c r="C3839" s="2">
        <f>IFERROR(__xludf.DUMMYFUNCTION("""COMPUTED_VALUE"""),445.0)</f>
        <v>445</v>
      </c>
      <c r="D3839" s="2">
        <f>IFERROR(__xludf.DUMMYFUNCTION("""COMPUTED_VALUE"""),433.12)</f>
        <v>433.12</v>
      </c>
      <c r="E3839" s="2">
        <f>IFERROR(__xludf.DUMMYFUNCTION("""COMPUTED_VALUE"""),444.72)</f>
        <v>444.72</v>
      </c>
      <c r="F3839" s="2">
        <f>IFERROR(__xludf.DUMMYFUNCTION("""COMPUTED_VALUE"""),7.435796E7)</f>
        <v>74357960</v>
      </c>
    </row>
    <row r="3840">
      <c r="A3840" s="3">
        <f>IFERROR(__xludf.DUMMYFUNCTION("""COMPUTED_VALUE"""),45931.66666666667)</f>
        <v>45931.66667</v>
      </c>
      <c r="B3840" s="2">
        <f>IFERROR(__xludf.DUMMYFUNCTION("""COMPUTED_VALUE"""),443.8)</f>
        <v>443.8</v>
      </c>
      <c r="C3840" s="2">
        <f>IFERROR(__xludf.DUMMYFUNCTION("""COMPUTED_VALUE"""),462.29)</f>
        <v>462.29</v>
      </c>
      <c r="D3840" s="2">
        <f>IFERROR(__xludf.DUMMYFUNCTION("""COMPUTED_VALUE"""),440.75)</f>
        <v>440.75</v>
      </c>
      <c r="E3840" s="2">
        <f>IFERROR(__xludf.DUMMYFUNCTION("""COMPUTED_VALUE"""),459.46)</f>
        <v>459.46</v>
      </c>
      <c r="F3840" s="2">
        <f>IFERROR(__xludf.DUMMYFUNCTION("""COMPUTED_VALUE"""),9.8122285E7)</f>
        <v>98122285</v>
      </c>
    </row>
    <row r="3841">
      <c r="A3841" s="3">
        <f>IFERROR(__xludf.DUMMYFUNCTION("""COMPUTED_VALUE"""),45932.66666666667)</f>
        <v>45932.66667</v>
      </c>
      <c r="B3841" s="2">
        <f>IFERROR(__xludf.DUMMYFUNCTION("""COMPUTED_VALUE"""),470.54)</f>
        <v>470.54</v>
      </c>
      <c r="C3841" s="2">
        <f>IFERROR(__xludf.DUMMYFUNCTION("""COMPUTED_VALUE"""),470.75)</f>
        <v>470.75</v>
      </c>
      <c r="D3841" s="2">
        <f>IFERROR(__xludf.DUMMYFUNCTION("""COMPUTED_VALUE"""),435.57)</f>
        <v>435.57</v>
      </c>
      <c r="E3841" s="2">
        <f>IFERROR(__xludf.DUMMYFUNCTION("""COMPUTED_VALUE"""),436.0)</f>
        <v>436</v>
      </c>
      <c r="F3841" s="2">
        <f>IFERROR(__xludf.DUMMYFUNCTION("""COMPUTED_VALUE"""),1.3700895E8)</f>
        <v>137008950</v>
      </c>
    </row>
    <row r="3842">
      <c r="A3842" s="3">
        <f>IFERROR(__xludf.DUMMYFUNCTION("""COMPUTED_VALUE"""),45933.66666666667)</f>
        <v>45933.66667</v>
      </c>
      <c r="B3842" s="2">
        <f>IFERROR(__xludf.DUMMYFUNCTION("""COMPUTED_VALUE"""),443.29)</f>
        <v>443.29</v>
      </c>
      <c r="C3842" s="2">
        <f>IFERROR(__xludf.DUMMYFUNCTION("""COMPUTED_VALUE"""),446.77)</f>
        <v>446.77</v>
      </c>
      <c r="D3842" s="2">
        <f>IFERROR(__xludf.DUMMYFUNCTION("""COMPUTED_VALUE"""),416.58)</f>
        <v>416.58</v>
      </c>
      <c r="E3842" s="2">
        <f>IFERROR(__xludf.DUMMYFUNCTION("""COMPUTED_VALUE"""),429.83)</f>
        <v>429.83</v>
      </c>
      <c r="F3842" s="2">
        <f>IFERROR(__xludf.DUMMYFUNCTION("""COMPUTED_VALUE"""),1.3318818E8)</f>
        <v>133188180</v>
      </c>
    </row>
    <row r="3843">
      <c r="A3843" s="3">
        <f>IFERROR(__xludf.DUMMYFUNCTION("""COMPUTED_VALUE"""),45936.66666666667)</f>
        <v>45936.66667</v>
      </c>
      <c r="B3843" s="2">
        <f>IFERROR(__xludf.DUMMYFUNCTION("""COMPUTED_VALUE"""),440.75)</f>
        <v>440.75</v>
      </c>
      <c r="C3843" s="2">
        <f>IFERROR(__xludf.DUMMYFUNCTION("""COMPUTED_VALUE"""),453.55)</f>
        <v>453.55</v>
      </c>
      <c r="D3843" s="2">
        <f>IFERROR(__xludf.DUMMYFUNCTION("""COMPUTED_VALUE"""),436.69)</f>
        <v>436.69</v>
      </c>
      <c r="E3843" s="2">
        <f>IFERROR(__xludf.DUMMYFUNCTION("""COMPUTED_VALUE"""),453.25)</f>
        <v>453.25</v>
      </c>
      <c r="F3843" s="2">
        <f>IFERROR(__xludf.DUMMYFUNCTION("""COMPUTED_VALUE"""),8.5324878E7)</f>
        <v>85324878</v>
      </c>
    </row>
    <row r="3844">
      <c r="A3844" s="3">
        <f>IFERROR(__xludf.DUMMYFUNCTION("""COMPUTED_VALUE"""),45937.66666666667)</f>
        <v>45937.66667</v>
      </c>
      <c r="B3844" s="2">
        <f>IFERROR(__xludf.DUMMYFUNCTION("""COMPUTED_VALUE"""),447.82)</f>
        <v>447.82</v>
      </c>
      <c r="C3844" s="2">
        <f>IFERROR(__xludf.DUMMYFUNCTION("""COMPUTED_VALUE"""),452.68)</f>
        <v>452.68</v>
      </c>
      <c r="D3844" s="2">
        <f>IFERROR(__xludf.DUMMYFUNCTION("""COMPUTED_VALUE"""),432.45)</f>
        <v>432.45</v>
      </c>
      <c r="E3844" s="2">
        <f>IFERROR(__xludf.DUMMYFUNCTION("""COMPUTED_VALUE"""),433.09)</f>
        <v>433.09</v>
      </c>
      <c r="F3844" s="2">
        <f>IFERROR(__xludf.DUMMYFUNCTION("""COMPUTED_VALUE"""),1.02296082E8)</f>
        <v>102296082</v>
      </c>
    </row>
    <row r="3845">
      <c r="A3845" s="3">
        <f>IFERROR(__xludf.DUMMYFUNCTION("""COMPUTED_VALUE"""),45938.66666666667)</f>
        <v>45938.66667</v>
      </c>
      <c r="B3845" s="2">
        <f>IFERROR(__xludf.DUMMYFUNCTION("""COMPUTED_VALUE"""),437.57)</f>
        <v>437.57</v>
      </c>
      <c r="C3845" s="2">
        <f>IFERROR(__xludf.DUMMYFUNCTION("""COMPUTED_VALUE"""),441.33)</f>
        <v>441.33</v>
      </c>
      <c r="D3845" s="2">
        <f>IFERROR(__xludf.DUMMYFUNCTION("""COMPUTED_VALUE"""),425.23)</f>
        <v>425.23</v>
      </c>
      <c r="E3845" s="2">
        <f>IFERROR(__xludf.DUMMYFUNCTION("""COMPUTED_VALUE"""),438.69)</f>
        <v>438.69</v>
      </c>
      <c r="F3845" s="2">
        <f>IFERROR(__xludf.DUMMYFUNCTION("""COMPUTED_VALUE"""),7.1192128E7)</f>
        <v>71192128</v>
      </c>
    </row>
    <row r="3846">
      <c r="A3846" s="3">
        <f>IFERROR(__xludf.DUMMYFUNCTION("""COMPUTED_VALUE"""),45939.66666666667)</f>
        <v>45939.66667</v>
      </c>
      <c r="B3846" s="2">
        <f>IFERROR(__xludf.DUMMYFUNCTION("""COMPUTED_VALUE"""),431.81)</f>
        <v>431.81</v>
      </c>
      <c r="C3846" s="2">
        <f>IFERROR(__xludf.DUMMYFUNCTION("""COMPUTED_VALUE"""),436.35)</f>
        <v>436.35</v>
      </c>
      <c r="D3846" s="2">
        <f>IFERROR(__xludf.DUMMYFUNCTION("""COMPUTED_VALUE"""),426.18)</f>
        <v>426.18</v>
      </c>
      <c r="E3846" s="2">
        <f>IFERROR(__xludf.DUMMYFUNCTION("""COMPUTED_VALUE"""),435.54)</f>
        <v>435.54</v>
      </c>
      <c r="F3846" s="2">
        <f>IFERROR(__xludf.DUMMYFUNCTION("""COMPUTED_VALUE"""),6.9339928E7)</f>
        <v>69339928</v>
      </c>
    </row>
    <row r="3847">
      <c r="A3847" s="3">
        <f>IFERROR(__xludf.DUMMYFUNCTION("""COMPUTED_VALUE"""),45940.66666666667)</f>
        <v>45940.66667</v>
      </c>
      <c r="B3847" s="2">
        <f>IFERROR(__xludf.DUMMYFUNCTION("""COMPUTED_VALUE"""),436.54)</f>
        <v>436.54</v>
      </c>
      <c r="C3847" s="2">
        <f>IFERROR(__xludf.DUMMYFUNCTION("""COMPUTED_VALUE"""),443.13)</f>
        <v>443.13</v>
      </c>
      <c r="D3847" s="2">
        <f>IFERROR(__xludf.DUMMYFUNCTION("""COMPUTED_VALUE"""),411.45)</f>
        <v>411.45</v>
      </c>
      <c r="E3847" s="2">
        <f>IFERROR(__xludf.DUMMYFUNCTION("""COMPUTED_VALUE"""),413.49)</f>
        <v>413.49</v>
      </c>
      <c r="F3847" s="2">
        <f>IFERROR(__xludf.DUMMYFUNCTION("""COMPUTED_VALUE"""),1.1210787E8)</f>
        <v>112107870</v>
      </c>
    </row>
    <row r="3848">
      <c r="A3848" s="3">
        <f>IFERROR(__xludf.DUMMYFUNCTION("""COMPUTED_VALUE"""),45943.66666666667)</f>
        <v>45943.66667</v>
      </c>
      <c r="B3848" s="2">
        <f>IFERROR(__xludf.DUMMYFUNCTION("""COMPUTED_VALUE"""),423.53)</f>
        <v>423.53</v>
      </c>
      <c r="C3848" s="2">
        <f>IFERROR(__xludf.DUMMYFUNCTION("""COMPUTED_VALUE"""),436.89)</f>
        <v>436.89</v>
      </c>
      <c r="D3848" s="2">
        <f>IFERROR(__xludf.DUMMYFUNCTION("""COMPUTED_VALUE"""),419.7)</f>
        <v>419.7</v>
      </c>
      <c r="E3848" s="2">
        <f>IFERROR(__xludf.DUMMYFUNCTION("""COMPUTED_VALUE"""),435.9)</f>
        <v>435.9</v>
      </c>
      <c r="F3848" s="2">
        <f>IFERROR(__xludf.DUMMYFUNCTION("""COMPUTED_VALUE"""),7.9552785E7)</f>
        <v>79552785</v>
      </c>
    </row>
    <row r="3849">
      <c r="A3849" s="3">
        <f>IFERROR(__xludf.DUMMYFUNCTION("""COMPUTED_VALUE"""),45944.66666666667)</f>
        <v>45944.66667</v>
      </c>
      <c r="B3849" s="2">
        <f>IFERROR(__xludf.DUMMYFUNCTION("""COMPUTED_VALUE"""),426.79)</f>
        <v>426.79</v>
      </c>
      <c r="C3849" s="2">
        <f>IFERROR(__xludf.DUMMYFUNCTION("""COMPUTED_VALUE"""),434.2)</f>
        <v>434.2</v>
      </c>
      <c r="D3849" s="2">
        <f>IFERROR(__xludf.DUMMYFUNCTION("""COMPUTED_VALUE"""),417.86)</f>
        <v>417.86</v>
      </c>
      <c r="E3849" s="2">
        <f>IFERROR(__xludf.DUMMYFUNCTION("""COMPUTED_VALUE"""),429.24)</f>
        <v>429.24</v>
      </c>
      <c r="F3849" s="2">
        <f>IFERROR(__xludf.DUMMYFUNCTION("""COMPUTED_VALUE"""),7.2669438E7)</f>
        <v>72669438</v>
      </c>
    </row>
    <row r="3850">
      <c r="A3850" s="3">
        <f>IFERROR(__xludf.DUMMYFUNCTION("""COMPUTED_VALUE"""),45945.66666666667)</f>
        <v>45945.66667</v>
      </c>
      <c r="B3850" s="2">
        <f>IFERROR(__xludf.DUMMYFUNCTION("""COMPUTED_VALUE"""),434.9)</f>
        <v>434.9</v>
      </c>
      <c r="C3850" s="2">
        <f>IFERROR(__xludf.DUMMYFUNCTION("""COMPUTED_VALUE"""),440.51)</f>
        <v>440.51</v>
      </c>
      <c r="D3850" s="2">
        <f>IFERROR(__xludf.DUMMYFUNCTION("""COMPUTED_VALUE"""),426.33)</f>
        <v>426.33</v>
      </c>
      <c r="E3850" s="2">
        <f>IFERROR(__xludf.DUMMYFUNCTION("""COMPUTED_VALUE"""),435.15)</f>
        <v>435.15</v>
      </c>
      <c r="F3850" s="2">
        <f>IFERROR(__xludf.DUMMYFUNCTION("""COMPUTED_VALUE"""),7.1558185E7)</f>
        <v>71558185</v>
      </c>
    </row>
    <row r="3851">
      <c r="A3851" s="3">
        <f>IFERROR(__xludf.DUMMYFUNCTION("""COMPUTED_VALUE"""),45946.66666666667)</f>
        <v>45946.66667</v>
      </c>
      <c r="B3851" s="2">
        <f>IFERROR(__xludf.DUMMYFUNCTION("""COMPUTED_VALUE"""),434.73)</f>
        <v>434.73</v>
      </c>
      <c r="C3851" s="2">
        <f>IFERROR(__xludf.DUMMYFUNCTION("""COMPUTED_VALUE"""),439.35)</f>
        <v>439.35</v>
      </c>
      <c r="D3851" s="2">
        <f>IFERROR(__xludf.DUMMYFUNCTION("""COMPUTED_VALUE"""),421.31)</f>
        <v>421.31</v>
      </c>
      <c r="E3851" s="2">
        <f>IFERROR(__xludf.DUMMYFUNCTION("""COMPUTED_VALUE"""),428.75)</f>
        <v>428.75</v>
      </c>
      <c r="F3851" s="2">
        <f>IFERROR(__xludf.DUMMYFUNCTION("""COMPUTED_VALUE"""),7.7189889E7)</f>
        <v>77189889</v>
      </c>
    </row>
    <row r="3852">
      <c r="A3852" s="3">
        <f>IFERROR(__xludf.DUMMYFUNCTION("""COMPUTED_VALUE"""),45947.66666666667)</f>
        <v>45947.66667</v>
      </c>
      <c r="B3852" s="2">
        <f>IFERROR(__xludf.DUMMYFUNCTION("""COMPUTED_VALUE"""),425.5)</f>
        <v>425.5</v>
      </c>
      <c r="C3852" s="2">
        <f>IFERROR(__xludf.DUMMYFUNCTION("""COMPUTED_VALUE"""),441.46)</f>
        <v>441.46</v>
      </c>
      <c r="D3852" s="2">
        <f>IFERROR(__xludf.DUMMYFUNCTION("""COMPUTED_VALUE"""),423.6)</f>
        <v>423.6</v>
      </c>
      <c r="E3852" s="2">
        <f>IFERROR(__xludf.DUMMYFUNCTION("""COMPUTED_VALUE"""),439.31)</f>
        <v>439.31</v>
      </c>
      <c r="F3852" s="2">
        <f>IFERROR(__xludf.DUMMYFUNCTION("""COMPUTED_VALUE"""),8.9331578E7)</f>
        <v>89331578</v>
      </c>
    </row>
    <row r="3853">
      <c r="A3853" s="3">
        <f>IFERROR(__xludf.DUMMYFUNCTION("""COMPUTED_VALUE"""),45950.66666666667)</f>
        <v>45950.66667</v>
      </c>
      <c r="B3853" s="2">
        <f>IFERROR(__xludf.DUMMYFUNCTION("""COMPUTED_VALUE"""),443.87)</f>
        <v>443.87</v>
      </c>
      <c r="C3853" s="2">
        <f>IFERROR(__xludf.DUMMYFUNCTION("""COMPUTED_VALUE"""),449.8)</f>
        <v>449.8</v>
      </c>
      <c r="D3853" s="2">
        <f>IFERROR(__xludf.DUMMYFUNCTION("""COMPUTED_VALUE"""),440.61)</f>
        <v>440.61</v>
      </c>
      <c r="E3853" s="2">
        <f>IFERROR(__xludf.DUMMYFUNCTION("""COMPUTED_VALUE"""),447.43)</f>
        <v>447.43</v>
      </c>
      <c r="F3853" s="2">
        <f>IFERROR(__xludf.DUMMYFUNCTION("""COMPUTED_VALUE"""),6.3718971E7)</f>
        <v>63718971</v>
      </c>
    </row>
    <row r="3854">
      <c r="A3854" s="3">
        <f>IFERROR(__xludf.DUMMYFUNCTION("""COMPUTED_VALUE"""),45951.66666666667)</f>
        <v>45951.66667</v>
      </c>
      <c r="B3854" s="2">
        <f>IFERROR(__xludf.DUMMYFUNCTION("""COMPUTED_VALUE"""),445.76)</f>
        <v>445.76</v>
      </c>
      <c r="C3854" s="2">
        <f>IFERROR(__xludf.DUMMYFUNCTION("""COMPUTED_VALUE"""),449.3)</f>
        <v>449.3</v>
      </c>
      <c r="D3854" s="2">
        <f>IFERROR(__xludf.DUMMYFUNCTION("""COMPUTED_VALUE"""),442.05)</f>
        <v>442.05</v>
      </c>
      <c r="E3854" s="2">
        <f>IFERROR(__xludf.DUMMYFUNCTION("""COMPUTED_VALUE"""),442.6)</f>
        <v>442.6</v>
      </c>
      <c r="F3854" s="2">
        <f>IFERROR(__xludf.DUMMYFUNCTION("""COMPUTED_VALUE"""),5.4412169E7)</f>
        <v>54412169</v>
      </c>
    </row>
    <row r="3855">
      <c r="A3855" s="3">
        <f>IFERROR(__xludf.DUMMYFUNCTION("""COMPUTED_VALUE"""),45952.66666666667)</f>
        <v>45952.66667</v>
      </c>
      <c r="B3855" s="2">
        <f>IFERROR(__xludf.DUMMYFUNCTION("""COMPUTED_VALUE"""),443.45)</f>
        <v>443.45</v>
      </c>
      <c r="C3855" s="2">
        <f>IFERROR(__xludf.DUMMYFUNCTION("""COMPUTED_VALUE"""),445.54)</f>
        <v>445.54</v>
      </c>
      <c r="D3855" s="2">
        <f>IFERROR(__xludf.DUMMYFUNCTION("""COMPUTED_VALUE"""),429.0)</f>
        <v>429</v>
      </c>
      <c r="E3855" s="2">
        <f>IFERROR(__xludf.DUMMYFUNCTION("""COMPUTED_VALUE"""),438.97)</f>
        <v>438.97</v>
      </c>
      <c r="F3855" s="2">
        <f>IFERROR(__xludf.DUMMYFUNCTION("""COMPUTED_VALUE"""),8.4023458E7)</f>
        <v>84023458</v>
      </c>
    </row>
    <row r="3856">
      <c r="A3856" s="3">
        <f>IFERROR(__xludf.DUMMYFUNCTION("""COMPUTED_VALUE"""),45953.66666666667)</f>
        <v>45953.66667</v>
      </c>
      <c r="B3856" s="2">
        <f>IFERROR(__xludf.DUMMYFUNCTION("""COMPUTED_VALUE"""),420.0)</f>
        <v>420</v>
      </c>
      <c r="C3856" s="2">
        <f>IFERROR(__xludf.DUMMYFUNCTION("""COMPUTED_VALUE"""),449.4)</f>
        <v>449.4</v>
      </c>
      <c r="D3856" s="2">
        <f>IFERROR(__xludf.DUMMYFUNCTION("""COMPUTED_VALUE"""),413.9)</f>
        <v>413.9</v>
      </c>
      <c r="E3856" s="2">
        <f>IFERROR(__xludf.DUMMYFUNCTION("""COMPUTED_VALUE"""),448.98)</f>
        <v>448.98</v>
      </c>
      <c r="F3856" s="2">
        <f>IFERROR(__xludf.DUMMYFUNCTION("""COMPUTED_VALUE"""),1.26709833E8)</f>
        <v>126709833</v>
      </c>
    </row>
    <row r="3857">
      <c r="A3857" s="3">
        <f>IFERROR(__xludf.DUMMYFUNCTION("""COMPUTED_VALUE"""),45954.66666666667)</f>
        <v>45954.66667</v>
      </c>
      <c r="B3857" s="2">
        <f>IFERROR(__xludf.DUMMYFUNCTION("""COMPUTED_VALUE"""),446.83)</f>
        <v>446.83</v>
      </c>
      <c r="C3857" s="2">
        <f>IFERROR(__xludf.DUMMYFUNCTION("""COMPUTED_VALUE"""),451.68)</f>
        <v>451.68</v>
      </c>
      <c r="D3857" s="2">
        <f>IFERROR(__xludf.DUMMYFUNCTION("""COMPUTED_VALUE"""),430.17)</f>
        <v>430.17</v>
      </c>
      <c r="E3857" s="2">
        <f>IFERROR(__xludf.DUMMYFUNCTION("""COMPUTED_VALUE"""),433.72)</f>
        <v>433.72</v>
      </c>
      <c r="F3857" s="2">
        <f>IFERROR(__xludf.DUMMYFUNCTION("""COMPUTED_VALUE"""),9.4727774E7)</f>
        <v>94727774</v>
      </c>
    </row>
    <row r="3858">
      <c r="A3858" s="3">
        <f>IFERROR(__xludf.DUMMYFUNCTION("""COMPUTED_VALUE"""),45957.66666666667)</f>
        <v>45957.66667</v>
      </c>
      <c r="B3858" s="2">
        <f>IFERROR(__xludf.DUMMYFUNCTION("""COMPUTED_VALUE"""),439.98)</f>
        <v>439.98</v>
      </c>
      <c r="C3858" s="2">
        <f>IFERROR(__xludf.DUMMYFUNCTION("""COMPUTED_VALUE"""),460.16)</f>
        <v>460.16</v>
      </c>
      <c r="D3858" s="2">
        <f>IFERROR(__xludf.DUMMYFUNCTION("""COMPUTED_VALUE"""),438.69)</f>
        <v>438.69</v>
      </c>
      <c r="E3858" s="2">
        <f>IFERROR(__xludf.DUMMYFUNCTION("""COMPUTED_VALUE"""),452.42)</f>
        <v>452.42</v>
      </c>
      <c r="F3858" s="2">
        <f>IFERROR(__xludf.DUMMYFUNCTION("""COMPUTED_VALUE"""),1.05867547E8)</f>
        <v>105867547</v>
      </c>
    </row>
    <row r="3859">
      <c r="A3859" s="3">
        <f>IFERROR(__xludf.DUMMYFUNCTION("""COMPUTED_VALUE"""),45958.66666666667)</f>
        <v>45958.66667</v>
      </c>
      <c r="B3859" s="2">
        <f>IFERROR(__xludf.DUMMYFUNCTION("""COMPUTED_VALUE"""),454.78)</f>
        <v>454.78</v>
      </c>
      <c r="C3859" s="2">
        <f>IFERROR(__xludf.DUMMYFUNCTION("""COMPUTED_VALUE"""),467.0)</f>
        <v>467</v>
      </c>
      <c r="D3859" s="2">
        <f>IFERROR(__xludf.DUMMYFUNCTION("""COMPUTED_VALUE"""),451.6)</f>
        <v>451.6</v>
      </c>
      <c r="E3859" s="2">
        <f>IFERROR(__xludf.DUMMYFUNCTION("""COMPUTED_VALUE"""),460.55)</f>
        <v>460.55</v>
      </c>
      <c r="F3859" s="2">
        <f>IFERROR(__xludf.DUMMYFUNCTION("""COMPUTED_VALUE"""),8.0185667E7)</f>
        <v>80185667</v>
      </c>
    </row>
    <row r="3860">
      <c r="A3860" s="3">
        <f>IFERROR(__xludf.DUMMYFUNCTION("""COMPUTED_VALUE"""),45959.66666666667)</f>
        <v>45959.66667</v>
      </c>
      <c r="B3860" s="2">
        <f>IFERROR(__xludf.DUMMYFUNCTION("""COMPUTED_VALUE"""),462.5)</f>
        <v>462.5</v>
      </c>
      <c r="C3860" s="2">
        <f>IFERROR(__xludf.DUMMYFUNCTION("""COMPUTED_VALUE"""),465.7)</f>
        <v>465.7</v>
      </c>
      <c r="D3860" s="2">
        <f>IFERROR(__xludf.DUMMYFUNCTION("""COMPUTED_VALUE"""),452.65)</f>
        <v>452.65</v>
      </c>
      <c r="E3860" s="2">
        <f>IFERROR(__xludf.DUMMYFUNCTION("""COMPUTED_VALUE"""),461.51)</f>
        <v>461.51</v>
      </c>
      <c r="F3860" s="2">
        <f>IFERROR(__xludf.DUMMYFUNCTION("""COMPUTED_VALUE"""),6.7983544E7)</f>
        <v>67983544</v>
      </c>
    </row>
    <row r="3861">
      <c r="A3861" s="3">
        <f>IFERROR(__xludf.DUMMYFUNCTION("""COMPUTED_VALUE"""),45960.66666666667)</f>
        <v>45960.66667</v>
      </c>
      <c r="B3861" s="2">
        <f>IFERROR(__xludf.DUMMYFUNCTION("""COMPUTED_VALUE"""),451.05)</f>
        <v>451.05</v>
      </c>
      <c r="C3861" s="2">
        <f>IFERROR(__xludf.DUMMYFUNCTION("""COMPUTED_VALUE"""),455.06)</f>
        <v>455.06</v>
      </c>
      <c r="D3861" s="2">
        <f>IFERROR(__xludf.DUMMYFUNCTION("""COMPUTED_VALUE"""),439.61)</f>
        <v>439.61</v>
      </c>
      <c r="E3861" s="2">
        <f>IFERROR(__xludf.DUMMYFUNCTION("""COMPUTED_VALUE"""),440.1)</f>
        <v>440.1</v>
      </c>
      <c r="F3861" s="2">
        <f>IFERROR(__xludf.DUMMYFUNCTION("""COMPUTED_VALUE"""),7.2447938E7)</f>
        <v>72447938</v>
      </c>
    </row>
    <row r="3862">
      <c r="A3862" s="3">
        <f>IFERROR(__xludf.DUMMYFUNCTION("""COMPUTED_VALUE"""),45961.66666666667)</f>
        <v>45961.66667</v>
      </c>
      <c r="B3862" s="2">
        <f>IFERROR(__xludf.DUMMYFUNCTION("""COMPUTED_VALUE"""),446.75)</f>
        <v>446.75</v>
      </c>
      <c r="C3862" s="2">
        <f>IFERROR(__xludf.DUMMYFUNCTION("""COMPUTED_VALUE"""),458.0)</f>
        <v>458</v>
      </c>
      <c r="D3862" s="2">
        <f>IFERROR(__xludf.DUMMYFUNCTION("""COMPUTED_VALUE"""),443.69)</f>
        <v>443.69</v>
      </c>
      <c r="E3862" s="2">
        <f>IFERROR(__xludf.DUMMYFUNCTION("""COMPUTED_VALUE"""),456.56)</f>
        <v>456.56</v>
      </c>
      <c r="F3862" s="2">
        <f>IFERROR(__xludf.DUMMYFUNCTION("""COMPUTED_VALUE"""),8.3135787E7)</f>
        <v>83135787</v>
      </c>
    </row>
    <row r="3863">
      <c r="A3863" s="3">
        <f>IFERROR(__xludf.DUMMYFUNCTION("""COMPUTED_VALUE"""),45964.66666666667)</f>
        <v>45964.66667</v>
      </c>
      <c r="B3863" s="2">
        <f>IFERROR(__xludf.DUMMYFUNCTION("""COMPUTED_VALUE"""),455.99)</f>
        <v>455.99</v>
      </c>
      <c r="C3863" s="2">
        <f>IFERROR(__xludf.DUMMYFUNCTION("""COMPUTED_VALUE"""),474.07)</f>
        <v>474.07</v>
      </c>
      <c r="D3863" s="2">
        <f>IFERROR(__xludf.DUMMYFUNCTION("""COMPUTED_VALUE"""),453.8)</f>
        <v>453.8</v>
      </c>
      <c r="E3863" s="2">
        <f>IFERROR(__xludf.DUMMYFUNCTION("""COMPUTED_VALUE"""),468.37)</f>
        <v>468.37</v>
      </c>
      <c r="F3863" s="2">
        <f>IFERROR(__xludf.DUMMYFUNCTION("""COMPUTED_VALUE"""),8.4595244E7)</f>
        <v>84595244</v>
      </c>
    </row>
    <row r="3864">
      <c r="A3864" s="3">
        <f>IFERROR(__xludf.DUMMYFUNCTION("""COMPUTED_VALUE"""),45965.66666666667)</f>
        <v>45965.66667</v>
      </c>
      <c r="B3864" s="2">
        <f>IFERROR(__xludf.DUMMYFUNCTION("""COMPUTED_VALUE"""),454.46)</f>
        <v>454.46</v>
      </c>
      <c r="C3864" s="2">
        <f>IFERROR(__xludf.DUMMYFUNCTION("""COMPUTED_VALUE"""),460.22)</f>
        <v>460.22</v>
      </c>
      <c r="D3864" s="2">
        <f>IFERROR(__xludf.DUMMYFUNCTION("""COMPUTED_VALUE"""),443.6)</f>
        <v>443.6</v>
      </c>
      <c r="E3864" s="2">
        <f>IFERROR(__xludf.DUMMYFUNCTION("""COMPUTED_VALUE"""),444.26)</f>
        <v>444.26</v>
      </c>
      <c r="F3864" s="2">
        <f>IFERROR(__xludf.DUMMYFUNCTION("""COMPUTED_VALUE"""),8.7756644E7)</f>
        <v>87756644</v>
      </c>
    </row>
    <row r="3865">
      <c r="A3865" s="3">
        <f>IFERROR(__xludf.DUMMYFUNCTION("""COMPUTED_VALUE"""),45966.66666666667)</f>
        <v>45966.66667</v>
      </c>
      <c r="B3865" s="2">
        <f>IFERROR(__xludf.DUMMYFUNCTION("""COMPUTED_VALUE"""),452.05)</f>
        <v>452.05</v>
      </c>
      <c r="C3865" s="2">
        <f>IFERROR(__xludf.DUMMYFUNCTION("""COMPUTED_VALUE"""),466.33)</f>
        <v>466.33</v>
      </c>
      <c r="D3865" s="2">
        <f>IFERROR(__xludf.DUMMYFUNCTION("""COMPUTED_VALUE"""),440.71)</f>
        <v>440.71</v>
      </c>
      <c r="E3865" s="2">
        <f>IFERROR(__xludf.DUMMYFUNCTION("""COMPUTED_VALUE"""),462.07)</f>
        <v>462.07</v>
      </c>
      <c r="F3865" s="2">
        <f>IFERROR(__xludf.DUMMYFUNCTION("""COMPUTED_VALUE"""),8.5573015E7)</f>
        <v>85573015</v>
      </c>
    </row>
    <row r="3866">
      <c r="A3866" s="3">
        <f>IFERROR(__xludf.DUMMYFUNCTION("""COMPUTED_VALUE"""),45967.66666666667)</f>
        <v>45967.66667</v>
      </c>
      <c r="B3866" s="2">
        <f>IFERROR(__xludf.DUMMYFUNCTION("""COMPUTED_VALUE"""),461.96)</f>
        <v>461.96</v>
      </c>
      <c r="C3866" s="2">
        <f>IFERROR(__xludf.DUMMYFUNCTION("""COMPUTED_VALUE"""),467.45)</f>
        <v>467.45</v>
      </c>
      <c r="D3866" s="2">
        <f>IFERROR(__xludf.DUMMYFUNCTION("""COMPUTED_VALUE"""),435.09)</f>
        <v>435.09</v>
      </c>
      <c r="E3866" s="2">
        <f>IFERROR(__xludf.DUMMYFUNCTION("""COMPUTED_VALUE"""),445.91)</f>
        <v>445.91</v>
      </c>
      <c r="F3866" s="2">
        <f>IFERROR(__xludf.DUMMYFUNCTION("""COMPUTED_VALUE"""),1.09622907E8)</f>
        <v>109622907</v>
      </c>
    </row>
    <row r="3867">
      <c r="A3867" s="3">
        <f>IFERROR(__xludf.DUMMYFUNCTION("""COMPUTED_VALUE"""),45968.66666666667)</f>
        <v>45968.66667</v>
      </c>
      <c r="B3867" s="2">
        <f>IFERROR(__xludf.DUMMYFUNCTION("""COMPUTED_VALUE"""),437.92)</f>
        <v>437.92</v>
      </c>
      <c r="C3867" s="2">
        <f>IFERROR(__xludf.DUMMYFUNCTION("""COMPUTED_VALUE"""),439.36)</f>
        <v>439.36</v>
      </c>
      <c r="D3867" s="2">
        <f>IFERROR(__xludf.DUMMYFUNCTION("""COMPUTED_VALUE"""),421.88)</f>
        <v>421.88</v>
      </c>
      <c r="E3867" s="2">
        <f>IFERROR(__xludf.DUMMYFUNCTION("""COMPUTED_VALUE"""),429.52)</f>
        <v>429.52</v>
      </c>
      <c r="F3867" s="2">
        <f>IFERROR(__xludf.DUMMYFUNCTION("""COMPUTED_VALUE"""),1.03471495E8)</f>
        <v>103471495</v>
      </c>
    </row>
    <row r="3868">
      <c r="A3868" s="3">
        <f>IFERROR(__xludf.DUMMYFUNCTION("""COMPUTED_VALUE"""),45971.66666666667)</f>
        <v>45971.66667</v>
      </c>
      <c r="B3868" s="2">
        <f>IFERROR(__xludf.DUMMYFUNCTION("""COMPUTED_VALUE"""),439.6)</f>
        <v>439.6</v>
      </c>
      <c r="C3868" s="2">
        <f>IFERROR(__xludf.DUMMYFUNCTION("""COMPUTED_VALUE"""),449.67)</f>
        <v>449.67</v>
      </c>
      <c r="D3868" s="2">
        <f>IFERROR(__xludf.DUMMYFUNCTION("""COMPUTED_VALUE"""),433.36)</f>
        <v>433.36</v>
      </c>
      <c r="E3868" s="2">
        <f>IFERROR(__xludf.DUMMYFUNCTION("""COMPUTED_VALUE"""),445.23)</f>
        <v>445.23</v>
      </c>
      <c r="F3868" s="2">
        <f>IFERROR(__xludf.DUMMYFUNCTION("""COMPUTED_VALUE"""),7.6515907E7)</f>
        <v>76515907</v>
      </c>
    </row>
    <row r="3869">
      <c r="A3869" s="3">
        <f>IFERROR(__xludf.DUMMYFUNCTION("""COMPUTED_VALUE"""),45972.66666666667)</f>
        <v>45972.66667</v>
      </c>
      <c r="B3869" s="2">
        <f>IFERROR(__xludf.DUMMYFUNCTION("""COMPUTED_VALUE"""),439.4)</f>
        <v>439.4</v>
      </c>
      <c r="C3869" s="2">
        <f>IFERROR(__xludf.DUMMYFUNCTION("""COMPUTED_VALUE"""),442.49)</f>
        <v>442.49</v>
      </c>
      <c r="D3869" s="2">
        <f>IFERROR(__xludf.DUMMYFUNCTION("""COMPUTED_VALUE"""),432.36)</f>
        <v>432.36</v>
      </c>
      <c r="E3869" s="2">
        <f>IFERROR(__xludf.DUMMYFUNCTION("""COMPUTED_VALUE"""),439.62)</f>
        <v>439.62</v>
      </c>
      <c r="F3869" s="2">
        <f>IFERROR(__xludf.DUMMYFUNCTION("""COMPUTED_VALUE"""),6.0533237E7)</f>
        <v>60533237</v>
      </c>
    </row>
    <row r="3870">
      <c r="A3870" s="3">
        <f>IFERROR(__xludf.DUMMYFUNCTION("""COMPUTED_VALUE"""),45973.66666666667)</f>
        <v>45973.66667</v>
      </c>
      <c r="B3870" s="2">
        <f>IFERROR(__xludf.DUMMYFUNCTION("""COMPUTED_VALUE"""),442.15)</f>
        <v>442.15</v>
      </c>
      <c r="C3870" s="2">
        <f>IFERROR(__xludf.DUMMYFUNCTION("""COMPUTED_VALUE"""),442.33)</f>
        <v>442.33</v>
      </c>
      <c r="D3870" s="2">
        <f>IFERROR(__xludf.DUMMYFUNCTION("""COMPUTED_VALUE"""),426.56)</f>
        <v>426.56</v>
      </c>
      <c r="E3870" s="2">
        <f>IFERROR(__xludf.DUMMYFUNCTION("""COMPUTED_VALUE"""),430.6)</f>
        <v>430.6</v>
      </c>
      <c r="F3870" s="2">
        <f>IFERROR(__xludf.DUMMYFUNCTION("""COMPUTED_VALUE"""),5.851352E7)</f>
        <v>58513520</v>
      </c>
    </row>
    <row r="3871">
      <c r="A3871" s="3">
        <f>IFERROR(__xludf.DUMMYFUNCTION("""COMPUTED_VALUE"""),45974.66666666667)</f>
        <v>45974.66667</v>
      </c>
      <c r="B3871" s="2">
        <f>IFERROR(__xludf.DUMMYFUNCTION("""COMPUTED_VALUE"""),423.13)</f>
        <v>423.13</v>
      </c>
      <c r="C3871" s="2">
        <f>IFERROR(__xludf.DUMMYFUNCTION("""COMPUTED_VALUE"""),424.5)</f>
        <v>424.5</v>
      </c>
      <c r="D3871" s="2">
        <f>IFERROR(__xludf.DUMMYFUNCTION("""COMPUTED_VALUE"""),396.34)</f>
        <v>396.34</v>
      </c>
      <c r="E3871" s="2">
        <f>IFERROR(__xludf.DUMMYFUNCTION("""COMPUTED_VALUE"""),401.99)</f>
        <v>401.99</v>
      </c>
      <c r="F3871" s="2">
        <f>IFERROR(__xludf.DUMMYFUNCTION("""COMPUTED_VALUE"""),1.18948032E8)</f>
        <v>118948032</v>
      </c>
    </row>
    <row r="3872">
      <c r="A3872" s="3">
        <f>IFERROR(__xludf.DUMMYFUNCTION("""COMPUTED_VALUE"""),45975.66666666667)</f>
        <v>45975.66667</v>
      </c>
      <c r="B3872" s="2">
        <f>IFERROR(__xludf.DUMMYFUNCTION("""COMPUTED_VALUE"""),386.3)</f>
        <v>386.3</v>
      </c>
      <c r="C3872" s="2">
        <f>IFERROR(__xludf.DUMMYFUNCTION("""COMPUTED_VALUE"""),412.19)</f>
        <v>412.19</v>
      </c>
      <c r="D3872" s="2">
        <f>IFERROR(__xludf.DUMMYFUNCTION("""COMPUTED_VALUE"""),382.78)</f>
        <v>382.78</v>
      </c>
      <c r="E3872" s="2">
        <f>IFERROR(__xludf.DUMMYFUNCTION("""COMPUTED_VALUE"""),404.35)</f>
        <v>404.35</v>
      </c>
      <c r="F3872" s="2">
        <f>IFERROR(__xludf.DUMMYFUNCTION("""COMPUTED_VALUE"""),1.05506682E8)</f>
        <v>105506682</v>
      </c>
    </row>
    <row r="3873">
      <c r="A3873" s="3">
        <f>IFERROR(__xludf.DUMMYFUNCTION("""COMPUTED_VALUE"""),45978.66666666667)</f>
        <v>45978.66667</v>
      </c>
      <c r="B3873" s="2">
        <f>IFERROR(__xludf.DUMMYFUNCTION("""COMPUTED_VALUE"""),398.74)</f>
        <v>398.74</v>
      </c>
      <c r="C3873" s="2">
        <f>IFERROR(__xludf.DUMMYFUNCTION("""COMPUTED_VALUE"""),423.96)</f>
        <v>423.96</v>
      </c>
      <c r="D3873" s="2">
        <f>IFERROR(__xludf.DUMMYFUNCTION("""COMPUTED_VALUE"""),398.74)</f>
        <v>398.74</v>
      </c>
      <c r="E3873" s="2">
        <f>IFERROR(__xludf.DUMMYFUNCTION("""COMPUTED_VALUE"""),408.92)</f>
        <v>408.92</v>
      </c>
      <c r="F3873" s="2">
        <f>IFERROR(__xludf.DUMMYFUNCTION("""COMPUTED_VALUE"""),1.02214259E8)</f>
        <v>102214259</v>
      </c>
    </row>
    <row r="3874">
      <c r="A3874" s="3">
        <f>IFERROR(__xludf.DUMMYFUNCTION("""COMPUTED_VALUE"""),45979.66666666667)</f>
        <v>45979.66667</v>
      </c>
      <c r="B3874" s="2">
        <f>IFERROR(__xludf.DUMMYFUNCTION("""COMPUTED_VALUE"""),405.38)</f>
        <v>405.38</v>
      </c>
      <c r="C3874" s="2">
        <f>IFERROR(__xludf.DUMMYFUNCTION("""COMPUTED_VALUE"""),408.9)</f>
        <v>408.9</v>
      </c>
      <c r="D3874" s="2">
        <f>IFERROR(__xludf.DUMMYFUNCTION("""COMPUTED_VALUE"""),393.71)</f>
        <v>393.71</v>
      </c>
      <c r="E3874" s="2">
        <f>IFERROR(__xludf.DUMMYFUNCTION("""COMPUTED_VALUE"""),401.25)</f>
        <v>401.25</v>
      </c>
      <c r="F3874" s="2">
        <f>IFERROR(__xludf.DUMMYFUNCTION("""COMPUTED_VALUE"""),8.0688637E7)</f>
        <v>80688637</v>
      </c>
    </row>
    <row r="3875">
      <c r="A3875" s="3">
        <f>IFERROR(__xludf.DUMMYFUNCTION("""COMPUTED_VALUE"""),45980.66666666667)</f>
        <v>45980.66667</v>
      </c>
      <c r="B3875" s="2">
        <f>IFERROR(__xludf.DUMMYFUNCTION("""COMPUTED_VALUE"""),406.18)</f>
        <v>406.18</v>
      </c>
      <c r="C3875" s="2">
        <f>IFERROR(__xludf.DUMMYFUNCTION("""COMPUTED_VALUE"""),411.78)</f>
        <v>411.78</v>
      </c>
      <c r="D3875" s="2">
        <f>IFERROR(__xludf.DUMMYFUNCTION("""COMPUTED_VALUE"""),398.5)</f>
        <v>398.5</v>
      </c>
      <c r="E3875" s="2">
        <f>IFERROR(__xludf.DUMMYFUNCTION("""COMPUTED_VALUE"""),403.99)</f>
        <v>403.99</v>
      </c>
      <c r="F3875" s="2">
        <f>IFERROR(__xludf.DUMMYFUNCTION("""COMPUTED_VALUE"""),7.2047704E7)</f>
        <v>72047704</v>
      </c>
    </row>
    <row r="3876">
      <c r="A3876" s="3">
        <f>IFERROR(__xludf.DUMMYFUNCTION("""COMPUTED_VALUE"""),45981.66666666667)</f>
        <v>45981.66667</v>
      </c>
      <c r="B3876" s="2">
        <f>IFERROR(__xludf.DUMMYFUNCTION("""COMPUTED_VALUE"""),414.63)</f>
        <v>414.63</v>
      </c>
      <c r="C3876" s="2">
        <f>IFERROR(__xludf.DUMMYFUNCTION("""COMPUTED_VALUE"""),428.94)</f>
        <v>428.94</v>
      </c>
      <c r="D3876" s="2">
        <f>IFERROR(__xludf.DUMMYFUNCTION("""COMPUTED_VALUE"""),394.74)</f>
        <v>394.74</v>
      </c>
      <c r="E3876" s="2">
        <f>IFERROR(__xludf.DUMMYFUNCTION("""COMPUTED_VALUE"""),395.23)</f>
        <v>395.23</v>
      </c>
      <c r="F3876" s="2">
        <f>IFERROR(__xludf.DUMMYFUNCTION("""COMPUTED_VALUE"""),1.13548827E8)</f>
        <v>113548827</v>
      </c>
    </row>
    <row r="3877">
      <c r="A3877" s="3">
        <f>IFERROR(__xludf.DUMMYFUNCTION("""COMPUTED_VALUE"""),45982.66666666667)</f>
        <v>45982.66667</v>
      </c>
      <c r="B3877" s="2">
        <f>IFERROR(__xludf.DUMMYFUNCTION("""COMPUTED_VALUE"""),402.32)</f>
        <v>402.32</v>
      </c>
      <c r="C3877" s="2">
        <f>IFERROR(__xludf.DUMMYFUNCTION("""COMPUTED_VALUE"""),402.8)</f>
        <v>402.8</v>
      </c>
      <c r="D3877" s="2">
        <f>IFERROR(__xludf.DUMMYFUNCTION("""COMPUTED_VALUE"""),383.76)</f>
        <v>383.76</v>
      </c>
      <c r="E3877" s="2">
        <f>IFERROR(__xludf.DUMMYFUNCTION("""COMPUTED_VALUE"""),391.09)</f>
        <v>391.09</v>
      </c>
      <c r="F3877" s="2">
        <f>IFERROR(__xludf.DUMMYFUNCTION("""COMPUTED_VALUE"""),1.00460633E8)</f>
        <v>100460633</v>
      </c>
    </row>
    <row r="3878">
      <c r="A3878" s="3">
        <f>IFERROR(__xludf.DUMMYFUNCTION("""COMPUTED_VALUE"""),45985.66666666667)</f>
        <v>45985.66667</v>
      </c>
      <c r="B3878" s="2">
        <f>IFERROR(__xludf.DUMMYFUNCTION("""COMPUTED_VALUE"""),402.17)</f>
        <v>402.17</v>
      </c>
      <c r="C3878" s="2">
        <f>IFERROR(__xludf.DUMMYFUNCTION("""COMPUTED_VALUE"""),421.72)</f>
        <v>421.72</v>
      </c>
      <c r="D3878" s="2">
        <f>IFERROR(__xludf.DUMMYFUNCTION("""COMPUTED_VALUE"""),401.09)</f>
        <v>401.09</v>
      </c>
      <c r="E3878" s="2">
        <f>IFERROR(__xludf.DUMMYFUNCTION("""COMPUTED_VALUE"""),417.78)</f>
        <v>417.78</v>
      </c>
      <c r="F3878" s="2">
        <f>IFERROR(__xludf.DUMMYFUNCTION("""COMPUTED_VALUE"""),9.6806374E7)</f>
        <v>96806374</v>
      </c>
    </row>
    <row r="3879">
      <c r="A3879" s="3">
        <f>IFERROR(__xludf.DUMMYFUNCTION("""COMPUTED_VALUE"""),45986.66666666667)</f>
        <v>45986.66667</v>
      </c>
      <c r="B3879" s="2">
        <f>IFERROR(__xludf.DUMMYFUNCTION("""COMPUTED_VALUE"""),414.42)</f>
        <v>414.42</v>
      </c>
      <c r="C3879" s="2">
        <f>IFERROR(__xludf.DUMMYFUNCTION("""COMPUTED_VALUE"""),420.48)</f>
        <v>420.48</v>
      </c>
      <c r="D3879" s="2">
        <f>IFERROR(__xludf.DUMMYFUNCTION("""COMPUTED_VALUE"""),405.95)</f>
        <v>405.95</v>
      </c>
      <c r="E3879" s="2">
        <f>IFERROR(__xludf.DUMMYFUNCTION("""COMPUTED_VALUE"""),419.4)</f>
        <v>419.4</v>
      </c>
      <c r="F3879" s="2">
        <f>IFERROR(__xludf.DUMMYFUNCTION("""COMPUTED_VALUE"""),7.1915624E7)</f>
        <v>71915624</v>
      </c>
    </row>
    <row r="3880">
      <c r="A3880" s="3">
        <f>IFERROR(__xludf.DUMMYFUNCTION("""COMPUTED_VALUE"""),45987.66666666667)</f>
        <v>45987.66667</v>
      </c>
      <c r="B3880" s="2">
        <f>IFERROR(__xludf.DUMMYFUNCTION("""COMPUTED_VALUE"""),423.95)</f>
        <v>423.95</v>
      </c>
      <c r="C3880" s="2">
        <f>IFERROR(__xludf.DUMMYFUNCTION("""COMPUTED_VALUE"""),426.94)</f>
        <v>426.94</v>
      </c>
      <c r="D3880" s="2">
        <f>IFERROR(__xludf.DUMMYFUNCTION("""COMPUTED_VALUE"""),416.89)</f>
        <v>416.89</v>
      </c>
      <c r="E3880" s="2">
        <f>IFERROR(__xludf.DUMMYFUNCTION("""COMPUTED_VALUE"""),426.58)</f>
        <v>426.58</v>
      </c>
      <c r="F3880" s="2">
        <f>IFERROR(__xludf.DUMMYFUNCTION("""COMPUTED_VALUE"""),6.3462996E7)</f>
        <v>63462996</v>
      </c>
    </row>
    <row r="3881">
      <c r="A3881" s="3">
        <f>IFERROR(__xludf.DUMMYFUNCTION("""COMPUTED_VALUE"""),45989.54513888889)</f>
        <v>45989.54514</v>
      </c>
      <c r="B3881" s="2">
        <f>IFERROR(__xludf.DUMMYFUNCTION("""COMPUTED_VALUE"""),426.59)</f>
        <v>426.59</v>
      </c>
      <c r="C3881" s="2">
        <f>IFERROR(__xludf.DUMMYFUNCTION("""COMPUTED_VALUE"""),432.93)</f>
        <v>432.93</v>
      </c>
      <c r="D3881" s="2">
        <f>IFERROR(__xludf.DUMMYFUNCTION("""COMPUTED_VALUE"""),426.2)</f>
        <v>426.2</v>
      </c>
      <c r="E3881" s="2">
        <f>IFERROR(__xludf.DUMMYFUNCTION("""COMPUTED_VALUE"""),430.17)</f>
        <v>430.17</v>
      </c>
      <c r="F3881" s="2">
        <f>IFERROR(__xludf.DUMMYFUNCTION("""COMPUTED_VALUE"""),3.6252861E7)</f>
        <v>36252861</v>
      </c>
    </row>
    <row r="3882">
      <c r="A3882" s="3">
        <f>IFERROR(__xludf.DUMMYFUNCTION("""COMPUTED_VALUE"""),45992.66666666667)</f>
        <v>45992.66667</v>
      </c>
      <c r="B3882" s="2">
        <f>IFERROR(__xludf.DUMMYFUNCTION("""COMPUTED_VALUE"""),425.32)</f>
        <v>425.32</v>
      </c>
      <c r="C3882" s="2">
        <f>IFERROR(__xludf.DUMMYFUNCTION("""COMPUTED_VALUE"""),433.66)</f>
        <v>433.66</v>
      </c>
      <c r="D3882" s="2">
        <f>IFERROR(__xludf.DUMMYFUNCTION("""COMPUTED_VALUE"""),425.29)</f>
        <v>425.29</v>
      </c>
      <c r="E3882" s="2">
        <f>IFERROR(__xludf.DUMMYFUNCTION("""COMPUTED_VALUE"""),430.14)</f>
        <v>430.14</v>
      </c>
      <c r="F3882" s="2">
        <f>IFERROR(__xludf.DUMMYFUNCTION("""COMPUTED_VALUE"""),5.7463552E7)</f>
        <v>57463552</v>
      </c>
    </row>
    <row r="3883">
      <c r="A3883" s="3">
        <f>IFERROR(__xludf.DUMMYFUNCTION("""COMPUTED_VALUE"""),45993.66666666667)</f>
        <v>45993.66667</v>
      </c>
      <c r="B3883" s="2">
        <f>IFERROR(__xludf.DUMMYFUNCTION("""COMPUTED_VALUE"""),430.81)</f>
        <v>430.81</v>
      </c>
      <c r="C3883" s="2">
        <f>IFERROR(__xludf.DUMMYFUNCTION("""COMPUTED_VALUE"""),436.8)</f>
        <v>436.8</v>
      </c>
      <c r="D3883" s="2">
        <f>IFERROR(__xludf.DUMMYFUNCTION("""COMPUTED_VALUE"""),422.12)</f>
        <v>422.12</v>
      </c>
      <c r="E3883" s="2">
        <f>IFERROR(__xludf.DUMMYFUNCTION("""COMPUTED_VALUE"""),429.24)</f>
        <v>429.24</v>
      </c>
      <c r="F3883" s="2">
        <f>IFERROR(__xludf.DUMMYFUNCTION("""COMPUTED_VALUE"""),6.9336626E7)</f>
        <v>69336626</v>
      </c>
    </row>
    <row r="3884">
      <c r="A3884" s="3">
        <f>IFERROR(__xludf.DUMMYFUNCTION("""COMPUTED_VALUE"""),45994.66666666667)</f>
        <v>45994.66667</v>
      </c>
      <c r="B3884" s="2">
        <f>IFERROR(__xludf.DUMMYFUNCTION("""COMPUTED_VALUE"""),432.1)</f>
        <v>432.1</v>
      </c>
      <c r="C3884" s="2">
        <f>IFERROR(__xludf.DUMMYFUNCTION("""COMPUTED_VALUE"""),447.92)</f>
        <v>447.92</v>
      </c>
      <c r="D3884" s="2">
        <f>IFERROR(__xludf.DUMMYFUNCTION("""COMPUTED_VALUE"""),431.11)</f>
        <v>431.11</v>
      </c>
      <c r="E3884" s="2">
        <f>IFERROR(__xludf.DUMMYFUNCTION("""COMPUTED_VALUE"""),446.74)</f>
        <v>446.74</v>
      </c>
      <c r="F3884" s="2">
        <f>IFERROR(__xludf.DUMMYFUNCTION("""COMPUTED_VALUE"""),8.7482964E7)</f>
        <v>87482964</v>
      </c>
    </row>
    <row r="3885">
      <c r="A3885" s="3">
        <f>IFERROR(__xludf.DUMMYFUNCTION("""COMPUTED_VALUE"""),45995.66666666667)</f>
        <v>45995.66667</v>
      </c>
      <c r="B3885" s="2">
        <f>IFERROR(__xludf.DUMMYFUNCTION("""COMPUTED_VALUE"""),449.94)</f>
        <v>449.94</v>
      </c>
      <c r="C3885" s="2">
        <f>IFERROR(__xludf.DUMMYFUNCTION("""COMPUTED_VALUE"""),454.63)</f>
        <v>454.63</v>
      </c>
      <c r="D3885" s="2">
        <f>IFERROR(__xludf.DUMMYFUNCTION("""COMPUTED_VALUE"""),445.39)</f>
        <v>445.39</v>
      </c>
      <c r="E3885" s="2">
        <f>IFERROR(__xludf.DUMMYFUNCTION("""COMPUTED_VALUE"""),454.53)</f>
        <v>454.53</v>
      </c>
      <c r="F3885" s="2">
        <f>IFERROR(__xludf.DUMMYFUNCTION("""COMPUTED_VALUE"""),7.1906488E7)</f>
        <v>71906488</v>
      </c>
    </row>
    <row r="3886">
      <c r="A3886" s="3">
        <f>IFERROR(__xludf.DUMMYFUNCTION("""COMPUTED_VALUE"""),45996.66666666667)</f>
        <v>45996.66667</v>
      </c>
      <c r="B3886" s="2">
        <f>IFERROR(__xludf.DUMMYFUNCTION("""COMPUTED_VALUE"""),453.03)</f>
        <v>453.03</v>
      </c>
      <c r="C3886" s="2">
        <f>IFERROR(__xludf.DUMMYFUNCTION("""COMPUTED_VALUE"""),458.87)</f>
        <v>458.87</v>
      </c>
      <c r="D3886" s="2">
        <f>IFERROR(__xludf.DUMMYFUNCTION("""COMPUTED_VALUE"""),451.66)</f>
        <v>451.66</v>
      </c>
      <c r="E3886" s="2">
        <f>IFERROR(__xludf.DUMMYFUNCTION("""COMPUTED_VALUE"""),455.0)</f>
        <v>455</v>
      </c>
      <c r="F3886" s="2">
        <f>IFERROR(__xludf.DUMMYFUNCTION("""COMPUTED_VALUE"""),5.6427522E7)</f>
        <v>56427522</v>
      </c>
    </row>
    <row r="3887">
      <c r="A3887" s="3">
        <f>IFERROR(__xludf.DUMMYFUNCTION("""COMPUTED_VALUE"""),45999.66666666667)</f>
        <v>45999.66667</v>
      </c>
      <c r="B3887" s="2">
        <f>IFERROR(__xludf.DUMMYFUNCTION("""COMPUTED_VALUE"""),447.45)</f>
        <v>447.45</v>
      </c>
      <c r="C3887" s="2">
        <f>IFERROR(__xludf.DUMMYFUNCTION("""COMPUTED_VALUE"""),449.75)</f>
        <v>449.75</v>
      </c>
      <c r="D3887" s="2">
        <f>IFERROR(__xludf.DUMMYFUNCTION("""COMPUTED_VALUE"""),435.25)</f>
        <v>435.25</v>
      </c>
      <c r="E3887" s="2">
        <f>IFERROR(__xludf.DUMMYFUNCTION("""COMPUTED_VALUE"""),439.58)</f>
        <v>439.58</v>
      </c>
      <c r="F3887" s="2">
        <f>IFERROR(__xludf.DUMMYFUNCTION("""COMPUTED_VALUE"""),6.9165753E7)</f>
        <v>69165753</v>
      </c>
    </row>
    <row r="3888">
      <c r="A3888" s="3">
        <f>IFERROR(__xludf.DUMMYFUNCTION("""COMPUTED_VALUE"""),46000.66666666667)</f>
        <v>46000.66667</v>
      </c>
      <c r="B3888" s="2">
        <f>IFERROR(__xludf.DUMMYFUNCTION("""COMPUTED_VALUE"""),437.54)</f>
        <v>437.54</v>
      </c>
      <c r="C3888" s="2">
        <f>IFERROR(__xludf.DUMMYFUNCTION("""COMPUTED_VALUE"""),452.39)</f>
        <v>452.39</v>
      </c>
      <c r="D3888" s="2">
        <f>IFERROR(__xludf.DUMMYFUNCTION("""COMPUTED_VALUE"""),435.7)</f>
        <v>435.7</v>
      </c>
      <c r="E3888" s="2">
        <f>IFERROR(__xludf.DUMMYFUNCTION("""COMPUTED_VALUE"""),445.17)</f>
        <v>445.17</v>
      </c>
      <c r="F3888" s="2">
        <f>IFERROR(__xludf.DUMMYFUNCTION("""COMPUTED_VALUE"""),6.2367442E7)</f>
        <v>62367442</v>
      </c>
    </row>
    <row r="3889">
      <c r="A3889" s="3">
        <f>IFERROR(__xludf.DUMMYFUNCTION("""COMPUTED_VALUE"""),46001.66666666667)</f>
        <v>46001.66667</v>
      </c>
      <c r="B3889" s="2">
        <f>IFERROR(__xludf.DUMMYFUNCTION("""COMPUTED_VALUE"""),446.07)</f>
        <v>446.07</v>
      </c>
      <c r="C3889" s="2">
        <f>IFERROR(__xludf.DUMMYFUNCTION("""COMPUTED_VALUE"""),456.88)</f>
        <v>456.88</v>
      </c>
      <c r="D3889" s="2">
        <f>IFERROR(__xludf.DUMMYFUNCTION("""COMPUTED_VALUE"""),443.61)</f>
        <v>443.61</v>
      </c>
      <c r="E3889" s="2">
        <f>IFERROR(__xludf.DUMMYFUNCTION("""COMPUTED_VALUE"""),451.45)</f>
        <v>451.45</v>
      </c>
      <c r="F3889" s="2">
        <f>IFERROR(__xludf.DUMMYFUNCTION("""COMPUTED_VALUE"""),6.3257475E7)</f>
        <v>63257475</v>
      </c>
    </row>
    <row r="3890">
      <c r="A3890" s="3">
        <f>IFERROR(__xludf.DUMMYFUNCTION("""COMPUTED_VALUE"""),46002.66666666667)</f>
        <v>46002.66667</v>
      </c>
      <c r="B3890" s="2">
        <f>IFERROR(__xludf.DUMMYFUNCTION("""COMPUTED_VALUE"""),448.95)</f>
        <v>448.95</v>
      </c>
      <c r="C3890" s="2">
        <f>IFERROR(__xludf.DUMMYFUNCTION("""COMPUTED_VALUE"""),449.27)</f>
        <v>449.27</v>
      </c>
      <c r="D3890" s="2">
        <f>IFERROR(__xludf.DUMMYFUNCTION("""COMPUTED_VALUE"""),440.33)</f>
        <v>440.33</v>
      </c>
      <c r="E3890" s="2">
        <f>IFERROR(__xludf.DUMMYFUNCTION("""COMPUTED_VALUE"""),446.89)</f>
        <v>446.89</v>
      </c>
      <c r="F3890" s="2">
        <f>IFERROR(__xludf.DUMMYFUNCTION("""COMPUTED_VALUE"""),5.5979492E7)</f>
        <v>55979492</v>
      </c>
    </row>
    <row r="3891">
      <c r="A3891" s="3">
        <f>IFERROR(__xludf.DUMMYFUNCTION("""COMPUTED_VALUE"""),46003.66666666667)</f>
        <v>46003.66667</v>
      </c>
      <c r="B3891" s="2">
        <f>IFERROR(__xludf.DUMMYFUNCTION("""COMPUTED_VALUE"""),448.09)</f>
        <v>448.09</v>
      </c>
      <c r="C3891" s="2">
        <f>IFERROR(__xludf.DUMMYFUNCTION("""COMPUTED_VALUE"""),463.01)</f>
        <v>463.01</v>
      </c>
      <c r="D3891" s="2">
        <f>IFERROR(__xludf.DUMMYFUNCTION("""COMPUTED_VALUE"""),441.67)</f>
        <v>441.67</v>
      </c>
      <c r="E3891" s="2">
        <f>IFERROR(__xludf.DUMMYFUNCTION("""COMPUTED_VALUE"""),458.96)</f>
        <v>458.96</v>
      </c>
      <c r="F3891" s="2">
        <f>IFERROR(__xludf.DUMMYFUNCTION("""COMPUTED_VALUE"""),9.5656749E7)</f>
        <v>95656749</v>
      </c>
    </row>
    <row r="3892">
      <c r="A3892" s="3">
        <f>IFERROR(__xludf.DUMMYFUNCTION("""COMPUTED_VALUE"""),46006.66666666667)</f>
        <v>46006.66667</v>
      </c>
      <c r="B3892" s="2">
        <f>IFERROR(__xludf.DUMMYFUNCTION("""COMPUTED_VALUE"""),469.44)</f>
        <v>469.44</v>
      </c>
      <c r="C3892" s="2">
        <f>IFERROR(__xludf.DUMMYFUNCTION("""COMPUTED_VALUE"""),481.77)</f>
        <v>481.77</v>
      </c>
      <c r="D3892" s="2">
        <f>IFERROR(__xludf.DUMMYFUNCTION("""COMPUTED_VALUE"""),467.66)</f>
        <v>467.66</v>
      </c>
      <c r="E3892" s="2">
        <f>IFERROR(__xludf.DUMMYFUNCTION("""COMPUTED_VALUE"""),475.31)</f>
        <v>475.31</v>
      </c>
      <c r="F3892" s="2">
        <f>IFERROR(__xludf.DUMMYFUNCTION("""COMPUTED_VALUE"""),1.14542204E8)</f>
        <v>114542204</v>
      </c>
    </row>
    <row r="3893">
      <c r="A3893" s="3">
        <f>IFERROR(__xludf.DUMMYFUNCTION("""COMPUTED_VALUE"""),46007.66666666667)</f>
        <v>46007.66667</v>
      </c>
      <c r="B3893" s="2">
        <f>IFERROR(__xludf.DUMMYFUNCTION("""COMPUTED_VALUE"""),472.21)</f>
        <v>472.21</v>
      </c>
      <c r="C3893" s="2">
        <f>IFERROR(__xludf.DUMMYFUNCTION("""COMPUTED_VALUE"""),491.5)</f>
        <v>491.5</v>
      </c>
      <c r="D3893" s="2">
        <f>IFERROR(__xludf.DUMMYFUNCTION("""COMPUTED_VALUE"""),465.83)</f>
        <v>465.83</v>
      </c>
      <c r="E3893" s="2">
        <f>IFERROR(__xludf.DUMMYFUNCTION("""COMPUTED_VALUE"""),489.88)</f>
        <v>489.88</v>
      </c>
      <c r="F3893" s="2">
        <f>IFERROR(__xludf.DUMMYFUNCTION("""COMPUTED_VALUE"""),1.07608075E8)</f>
        <v>107608075</v>
      </c>
    </row>
    <row r="3894">
      <c r="A3894" s="3">
        <f>IFERROR(__xludf.DUMMYFUNCTION("""COMPUTED_VALUE"""),46008.66666666667)</f>
        <v>46008.66667</v>
      </c>
      <c r="B3894" s="2">
        <f>IFERROR(__xludf.DUMMYFUNCTION("""COMPUTED_VALUE"""),488.22)</f>
        <v>488.22</v>
      </c>
      <c r="C3894" s="2">
        <f>IFERROR(__xludf.DUMMYFUNCTION("""COMPUTED_VALUE"""),495.28)</f>
        <v>495.28</v>
      </c>
      <c r="D3894" s="2">
        <f>IFERROR(__xludf.DUMMYFUNCTION("""COMPUTED_VALUE"""),466.2)</f>
        <v>466.2</v>
      </c>
      <c r="E3894" s="2">
        <f>IFERROR(__xludf.DUMMYFUNCTION("""COMPUTED_VALUE"""),467.26)</f>
        <v>467.26</v>
      </c>
      <c r="F3894" s="2">
        <f>IFERROR(__xludf.DUMMYFUNCTION("""COMPUTED_VALUE"""),1.06490405E8)</f>
        <v>106490405</v>
      </c>
    </row>
    <row r="3895">
      <c r="A3895" s="3">
        <f>IFERROR(__xludf.DUMMYFUNCTION("""COMPUTED_VALUE"""),46009.66666666667)</f>
        <v>46009.66667</v>
      </c>
      <c r="B3895" s="2">
        <f>IFERROR(__xludf.DUMMYFUNCTION("""COMPUTED_VALUE"""),478.16)</f>
        <v>478.16</v>
      </c>
      <c r="C3895" s="2">
        <f>IFERROR(__xludf.DUMMYFUNCTION("""COMPUTED_VALUE"""),490.86)</f>
        <v>490.86</v>
      </c>
      <c r="D3895" s="2">
        <f>IFERROR(__xludf.DUMMYFUNCTION("""COMPUTED_VALUE"""),473.12)</f>
        <v>473.12</v>
      </c>
      <c r="E3895" s="2">
        <f>IFERROR(__xludf.DUMMYFUNCTION("""COMPUTED_VALUE"""),483.37)</f>
        <v>483.37</v>
      </c>
      <c r="F3895" s="2">
        <f>IFERROR(__xludf.DUMMYFUNCTION("""COMPUTED_VALUE"""),9.5168446E7)</f>
        <v>95168446</v>
      </c>
    </row>
    <row r="3896">
      <c r="A3896" s="3">
        <f>IFERROR(__xludf.DUMMYFUNCTION("""COMPUTED_VALUE"""),46010.66666666667)</f>
        <v>46010.66667</v>
      </c>
      <c r="B3896" s="2">
        <f>IFERROR(__xludf.DUMMYFUNCTION("""COMPUTED_VALUE"""),488.12)</f>
        <v>488.12</v>
      </c>
      <c r="C3896" s="2">
        <f>IFERROR(__xludf.DUMMYFUNCTION("""COMPUTED_VALUE"""),490.49)</f>
        <v>490.49</v>
      </c>
      <c r="D3896" s="2">
        <f>IFERROR(__xludf.DUMMYFUNCTION("""COMPUTED_VALUE"""),474.72)</f>
        <v>474.72</v>
      </c>
      <c r="E3896" s="2">
        <f>IFERROR(__xludf.DUMMYFUNCTION("""COMPUTED_VALUE"""),481.2)</f>
        <v>481.2</v>
      </c>
      <c r="F3896" s="2">
        <f>IFERROR(__xludf.DUMMYFUNCTION("""COMPUTED_VALUE"""),1.03305424E8)</f>
        <v>103305424</v>
      </c>
    </row>
    <row r="3897">
      <c r="A3897" s="3">
        <f>IFERROR(__xludf.DUMMYFUNCTION("""COMPUTED_VALUE"""),46013.66666666667)</f>
        <v>46013.66667</v>
      </c>
      <c r="B3897" s="2">
        <f>IFERROR(__xludf.DUMMYFUNCTION("""COMPUTED_VALUE"""),489.88)</f>
        <v>489.88</v>
      </c>
      <c r="C3897" s="2">
        <f>IFERROR(__xludf.DUMMYFUNCTION("""COMPUTED_VALUE"""),498.83)</f>
        <v>498.83</v>
      </c>
      <c r="D3897" s="2">
        <f>IFERROR(__xludf.DUMMYFUNCTION("""COMPUTED_VALUE"""),485.33)</f>
        <v>485.33</v>
      </c>
      <c r="E3897" s="2">
        <f>IFERROR(__xludf.DUMMYFUNCTION("""COMPUTED_VALUE"""),488.73)</f>
        <v>488.73</v>
      </c>
      <c r="F3897" s="2">
        <f>IFERROR(__xludf.DUMMYFUNCTION("""COMPUTED_VALUE"""),8.6916066E7)</f>
        <v>86916066</v>
      </c>
    </row>
    <row r="3898">
      <c r="A3898" s="3">
        <f>IFERROR(__xludf.DUMMYFUNCTION("""COMPUTED_VALUE"""),46014.66666666667)</f>
        <v>46014.66667</v>
      </c>
      <c r="B3898" s="2">
        <f>IFERROR(__xludf.DUMMYFUNCTION("""COMPUTED_VALUE"""),489.4)</f>
        <v>489.4</v>
      </c>
      <c r="C3898" s="2">
        <f>IFERROR(__xludf.DUMMYFUNCTION("""COMPUTED_VALUE"""),491.97)</f>
        <v>491.97</v>
      </c>
      <c r="D3898" s="2">
        <f>IFERROR(__xludf.DUMMYFUNCTION("""COMPUTED_VALUE"""),482.84)</f>
        <v>482.84</v>
      </c>
      <c r="E3898" s="2">
        <f>IFERROR(__xludf.DUMMYFUNCTION("""COMPUTED_VALUE"""),485.56)</f>
        <v>485.56</v>
      </c>
      <c r="F3898" s="2">
        <f>IFERROR(__xludf.DUMMYFUNCTION("""COMPUTED_VALUE"""),5.8223633E7)</f>
        <v>58223633</v>
      </c>
    </row>
    <row r="3899">
      <c r="A3899" s="3">
        <f>IFERROR(__xludf.DUMMYFUNCTION("""COMPUTED_VALUE"""),46015.54513888889)</f>
        <v>46015.54514</v>
      </c>
      <c r="B3899" s="2">
        <f>IFERROR(__xludf.DUMMYFUNCTION("""COMPUTED_VALUE"""),488.48)</f>
        <v>488.48</v>
      </c>
      <c r="C3899" s="2">
        <f>IFERROR(__xludf.DUMMYFUNCTION("""COMPUTED_VALUE"""),490.9)</f>
        <v>490.9</v>
      </c>
      <c r="D3899" s="2">
        <f>IFERROR(__xludf.DUMMYFUNCTION("""COMPUTED_VALUE"""),476.8)</f>
        <v>476.8</v>
      </c>
      <c r="E3899" s="2">
        <f>IFERROR(__xludf.DUMMYFUNCTION("""COMPUTED_VALUE"""),485.4)</f>
        <v>485.4</v>
      </c>
      <c r="F3899" s="2">
        <f>IFERROR(__xludf.DUMMYFUNCTION("""COMPUTED_VALUE"""),4.1285429E7)</f>
        <v>41285429</v>
      </c>
    </row>
    <row r="3900">
      <c r="A3900" s="3">
        <f>IFERROR(__xludf.DUMMYFUNCTION("""COMPUTED_VALUE"""),46017.66666666667)</f>
        <v>46017.66667</v>
      </c>
      <c r="B3900" s="2">
        <f>IFERROR(__xludf.DUMMYFUNCTION("""COMPUTED_VALUE"""),485.23)</f>
        <v>485.23</v>
      </c>
      <c r="C3900" s="2">
        <f>IFERROR(__xludf.DUMMYFUNCTION("""COMPUTED_VALUE"""),489.09)</f>
        <v>489.09</v>
      </c>
      <c r="D3900" s="2">
        <f>IFERROR(__xludf.DUMMYFUNCTION("""COMPUTED_VALUE"""),473.82)</f>
        <v>473.82</v>
      </c>
      <c r="E3900" s="2">
        <f>IFERROR(__xludf.DUMMYFUNCTION("""COMPUTED_VALUE"""),475.19)</f>
        <v>475.19</v>
      </c>
      <c r="F3900" s="2">
        <f>IFERROR(__xludf.DUMMYFUNCTION("""COMPUTED_VALUE"""),5.8780659E7)</f>
        <v>58780659</v>
      </c>
    </row>
    <row r="3901">
      <c r="A3901" s="3">
        <f>IFERROR(__xludf.DUMMYFUNCTION("""COMPUTED_VALUE"""),46020.66666666667)</f>
        <v>46020.66667</v>
      </c>
      <c r="B3901" s="2">
        <f>IFERROR(__xludf.DUMMYFUNCTION("""COMPUTED_VALUE"""),469.0)</f>
        <v>469</v>
      </c>
      <c r="C3901" s="2">
        <f>IFERROR(__xludf.DUMMYFUNCTION("""COMPUTED_VALUE"""),469.4)</f>
        <v>469.4</v>
      </c>
      <c r="D3901" s="2">
        <f>IFERROR(__xludf.DUMMYFUNCTION("""COMPUTED_VALUE"""),459.0)</f>
        <v>459</v>
      </c>
      <c r="E3901" s="2">
        <f>IFERROR(__xludf.DUMMYFUNCTION("""COMPUTED_VALUE"""),459.64)</f>
        <v>459.64</v>
      </c>
      <c r="F3901" s="2">
        <f>IFERROR(__xludf.DUMMYFUNCTION("""COMPUTED_VALUE"""),6.6263033E7)</f>
        <v>66263033</v>
      </c>
    </row>
    <row r="3902">
      <c r="A3902" s="3">
        <f>IFERROR(__xludf.DUMMYFUNCTION("""COMPUTED_VALUE"""),46021.66666666667)</f>
        <v>46021.66667</v>
      </c>
      <c r="B3902" s="2">
        <f>IFERROR(__xludf.DUMMYFUNCTION("""COMPUTED_VALUE"""),461.09)</f>
        <v>461.09</v>
      </c>
      <c r="C3902" s="2">
        <f>IFERROR(__xludf.DUMMYFUNCTION("""COMPUTED_VALUE"""),463.12)</f>
        <v>463.12</v>
      </c>
      <c r="D3902" s="2">
        <f>IFERROR(__xludf.DUMMYFUNCTION("""COMPUTED_VALUE"""),453.83)</f>
        <v>453.83</v>
      </c>
      <c r="E3902" s="2">
        <f>IFERROR(__xludf.DUMMYFUNCTION("""COMPUTED_VALUE"""),454.43)</f>
        <v>454.43</v>
      </c>
      <c r="F3902" s="2">
        <f>IFERROR(__xludf.DUMMYFUNCTION("""COMPUTED_VALUE"""),5.9238464E7)</f>
        <v>59238464</v>
      </c>
    </row>
    <row r="3903">
      <c r="A3903" s="3">
        <f>IFERROR(__xludf.DUMMYFUNCTION("""COMPUTED_VALUE"""),46022.66666666667)</f>
        <v>46022.66667</v>
      </c>
      <c r="B3903" s="2">
        <f>IFERROR(__xludf.DUMMYFUNCTION("""COMPUTED_VALUE"""),456.1)</f>
        <v>456.1</v>
      </c>
      <c r="C3903" s="2">
        <f>IFERROR(__xludf.DUMMYFUNCTION("""COMPUTED_VALUE"""),456.55)</f>
        <v>456.55</v>
      </c>
      <c r="D3903" s="2">
        <f>IFERROR(__xludf.DUMMYFUNCTION("""COMPUTED_VALUE"""),449.3)</f>
        <v>449.3</v>
      </c>
      <c r="E3903" s="2">
        <f>IFERROR(__xludf.DUMMYFUNCTION("""COMPUTED_VALUE"""),449.72)</f>
        <v>449.72</v>
      </c>
      <c r="F3903" s="2">
        <f>IFERROR(__xludf.DUMMYFUNCTION("""COMPUTED_VALUE"""),4.9077961E7)</f>
        <v>49077961</v>
      </c>
    </row>
    <row r="3904">
      <c r="A3904" s="3">
        <f>IFERROR(__xludf.DUMMYFUNCTION("""COMPUTED_VALUE"""),46024.66666666667)</f>
        <v>46024.66667</v>
      </c>
      <c r="B3904" s="2">
        <f>IFERROR(__xludf.DUMMYFUNCTION("""COMPUTED_VALUE"""),457.8)</f>
        <v>457.8</v>
      </c>
      <c r="C3904" s="2">
        <f>IFERROR(__xludf.DUMMYFUNCTION("""COMPUTED_VALUE"""),458.34)</f>
        <v>458.34</v>
      </c>
      <c r="D3904" s="2">
        <f>IFERROR(__xludf.DUMMYFUNCTION("""COMPUTED_VALUE"""),435.3)</f>
        <v>435.3</v>
      </c>
      <c r="E3904" s="2">
        <f>IFERROR(__xludf.DUMMYFUNCTION("""COMPUTED_VALUE"""),438.07)</f>
        <v>438.07</v>
      </c>
      <c r="F3904" s="2">
        <f>IFERROR(__xludf.DUMMYFUNCTION("""COMPUTED_VALUE"""),8.5535406E7)</f>
        <v>85535406</v>
      </c>
    </row>
    <row r="3905">
      <c r="A3905" s="3">
        <f>IFERROR(__xludf.DUMMYFUNCTION("""COMPUTED_VALUE"""),46027.66666666667)</f>
        <v>46027.66667</v>
      </c>
      <c r="B3905" s="2">
        <f>IFERROR(__xludf.DUMMYFUNCTION("""COMPUTED_VALUE"""),447.99)</f>
        <v>447.99</v>
      </c>
      <c r="C3905" s="2">
        <f>IFERROR(__xludf.DUMMYFUNCTION("""COMPUTED_VALUE"""),457.55)</f>
        <v>457.55</v>
      </c>
      <c r="D3905" s="2">
        <f>IFERROR(__xludf.DUMMYFUNCTION("""COMPUTED_VALUE"""),444.57)</f>
        <v>444.57</v>
      </c>
      <c r="E3905" s="2">
        <f>IFERROR(__xludf.DUMMYFUNCTION("""COMPUTED_VALUE"""),451.67)</f>
        <v>451.67</v>
      </c>
      <c r="F3905" s="2">
        <f>IFERROR(__xludf.DUMMYFUNCTION("""COMPUTED_VALUE"""),6.7940839E7)</f>
        <v>67940839</v>
      </c>
    </row>
    <row r="3906">
      <c r="A3906" s="3">
        <f>IFERROR(__xludf.DUMMYFUNCTION("""COMPUTED_VALUE"""),46028.66666666667)</f>
        <v>46028.66667</v>
      </c>
      <c r="B3906" s="2">
        <f>IFERROR(__xludf.DUMMYFUNCTION("""COMPUTED_VALUE"""),446.38)</f>
        <v>446.38</v>
      </c>
      <c r="C3906" s="2">
        <f>IFERROR(__xludf.DUMMYFUNCTION("""COMPUTED_VALUE"""),448.25)</f>
        <v>448.25</v>
      </c>
      <c r="D3906" s="2">
        <f>IFERROR(__xludf.DUMMYFUNCTION("""COMPUTED_VALUE"""),428.78)</f>
        <v>428.78</v>
      </c>
      <c r="E3906" s="2">
        <f>IFERROR(__xludf.DUMMYFUNCTION("""COMPUTED_VALUE"""),432.96)</f>
        <v>432.96</v>
      </c>
      <c r="F3906" s="2">
        <f>IFERROR(__xludf.DUMMYFUNCTION("""COMPUTED_VALUE"""),8.9093758E7)</f>
        <v>89093758</v>
      </c>
    </row>
    <row r="3907">
      <c r="A3907" s="3">
        <f>IFERROR(__xludf.DUMMYFUNCTION("""COMPUTED_VALUE"""),46029.66666666667)</f>
        <v>46029.66667</v>
      </c>
      <c r="B3907" s="2">
        <f>IFERROR(__xludf.DUMMYFUNCTION("""COMPUTED_VALUE"""),435.9)</f>
        <v>435.9</v>
      </c>
      <c r="C3907" s="2">
        <f>IFERROR(__xludf.DUMMYFUNCTION("""COMPUTED_VALUE"""),438.37)</f>
        <v>438.37</v>
      </c>
      <c r="D3907" s="2">
        <f>IFERROR(__xludf.DUMMYFUNCTION("""COMPUTED_VALUE"""),431.29)</f>
        <v>431.29</v>
      </c>
      <c r="E3907" s="2">
        <f>IFERROR(__xludf.DUMMYFUNCTION("""COMPUTED_VALUE"""),431.41)</f>
        <v>431.41</v>
      </c>
      <c r="F3907" s="2">
        <f>IFERROR(__xludf.DUMMYFUNCTION("""COMPUTED_VALUE"""),5.982879E7)</f>
        <v>59828790</v>
      </c>
    </row>
    <row r="3908">
      <c r="A3908" s="3">
        <f>IFERROR(__xludf.DUMMYFUNCTION("""COMPUTED_VALUE"""),46030.66666666667)</f>
        <v>46030.66667</v>
      </c>
      <c r="B3908" s="2">
        <f>IFERROR(__xludf.DUMMYFUNCTION("""COMPUTED_VALUE"""),427.89)</f>
        <v>427.89</v>
      </c>
      <c r="C3908" s="2">
        <f>IFERROR(__xludf.DUMMYFUNCTION("""COMPUTED_VALUE"""),436.89)</f>
        <v>436.89</v>
      </c>
      <c r="D3908" s="2">
        <f>IFERROR(__xludf.DUMMYFUNCTION("""COMPUTED_VALUE"""),424.37)</f>
        <v>424.37</v>
      </c>
      <c r="E3908" s="2">
        <f>IFERROR(__xludf.DUMMYFUNCTION("""COMPUTED_VALUE"""),435.8)</f>
        <v>435.8</v>
      </c>
      <c r="F3908" s="2">
        <f>IFERROR(__xludf.DUMMYFUNCTION("""COMPUTED_VALUE"""),5.7041094E7)</f>
        <v>57041094</v>
      </c>
    </row>
    <row r="3909">
      <c r="A3909" s="3">
        <f>IFERROR(__xludf.DUMMYFUNCTION("""COMPUTED_VALUE"""),46031.66666666667)</f>
        <v>46031.66667</v>
      </c>
      <c r="B3909" s="2">
        <f>IFERROR(__xludf.DUMMYFUNCTION("""COMPUTED_VALUE"""),435.95)</f>
        <v>435.95</v>
      </c>
      <c r="C3909" s="2">
        <f>IFERROR(__xludf.DUMMYFUNCTION("""COMPUTED_VALUE"""),449.05)</f>
        <v>449.05</v>
      </c>
      <c r="D3909" s="2">
        <f>IFERROR(__xludf.DUMMYFUNCTION("""COMPUTED_VALUE"""),430.39)</f>
        <v>430.39</v>
      </c>
      <c r="E3909" s="2">
        <f>IFERROR(__xludf.DUMMYFUNCTION("""COMPUTED_VALUE"""),445.01)</f>
        <v>445.01</v>
      </c>
      <c r="F3909" s="2">
        <f>IFERROR(__xludf.DUMMYFUNCTION("""COMPUTED_VALUE"""),6.7331456E7)</f>
        <v>67331456</v>
      </c>
    </row>
    <row r="3910">
      <c r="A3910" s="3">
        <f>IFERROR(__xludf.DUMMYFUNCTION("""COMPUTED_VALUE"""),46034.66666666667)</f>
        <v>46034.66667</v>
      </c>
      <c r="B3910" s="2">
        <f>IFERROR(__xludf.DUMMYFUNCTION("""COMPUTED_VALUE"""),441.23)</f>
        <v>441.23</v>
      </c>
      <c r="C3910" s="2">
        <f>IFERROR(__xludf.DUMMYFUNCTION("""COMPUTED_VALUE"""),454.3)</f>
        <v>454.3</v>
      </c>
      <c r="D3910" s="2">
        <f>IFERROR(__xludf.DUMMYFUNCTION("""COMPUTED_VALUE"""),438.0)</f>
        <v>438</v>
      </c>
      <c r="E3910" s="2">
        <f>IFERROR(__xludf.DUMMYFUNCTION("""COMPUTED_VALUE"""),448.96)</f>
        <v>448.96</v>
      </c>
      <c r="F3910" s="2">
        <f>IFERROR(__xludf.DUMMYFUNCTION("""COMPUTED_VALUE"""),6.1649627E7)</f>
        <v>61649627</v>
      </c>
    </row>
    <row r="3911">
      <c r="A3911" s="3">
        <f>IFERROR(__xludf.DUMMYFUNCTION("""COMPUTED_VALUE"""),46035.66666666667)</f>
        <v>46035.66667</v>
      </c>
      <c r="B3911" s="2">
        <f>IFERROR(__xludf.DUMMYFUNCTION("""COMPUTED_VALUE"""),450.2)</f>
        <v>450.2</v>
      </c>
      <c r="C3911" s="2">
        <f>IFERROR(__xludf.DUMMYFUNCTION("""COMPUTED_VALUE"""),451.81)</f>
        <v>451.81</v>
      </c>
      <c r="D3911" s="2">
        <f>IFERROR(__xludf.DUMMYFUNCTION("""COMPUTED_VALUE"""),443.95)</f>
        <v>443.95</v>
      </c>
      <c r="E3911" s="2">
        <f>IFERROR(__xludf.DUMMYFUNCTION("""COMPUTED_VALUE"""),447.2)</f>
        <v>447.2</v>
      </c>
      <c r="F3911" s="2">
        <f>IFERROR(__xludf.DUMMYFUNCTION("""COMPUTED_VALUE"""),5.3719214E7)</f>
        <v>53719214</v>
      </c>
    </row>
    <row r="3912">
      <c r="A3912" s="3">
        <f>IFERROR(__xludf.DUMMYFUNCTION("""COMPUTED_VALUE"""),46036.66666666667)</f>
        <v>46036.66667</v>
      </c>
      <c r="B3912" s="2">
        <f>IFERROR(__xludf.DUMMYFUNCTION("""COMPUTED_VALUE"""),442.81)</f>
        <v>442.81</v>
      </c>
      <c r="C3912" s="2">
        <f>IFERROR(__xludf.DUMMYFUNCTION("""COMPUTED_VALUE"""),443.91)</f>
        <v>443.91</v>
      </c>
      <c r="D3912" s="2">
        <f>IFERROR(__xludf.DUMMYFUNCTION("""COMPUTED_VALUE"""),434.22)</f>
        <v>434.22</v>
      </c>
      <c r="E3912" s="2">
        <f>IFERROR(__xludf.DUMMYFUNCTION("""COMPUTED_VALUE"""),439.2)</f>
        <v>439.2</v>
      </c>
      <c r="F3912" s="2">
        <f>IFERROR(__xludf.DUMMYFUNCTION("""COMPUTED_VALUE"""),5.72595E7)</f>
        <v>57259500</v>
      </c>
    </row>
    <row r="3913">
      <c r="A3913" s="3">
        <f>IFERROR(__xludf.DUMMYFUNCTION("""COMPUTED_VALUE"""),46037.66666666667)</f>
        <v>46037.66667</v>
      </c>
      <c r="B3913" s="2">
        <f>IFERROR(__xludf.DUMMYFUNCTION("""COMPUTED_VALUE"""),441.13)</f>
        <v>441.13</v>
      </c>
      <c r="C3913" s="2">
        <f>IFERROR(__xludf.DUMMYFUNCTION("""COMPUTED_VALUE"""),445.36)</f>
        <v>445.36</v>
      </c>
      <c r="D3913" s="2">
        <f>IFERROR(__xludf.DUMMYFUNCTION("""COMPUTED_VALUE"""),437.65)</f>
        <v>437.65</v>
      </c>
      <c r="E3913" s="2">
        <f>IFERROR(__xludf.DUMMYFUNCTION("""COMPUTED_VALUE"""),438.57)</f>
        <v>438.57</v>
      </c>
      <c r="F3913" s="2">
        <f>IFERROR(__xludf.DUMMYFUNCTION("""COMPUTED_VALUE"""),4.9465813E7)</f>
        <v>49465813</v>
      </c>
    </row>
    <row r="3914">
      <c r="A3914" s="3">
        <f>IFERROR(__xludf.DUMMYFUNCTION("""COMPUTED_VALUE"""),46038.66666666667)</f>
        <v>46038.66667</v>
      </c>
      <c r="B3914" s="2">
        <f>IFERROR(__xludf.DUMMYFUNCTION("""COMPUTED_VALUE"""),439.5)</f>
        <v>439.5</v>
      </c>
      <c r="C3914" s="2">
        <f>IFERROR(__xludf.DUMMYFUNCTION("""COMPUTED_VALUE"""),447.25)</f>
        <v>447.25</v>
      </c>
      <c r="D3914" s="2">
        <f>IFERROR(__xludf.DUMMYFUNCTION("""COMPUTED_VALUE"""),435.26)</f>
        <v>435.26</v>
      </c>
      <c r="E3914" s="2">
        <f>IFERROR(__xludf.DUMMYFUNCTION("""COMPUTED_VALUE"""),437.5)</f>
        <v>437.5</v>
      </c>
      <c r="F3914" s="2">
        <f>IFERROR(__xludf.DUMMYFUNCTION("""COMPUTED_VALUE"""),6.0220551E7)</f>
        <v>60220551</v>
      </c>
    </row>
    <row r="3915">
      <c r="A3915" s="3">
        <f>IFERROR(__xludf.DUMMYFUNCTION("""COMPUTED_VALUE"""),46042.66666666667)</f>
        <v>46042.66667</v>
      </c>
      <c r="B3915" s="2">
        <f>IFERROR(__xludf.DUMMYFUNCTION("""COMPUTED_VALUE"""),429.36)</f>
        <v>429.36</v>
      </c>
      <c r="C3915" s="2">
        <f>IFERROR(__xludf.DUMMYFUNCTION("""COMPUTED_VALUE"""),430.73)</f>
        <v>430.73</v>
      </c>
      <c r="D3915" s="2">
        <f>IFERROR(__xludf.DUMMYFUNCTION("""COMPUTED_VALUE"""),417.44)</f>
        <v>417.44</v>
      </c>
      <c r="E3915" s="2">
        <f>IFERROR(__xludf.DUMMYFUNCTION("""COMPUTED_VALUE"""),419.25)</f>
        <v>419.25</v>
      </c>
      <c r="F3915" s="2">
        <f>IFERROR(__xludf.DUMMYFUNCTION("""COMPUTED_VALUE"""),6.3187336E7)</f>
        <v>63187336</v>
      </c>
    </row>
    <row r="3916">
      <c r="A3916" s="3">
        <f>IFERROR(__xludf.DUMMYFUNCTION("""COMPUTED_VALUE"""),46043.66666666667)</f>
        <v>46043.66667</v>
      </c>
      <c r="B3916" s="2">
        <f>IFERROR(__xludf.DUMMYFUNCTION("""COMPUTED_VALUE"""),421.66)</f>
        <v>421.66</v>
      </c>
      <c r="C3916" s="2">
        <f>IFERROR(__xludf.DUMMYFUNCTION("""COMPUTED_VALUE"""),438.2)</f>
        <v>438.2</v>
      </c>
      <c r="D3916" s="2">
        <f>IFERROR(__xludf.DUMMYFUNCTION("""COMPUTED_VALUE"""),419.62)</f>
        <v>419.62</v>
      </c>
      <c r="E3916" s="2">
        <f>IFERROR(__xludf.DUMMYFUNCTION("""COMPUTED_VALUE"""),431.44)</f>
        <v>431.44</v>
      </c>
      <c r="F3916" s="2">
        <f>IFERROR(__xludf.DUMMYFUNCTION("""COMPUTED_VALUE"""),6.8123987E7)</f>
        <v>68123987</v>
      </c>
    </row>
    <row r="3917">
      <c r="A3917" s="3">
        <f>IFERROR(__xludf.DUMMYFUNCTION("""COMPUTED_VALUE"""),46044.66666666667)</f>
        <v>46044.66667</v>
      </c>
      <c r="B3917" s="2">
        <f>IFERROR(__xludf.DUMMYFUNCTION("""COMPUTED_VALUE"""),435.16)</f>
        <v>435.16</v>
      </c>
      <c r="C3917" s="2">
        <f>IFERROR(__xludf.DUMMYFUNCTION("""COMPUTED_VALUE"""),449.5)</f>
        <v>449.5</v>
      </c>
      <c r="D3917" s="2">
        <f>IFERROR(__xludf.DUMMYFUNCTION("""COMPUTED_VALUE"""),432.63)</f>
        <v>432.63</v>
      </c>
      <c r="E3917" s="2">
        <f>IFERROR(__xludf.DUMMYFUNCTION("""COMPUTED_VALUE"""),449.36)</f>
        <v>449.36</v>
      </c>
      <c r="F3917" s="2">
        <f>IFERROR(__xludf.DUMMYFUNCTION("""COMPUTED_VALUE"""),7.1546729E7)</f>
        <v>71546729</v>
      </c>
    </row>
    <row r="3918">
      <c r="A3918" s="3">
        <f>IFERROR(__xludf.DUMMYFUNCTION("""COMPUTED_VALUE"""),46045.66666666667)</f>
        <v>46045.66667</v>
      </c>
      <c r="B3918" s="2">
        <f>IFERROR(__xludf.DUMMYFUNCTION("""COMPUTED_VALUE"""),447.43)</f>
        <v>447.43</v>
      </c>
      <c r="C3918" s="2">
        <f>IFERROR(__xludf.DUMMYFUNCTION("""COMPUTED_VALUE"""),452.43)</f>
        <v>452.43</v>
      </c>
      <c r="D3918" s="2">
        <f>IFERROR(__xludf.DUMMYFUNCTION("""COMPUTED_VALUE"""),444.04)</f>
        <v>444.04</v>
      </c>
      <c r="E3918" s="2">
        <f>IFERROR(__xludf.DUMMYFUNCTION("""COMPUTED_VALUE"""),449.06)</f>
        <v>449.06</v>
      </c>
      <c r="F3918" s="2">
        <f>IFERROR(__xludf.DUMMYFUNCTION("""COMPUTED_VALUE"""),5.6771364E7)</f>
        <v>56771364</v>
      </c>
    </row>
    <row r="3919">
      <c r="A3919" s="3">
        <f>IFERROR(__xludf.DUMMYFUNCTION("""COMPUTED_VALUE"""),46048.66666666667)</f>
        <v>46048.66667</v>
      </c>
      <c r="B3919" s="2">
        <f>IFERROR(__xludf.DUMMYFUNCTION("""COMPUTED_VALUE"""),445.0)</f>
        <v>445</v>
      </c>
      <c r="C3919" s="2">
        <f>IFERROR(__xludf.DUMMYFUNCTION("""COMPUTED_VALUE"""),445.04)</f>
        <v>445.04</v>
      </c>
      <c r="D3919" s="2">
        <f>IFERROR(__xludf.DUMMYFUNCTION("""COMPUTED_VALUE"""),434.28)</f>
        <v>434.28</v>
      </c>
      <c r="E3919" s="2">
        <f>IFERROR(__xludf.DUMMYFUNCTION("""COMPUTED_VALUE"""),435.2)</f>
        <v>435.2</v>
      </c>
      <c r="F3919" s="2">
        <f>IFERROR(__xludf.DUMMYFUNCTION("""COMPUTED_VALUE"""),4.9397415E7)</f>
        <v>49397415</v>
      </c>
    </row>
    <row r="3920">
      <c r="A3920" s="3">
        <f>IFERROR(__xludf.DUMMYFUNCTION("""COMPUTED_VALUE"""),46049.66666666667)</f>
        <v>46049.66667</v>
      </c>
      <c r="B3920" s="2">
        <f>IFERROR(__xludf.DUMMYFUNCTION("""COMPUTED_VALUE"""),437.41)</f>
        <v>437.41</v>
      </c>
      <c r="C3920" s="2">
        <f>IFERROR(__xludf.DUMMYFUNCTION("""COMPUTED_VALUE"""),437.52)</f>
        <v>437.52</v>
      </c>
      <c r="D3920" s="2">
        <f>IFERROR(__xludf.DUMMYFUNCTION("""COMPUTED_VALUE"""),430.69)</f>
        <v>430.69</v>
      </c>
      <c r="E3920" s="2">
        <f>IFERROR(__xludf.DUMMYFUNCTION("""COMPUTED_VALUE"""),430.9)</f>
        <v>430.9</v>
      </c>
      <c r="F3920" s="2">
        <f>IFERROR(__xludf.DUMMYFUNCTION("""COMPUTED_VALUE"""),3.7733077E7)</f>
        <v>37733077</v>
      </c>
    </row>
    <row r="3921">
      <c r="A3921" s="3">
        <f>IFERROR(__xludf.DUMMYFUNCTION("""COMPUTED_VALUE"""),46050.66666666667)</f>
        <v>46050.66667</v>
      </c>
      <c r="B3921" s="2">
        <f>IFERROR(__xludf.DUMMYFUNCTION("""COMPUTED_VALUE"""),431.91)</f>
        <v>431.91</v>
      </c>
      <c r="C3921" s="2">
        <f>IFERROR(__xludf.DUMMYFUNCTION("""COMPUTED_VALUE"""),438.26)</f>
        <v>438.26</v>
      </c>
      <c r="D3921" s="2">
        <f>IFERROR(__xludf.DUMMYFUNCTION("""COMPUTED_VALUE"""),430.1)</f>
        <v>430.1</v>
      </c>
      <c r="E3921" s="2">
        <f>IFERROR(__xludf.DUMMYFUNCTION("""COMPUTED_VALUE"""),431.46)</f>
        <v>431.46</v>
      </c>
      <c r="F3921" s="2">
        <f>IFERROR(__xludf.DUMMYFUNCTION("""COMPUTED_VALUE"""),5.4857403E7)</f>
        <v>54857403</v>
      </c>
    </row>
    <row r="3922">
      <c r="A3922" s="3">
        <f>IFERROR(__xludf.DUMMYFUNCTION("""COMPUTED_VALUE"""),46051.66666666667)</f>
        <v>46051.66667</v>
      </c>
      <c r="B3922" s="2">
        <f>IFERROR(__xludf.DUMMYFUNCTION("""COMPUTED_VALUE"""),437.8)</f>
        <v>437.8</v>
      </c>
      <c r="C3922" s="2">
        <f>IFERROR(__xludf.DUMMYFUNCTION("""COMPUTED_VALUE"""),440.23)</f>
        <v>440.23</v>
      </c>
      <c r="D3922" s="2">
        <f>IFERROR(__xludf.DUMMYFUNCTION("""COMPUTED_VALUE"""),414.62)</f>
        <v>414.62</v>
      </c>
      <c r="E3922" s="2">
        <f>IFERROR(__xludf.DUMMYFUNCTION("""COMPUTED_VALUE"""),416.56)</f>
        <v>416.56</v>
      </c>
      <c r="F3922" s="2">
        <f>IFERROR(__xludf.DUMMYFUNCTION("""COMPUTED_VALUE"""),8.1686127E7)</f>
        <v>81686127</v>
      </c>
    </row>
    <row r="3923">
      <c r="A3923" s="3">
        <f>IFERROR(__xludf.DUMMYFUNCTION("""COMPUTED_VALUE"""),46052.66666666667)</f>
        <v>46052.66667</v>
      </c>
      <c r="B3923" s="2">
        <f>IFERROR(__xludf.DUMMYFUNCTION("""COMPUTED_VALUE"""),425.35)</f>
        <v>425.35</v>
      </c>
      <c r="C3923" s="2">
        <f>IFERROR(__xludf.DUMMYFUNCTION("""COMPUTED_VALUE"""),439.88)</f>
        <v>439.88</v>
      </c>
      <c r="D3923" s="2">
        <f>IFERROR(__xludf.DUMMYFUNCTION("""COMPUTED_VALUE"""),422.7)</f>
        <v>422.7</v>
      </c>
      <c r="E3923" s="2">
        <f>IFERROR(__xludf.DUMMYFUNCTION("""COMPUTED_VALUE"""),430.41)</f>
        <v>430.41</v>
      </c>
      <c r="F3923" s="2">
        <f>IFERROR(__xludf.DUMMYFUNCTION("""COMPUTED_VALUE"""),8.2626066E7)</f>
        <v>82626066</v>
      </c>
    </row>
    <row r="3924">
      <c r="A3924" s="3">
        <f>IFERROR(__xludf.DUMMYFUNCTION("""COMPUTED_VALUE"""),46055.66666666667)</f>
        <v>46055.66667</v>
      </c>
      <c r="B3924" s="2">
        <f>IFERROR(__xludf.DUMMYFUNCTION("""COMPUTED_VALUE"""),421.29)</f>
        <v>421.29</v>
      </c>
      <c r="C3924" s="2">
        <f>IFERROR(__xludf.DUMMYFUNCTION("""COMPUTED_VALUE"""),427.15)</f>
        <v>427.15</v>
      </c>
      <c r="D3924" s="2">
        <f>IFERROR(__xludf.DUMMYFUNCTION("""COMPUTED_VALUE"""),414.5)</f>
        <v>414.5</v>
      </c>
      <c r="E3924" s="2">
        <f>IFERROR(__xludf.DUMMYFUNCTION("""COMPUTED_VALUE"""),421.81)</f>
        <v>421.81</v>
      </c>
      <c r="F3924" s="2">
        <f>IFERROR(__xludf.DUMMYFUNCTION("""COMPUTED_VALUE"""),5.8739455E7)</f>
        <v>58739455</v>
      </c>
    </row>
    <row r="3925">
      <c r="A3925" s="3">
        <f>IFERROR(__xludf.DUMMYFUNCTION("""COMPUTED_VALUE"""),46056.66666666667)</f>
        <v>46056.66667</v>
      </c>
      <c r="B3925" s="2">
        <f>IFERROR(__xludf.DUMMYFUNCTION("""COMPUTED_VALUE"""),424.27)</f>
        <v>424.27</v>
      </c>
      <c r="C3925" s="2">
        <f>IFERROR(__xludf.DUMMYFUNCTION("""COMPUTED_VALUE"""),428.56)</f>
        <v>428.56</v>
      </c>
      <c r="D3925" s="2">
        <f>IFERROR(__xludf.DUMMYFUNCTION("""COMPUTED_VALUE"""),413.69)</f>
        <v>413.69</v>
      </c>
      <c r="E3925" s="2">
        <f>IFERROR(__xludf.DUMMYFUNCTION("""COMPUTED_VALUE"""),421.96)</f>
        <v>421.96</v>
      </c>
      <c r="F3925" s="2">
        <f>IFERROR(__xludf.DUMMYFUNCTION("""COMPUTED_VALUE"""),5.6886549E7)</f>
        <v>56886549</v>
      </c>
    </row>
    <row r="3926">
      <c r="A3926" s="3">
        <f>IFERROR(__xludf.DUMMYFUNCTION("""COMPUTED_VALUE"""),46057.66666666667)</f>
        <v>46057.66667</v>
      </c>
      <c r="B3926" s="2">
        <f>IFERROR(__xludf.DUMMYFUNCTION("""COMPUTED_VALUE"""),420.46)</f>
        <v>420.46</v>
      </c>
      <c r="C3926" s="2">
        <f>IFERROR(__xludf.DUMMYFUNCTION("""COMPUTED_VALUE"""),423.9)</f>
        <v>423.9</v>
      </c>
      <c r="D3926" s="2">
        <f>IFERROR(__xludf.DUMMYFUNCTION("""COMPUTED_VALUE"""),399.18)</f>
        <v>399.18</v>
      </c>
      <c r="E3926" s="2">
        <f>IFERROR(__xludf.DUMMYFUNCTION("""COMPUTED_VALUE"""),406.01)</f>
        <v>406.01</v>
      </c>
      <c r="F3926" s="2">
        <f>IFERROR(__xludf.DUMMYFUNCTION("""COMPUTED_VALUE"""),7.4606873E7)</f>
        <v>74606873</v>
      </c>
    </row>
    <row r="3927">
      <c r="A3927" s="3">
        <f>IFERROR(__xludf.DUMMYFUNCTION("""COMPUTED_VALUE"""),46058.66666666667)</f>
        <v>46058.66667</v>
      </c>
      <c r="B3927" s="2">
        <f>IFERROR(__xludf.DUMMYFUNCTION("""COMPUTED_VALUE"""),397.02)</f>
        <v>397.02</v>
      </c>
      <c r="C3927" s="2">
        <f>IFERROR(__xludf.DUMMYFUNCTION("""COMPUTED_VALUE"""),402.1)</f>
        <v>402.1</v>
      </c>
      <c r="D3927" s="2">
        <f>IFERROR(__xludf.DUMMYFUNCTION("""COMPUTED_VALUE"""),387.53)</f>
        <v>387.53</v>
      </c>
      <c r="E3927" s="2">
        <f>IFERROR(__xludf.DUMMYFUNCTION("""COMPUTED_VALUE"""),397.21)</f>
        <v>397.21</v>
      </c>
      <c r="F3927" s="2">
        <f>IFERROR(__xludf.DUMMYFUNCTION("""COMPUTED_VALUE"""),7.2819838E7)</f>
        <v>72819838</v>
      </c>
    </row>
    <row r="3928">
      <c r="A3928" s="3">
        <f>IFERROR(__xludf.DUMMYFUNCTION("""COMPUTED_VALUE"""),46059.66666666667)</f>
        <v>46059.66667</v>
      </c>
      <c r="B3928" s="2">
        <f>IFERROR(__xludf.DUMMYFUNCTION("""COMPUTED_VALUE"""),400.87)</f>
        <v>400.87</v>
      </c>
      <c r="C3928" s="2">
        <f>IFERROR(__xludf.DUMMYFUNCTION("""COMPUTED_VALUE"""),414.55)</f>
        <v>414.55</v>
      </c>
      <c r="D3928" s="2">
        <f>IFERROR(__xludf.DUMMYFUNCTION("""COMPUTED_VALUE"""),397.75)</f>
        <v>397.75</v>
      </c>
      <c r="E3928" s="2">
        <f>IFERROR(__xludf.DUMMYFUNCTION("""COMPUTED_VALUE"""),411.11)</f>
        <v>411.11</v>
      </c>
      <c r="F3928" s="2">
        <f>IFERROR(__xludf.DUMMYFUNCTION("""COMPUTED_VALUE"""),6.2677144E7)</f>
        <v>62677144</v>
      </c>
    </row>
    <row r="3929">
      <c r="A3929" s="3">
        <f>IFERROR(__xludf.DUMMYFUNCTION("""COMPUTED_VALUE"""),46062.66666666667)</f>
        <v>46062.66667</v>
      </c>
      <c r="B3929" s="2">
        <f>IFERROR(__xludf.DUMMYFUNCTION("""COMPUTED_VALUE"""),409.91)</f>
        <v>409.91</v>
      </c>
      <c r="C3929" s="2">
        <f>IFERROR(__xludf.DUMMYFUNCTION("""COMPUTED_VALUE"""),421.25)</f>
        <v>421.25</v>
      </c>
      <c r="D3929" s="2">
        <f>IFERROR(__xludf.DUMMYFUNCTION("""COMPUTED_VALUE"""),407.29)</f>
        <v>407.29</v>
      </c>
      <c r="E3929" s="2">
        <f>IFERROR(__xludf.DUMMYFUNCTION("""COMPUTED_VALUE"""),417.32)</f>
        <v>417.32</v>
      </c>
      <c r="F3929" s="2">
        <f>IFERROR(__xludf.DUMMYFUNCTION("""COMPUTED_VALUE"""),5.4484258E7)</f>
        <v>54484258</v>
      </c>
    </row>
    <row r="3930">
      <c r="A3930" s="3">
        <f>IFERROR(__xludf.DUMMYFUNCTION("""COMPUTED_VALUE"""),46063.66666666667)</f>
        <v>46063.66667</v>
      </c>
      <c r="B3930" s="2">
        <f>IFERROR(__xludf.DUMMYFUNCTION("""COMPUTED_VALUE"""),418.08)</f>
        <v>418.08</v>
      </c>
      <c r="C3930" s="2">
        <f>IFERROR(__xludf.DUMMYFUNCTION("""COMPUTED_VALUE"""),427.25)</f>
        <v>427.25</v>
      </c>
      <c r="D3930" s="2">
        <f>IFERROR(__xludf.DUMMYFUNCTION("""COMPUTED_VALUE"""),417.0)</f>
        <v>417</v>
      </c>
      <c r="E3930" s="2">
        <f>IFERROR(__xludf.DUMMYFUNCTION("""COMPUTED_VALUE"""),425.21)</f>
        <v>425.21</v>
      </c>
      <c r="F3930" s="2">
        <f>IFERROR(__xludf.DUMMYFUNCTION("""COMPUTED_VALUE"""),6.4450233E7)</f>
        <v>64450233</v>
      </c>
    </row>
    <row r="3931">
      <c r="A3931" s="3">
        <f>IFERROR(__xludf.DUMMYFUNCTION("""COMPUTED_VALUE"""),46064.66666666667)</f>
        <v>46064.66667</v>
      </c>
      <c r="B3931" s="2">
        <f>IFERROR(__xludf.DUMMYFUNCTION("""COMPUTED_VALUE"""),427.96)</f>
        <v>427.96</v>
      </c>
      <c r="C3931" s="2">
        <f>IFERROR(__xludf.DUMMYFUNCTION("""COMPUTED_VALUE"""),436.35)</f>
        <v>436.35</v>
      </c>
      <c r="D3931" s="2">
        <f>IFERROR(__xludf.DUMMYFUNCTION("""COMPUTED_VALUE"""),420.03)</f>
        <v>420.03</v>
      </c>
      <c r="E3931" s="2">
        <f>IFERROR(__xludf.DUMMYFUNCTION("""COMPUTED_VALUE"""),428.27)</f>
        <v>428.27</v>
      </c>
      <c r="F3931" s="2">
        <f>IFERROR(__xludf.DUMMYFUNCTION("""COMPUTED_VALUE"""),5.7361989E7)</f>
        <v>57361989</v>
      </c>
    </row>
    <row r="3932">
      <c r="A3932" s="3">
        <f>IFERROR(__xludf.DUMMYFUNCTION("""COMPUTED_VALUE"""),46065.66666666667)</f>
        <v>46065.66667</v>
      </c>
      <c r="B3932" s="2">
        <f>IFERROR(__xludf.DUMMYFUNCTION("""COMPUTED_VALUE"""),430.3)</f>
        <v>430.3</v>
      </c>
      <c r="C3932" s="2">
        <f>IFERROR(__xludf.DUMMYFUNCTION("""COMPUTED_VALUE"""),436.23)</f>
        <v>436.23</v>
      </c>
      <c r="D3932" s="2">
        <f>IFERROR(__xludf.DUMMYFUNCTION("""COMPUTED_VALUE"""),414.0)</f>
        <v>414</v>
      </c>
      <c r="E3932" s="2">
        <f>IFERROR(__xludf.DUMMYFUNCTION("""COMPUTED_VALUE"""),417.07)</f>
        <v>417.07</v>
      </c>
      <c r="F3932" s="2">
        <f>IFERROR(__xludf.DUMMYFUNCTION("""COMPUTED_VALUE"""),6.1933359E7)</f>
        <v>61933359</v>
      </c>
    </row>
    <row r="3933">
      <c r="A3933" s="3">
        <f>IFERROR(__xludf.DUMMYFUNCTION("""COMPUTED_VALUE"""),46066.66666666667)</f>
        <v>46066.66667</v>
      </c>
      <c r="B3933" s="2">
        <f>IFERROR(__xludf.DUMMYFUNCTION("""COMPUTED_VALUE"""),414.31)</f>
        <v>414.31</v>
      </c>
      <c r="C3933" s="2">
        <f>IFERROR(__xludf.DUMMYFUNCTION("""COMPUTED_VALUE"""),424.06)</f>
        <v>424.06</v>
      </c>
      <c r="D3933" s="2">
        <f>IFERROR(__xludf.DUMMYFUNCTION("""COMPUTED_VALUE"""),410.88)</f>
        <v>410.88</v>
      </c>
      <c r="E3933" s="2">
        <f>IFERROR(__xludf.DUMMYFUNCTION("""COMPUTED_VALUE"""),417.44)</f>
        <v>417.44</v>
      </c>
      <c r="F3933" s="2">
        <f>IFERROR(__xludf.DUMMYFUNCTION("""COMPUTED_VALUE"""),5.1434147E7)</f>
        <v>51434147</v>
      </c>
    </row>
    <row r="3934">
      <c r="A3934" s="3">
        <f>IFERROR(__xludf.DUMMYFUNCTION("""COMPUTED_VALUE"""),46070.66666666667)</f>
        <v>46070.66667</v>
      </c>
      <c r="B3934" s="2">
        <f>IFERROR(__xludf.DUMMYFUNCTION("""COMPUTED_VALUE"""),412.36)</f>
        <v>412.36</v>
      </c>
      <c r="C3934" s="2">
        <f>IFERROR(__xludf.DUMMYFUNCTION("""COMPUTED_VALUE"""),413.72)</f>
        <v>413.72</v>
      </c>
      <c r="D3934" s="2">
        <f>IFERROR(__xludf.DUMMYFUNCTION("""COMPUTED_VALUE"""),400.51)</f>
        <v>400.51</v>
      </c>
      <c r="E3934" s="2">
        <f>IFERROR(__xludf.DUMMYFUNCTION("""COMPUTED_VALUE"""),410.63)</f>
        <v>410.63</v>
      </c>
      <c r="F3934" s="2">
        <f>IFERROR(__xludf.DUMMYFUNCTION("""COMPUTED_VALUE"""),5.9678789E7)</f>
        <v>59678789</v>
      </c>
    </row>
    <row r="3935">
      <c r="A3935" s="3">
        <f>IFERROR(__xludf.DUMMYFUNCTION("""COMPUTED_VALUE"""),46071.66666666667)</f>
        <v>46071.66667</v>
      </c>
      <c r="B3935" s="2">
        <f>IFERROR(__xludf.DUMMYFUNCTION("""COMPUTED_VALUE"""),411.11)</f>
        <v>411.11</v>
      </c>
      <c r="C3935" s="2">
        <f>IFERROR(__xludf.DUMMYFUNCTION("""COMPUTED_VALUE"""),416.9)</f>
        <v>416.9</v>
      </c>
      <c r="D3935" s="2">
        <f>IFERROR(__xludf.DUMMYFUNCTION("""COMPUTED_VALUE"""),409.58)</f>
        <v>409.58</v>
      </c>
      <c r="E3935" s="2">
        <f>IFERROR(__xludf.DUMMYFUNCTION("""COMPUTED_VALUE"""),411.32)</f>
        <v>411.32</v>
      </c>
      <c r="F3935" s="2">
        <f>IFERROR(__xludf.DUMMYFUNCTION("""COMPUTED_VALUE"""),4.5921402E7)</f>
        <v>45921402</v>
      </c>
    </row>
    <row r="3936">
      <c r="A3936" s="3">
        <f>IFERROR(__xludf.DUMMYFUNCTION("""COMPUTED_VALUE"""),46072.66666666667)</f>
        <v>46072.66667</v>
      </c>
      <c r="B3936" s="2">
        <f>IFERROR(__xludf.DUMMYFUNCTION("""COMPUTED_VALUE"""),407.25)</f>
        <v>407.25</v>
      </c>
      <c r="C3936" s="2">
        <f>IFERROR(__xludf.DUMMYFUNCTION("""COMPUTED_VALUE"""),415.25)</f>
        <v>415.25</v>
      </c>
      <c r="D3936" s="2">
        <f>IFERROR(__xludf.DUMMYFUNCTION("""COMPUTED_VALUE"""),404.11)</f>
        <v>404.11</v>
      </c>
      <c r="E3936" s="2">
        <f>IFERROR(__xludf.DUMMYFUNCTION("""COMPUTED_VALUE"""),411.71)</f>
        <v>411.71</v>
      </c>
      <c r="F3936" s="2">
        <f>IFERROR(__xludf.DUMMYFUNCTION("""COMPUTED_VALUE"""),5.1019638E7)</f>
        <v>51019638</v>
      </c>
    </row>
    <row r="3937">
      <c r="A3937" s="3">
        <f>IFERROR(__xludf.DUMMYFUNCTION("""COMPUTED_VALUE"""),46073.66666666667)</f>
        <v>46073.66667</v>
      </c>
      <c r="B3937" s="2">
        <f>IFERROR(__xludf.DUMMYFUNCTION("""COMPUTED_VALUE"""),408.3)</f>
        <v>408.3</v>
      </c>
      <c r="C3937" s="2">
        <f>IFERROR(__xludf.DUMMYFUNCTION("""COMPUTED_VALUE"""),414.7)</f>
        <v>414.7</v>
      </c>
      <c r="D3937" s="2">
        <f>IFERROR(__xludf.DUMMYFUNCTION("""COMPUTED_VALUE"""),405.5)</f>
        <v>405.5</v>
      </c>
      <c r="E3937" s="2">
        <f>IFERROR(__xludf.DUMMYFUNCTION("""COMPUTED_VALUE"""),411.82)</f>
        <v>411.82</v>
      </c>
      <c r="F3937" s="2">
        <f>IFERROR(__xludf.DUMMYFUNCTION("""COMPUTED_VALUE"""),5.7912225E7)</f>
        <v>57912225</v>
      </c>
    </row>
    <row r="3938">
      <c r="A3938" s="3">
        <f>IFERROR(__xludf.DUMMYFUNCTION("""COMPUTED_VALUE"""),46076.66666666667)</f>
        <v>46076.66667</v>
      </c>
      <c r="B3938" s="2">
        <f>IFERROR(__xludf.DUMMYFUNCTION("""COMPUTED_VALUE"""),407.29)</f>
        <v>407.29</v>
      </c>
      <c r="C3938" s="2">
        <f>IFERROR(__xludf.DUMMYFUNCTION("""COMPUTED_VALUE"""),407.7)</f>
        <v>407.7</v>
      </c>
      <c r="D3938" s="2">
        <f>IFERROR(__xludf.DUMMYFUNCTION("""COMPUTED_VALUE"""),394.04)</f>
        <v>394.04</v>
      </c>
      <c r="E3938" s="2">
        <f>IFERROR(__xludf.DUMMYFUNCTION("""COMPUTED_VALUE"""),399.83)</f>
        <v>399.83</v>
      </c>
      <c r="F3938" s="2">
        <f>IFERROR(__xludf.DUMMYFUNCTION("""COMPUTED_VALUE"""),6.9118036E7)</f>
        <v>69118036</v>
      </c>
    </row>
    <row r="3939">
      <c r="A3939" s="3">
        <f>IFERROR(__xludf.DUMMYFUNCTION("""COMPUTED_VALUE"""),46077.66666666667)</f>
        <v>46077.66667</v>
      </c>
      <c r="B3939" s="2">
        <f>IFERROR(__xludf.DUMMYFUNCTION("""COMPUTED_VALUE"""),399.5)</f>
        <v>399.5</v>
      </c>
      <c r="C3939" s="2">
        <f>IFERROR(__xludf.DUMMYFUNCTION("""COMPUTED_VALUE"""),410.82)</f>
        <v>410.82</v>
      </c>
      <c r="D3939" s="2">
        <f>IFERROR(__xludf.DUMMYFUNCTION("""COMPUTED_VALUE"""),397.64)</f>
        <v>397.64</v>
      </c>
      <c r="E3939" s="2">
        <f>IFERROR(__xludf.DUMMYFUNCTION("""COMPUTED_VALUE"""),409.38)</f>
        <v>409.38</v>
      </c>
      <c r="F3939" s="2">
        <f>IFERROR(__xludf.DUMMYFUNCTION("""COMPUTED_VALUE"""),5.7626011E7)</f>
        <v>57626011</v>
      </c>
    </row>
    <row r="3940">
      <c r="A3940" s="3">
        <f>IFERROR(__xludf.DUMMYFUNCTION("""COMPUTED_VALUE"""),46078.66666666667)</f>
        <v>46078.66667</v>
      </c>
      <c r="B3940" s="2">
        <f>IFERROR(__xludf.DUMMYFUNCTION("""COMPUTED_VALUE"""),412.15)</f>
        <v>412.15</v>
      </c>
      <c r="C3940" s="2">
        <f>IFERROR(__xludf.DUMMYFUNCTION("""COMPUTED_VALUE"""),420.34)</f>
        <v>420.34</v>
      </c>
      <c r="D3940" s="2">
        <f>IFERROR(__xludf.DUMMYFUNCTION("""COMPUTED_VALUE"""),412.15)</f>
        <v>412.15</v>
      </c>
      <c r="E3940" s="2">
        <f>IFERROR(__xludf.DUMMYFUNCTION("""COMPUTED_VALUE"""),417.4)</f>
        <v>417.4</v>
      </c>
      <c r="F3940" s="2">
        <f>IFERROR(__xludf.DUMMYFUNCTION("""COMPUTED_VALUE"""),5.3766486E7)</f>
        <v>53766486</v>
      </c>
    </row>
    <row r="3941">
      <c r="A3941" s="3">
        <f>IFERROR(__xludf.DUMMYFUNCTION("""COMPUTED_VALUE"""),46079.66666666667)</f>
        <v>46079.66667</v>
      </c>
      <c r="B3941" s="2">
        <f>IFERROR(__xludf.DUMMYFUNCTION("""COMPUTED_VALUE"""),414.42)</f>
        <v>414.42</v>
      </c>
      <c r="C3941" s="2">
        <f>IFERROR(__xludf.DUMMYFUNCTION("""COMPUTED_VALUE"""),416.81)</f>
        <v>416.81</v>
      </c>
      <c r="D3941" s="2">
        <f>IFERROR(__xludf.DUMMYFUNCTION("""COMPUTED_VALUE"""),403.66)</f>
        <v>403.66</v>
      </c>
      <c r="E3941" s="2">
        <f>IFERROR(__xludf.DUMMYFUNCTION("""COMPUTED_VALUE"""),408.58)</f>
        <v>408.58</v>
      </c>
      <c r="F3941" s="2">
        <f>IFERROR(__xludf.DUMMYFUNCTION("""COMPUTED_VALUE"""),5.3208786E7)</f>
        <v>53208786</v>
      </c>
    </row>
    <row r="3942">
      <c r="A3942" s="3">
        <f>IFERROR(__xludf.DUMMYFUNCTION("""COMPUTED_VALUE"""),46080.66666666667)</f>
        <v>46080.66667</v>
      </c>
      <c r="B3942" s="2">
        <f>IFERROR(__xludf.DUMMYFUNCTION("""COMPUTED_VALUE"""),402.94)</f>
        <v>402.94</v>
      </c>
      <c r="C3942" s="2">
        <f>IFERROR(__xludf.DUMMYFUNCTION("""COMPUTED_VALUE"""),407.12)</f>
        <v>407.12</v>
      </c>
      <c r="D3942" s="2">
        <f>IFERROR(__xludf.DUMMYFUNCTION("""COMPUTED_VALUE"""),398.11)</f>
        <v>398.11</v>
      </c>
      <c r="E3942" s="2">
        <f>IFERROR(__xludf.DUMMYFUNCTION("""COMPUTED_VALUE"""),402.51)</f>
        <v>402.51</v>
      </c>
      <c r="F3942" s="2">
        <f>IFERROR(__xludf.DUMMYFUNCTION("""COMPUTED_VALUE"""),5.6512409E7)</f>
        <v>56512409</v>
      </c>
    </row>
    <row r="3943">
      <c r="A3943" s="3">
        <f>IFERROR(__xludf.DUMMYFUNCTION("""COMPUTED_VALUE"""),46083.66666666667)</f>
        <v>46083.66667</v>
      </c>
      <c r="B3943" s="2">
        <f>IFERROR(__xludf.DUMMYFUNCTION("""COMPUTED_VALUE"""),390.6)</f>
        <v>390.6</v>
      </c>
      <c r="C3943" s="2">
        <f>IFERROR(__xludf.DUMMYFUNCTION("""COMPUTED_VALUE"""),404.54)</f>
        <v>404.54</v>
      </c>
      <c r="D3943" s="2">
        <f>IFERROR(__xludf.DUMMYFUNCTION("""COMPUTED_VALUE"""),388.25)</f>
        <v>388.25</v>
      </c>
      <c r="E3943" s="2">
        <f>IFERROR(__xludf.DUMMYFUNCTION("""COMPUTED_VALUE"""),403.32)</f>
        <v>403.32</v>
      </c>
      <c r="F3943" s="2">
        <f>IFERROR(__xludf.DUMMYFUNCTION("""COMPUTED_VALUE"""),5.4451656E7)</f>
        <v>54451656</v>
      </c>
    </row>
    <row r="3944">
      <c r="A3944" s="3">
        <f>IFERROR(__xludf.DUMMYFUNCTION("""COMPUTED_VALUE"""),46084.66666666667)</f>
        <v>46084.66667</v>
      </c>
      <c r="B3944" s="2">
        <f>IFERROR(__xludf.DUMMYFUNCTION("""COMPUTED_VALUE"""),395.09)</f>
        <v>395.09</v>
      </c>
      <c r="C3944" s="2">
        <f>IFERROR(__xludf.DUMMYFUNCTION("""COMPUTED_VALUE"""),396.34)</f>
        <v>396.34</v>
      </c>
      <c r="D3944" s="2">
        <f>IFERROR(__xludf.DUMMYFUNCTION("""COMPUTED_VALUE"""),385.39)</f>
        <v>385.39</v>
      </c>
      <c r="E3944" s="2">
        <f>IFERROR(__xludf.DUMMYFUNCTION("""COMPUTED_VALUE"""),392.43)</f>
        <v>392.43</v>
      </c>
      <c r="F3944" s="2">
        <f>IFERROR(__xludf.DUMMYFUNCTION("""COMPUTED_VALUE"""),6.2111287E7)</f>
        <v>62111287</v>
      </c>
    </row>
    <row r="3945">
      <c r="A3945" s="3">
        <f>IFERROR(__xludf.DUMMYFUNCTION("""COMPUTED_VALUE"""),46085.66666666667)</f>
        <v>46085.66667</v>
      </c>
      <c r="B3945" s="2">
        <f>IFERROR(__xludf.DUMMYFUNCTION("""COMPUTED_VALUE"""),397.85)</f>
        <v>397.85</v>
      </c>
      <c r="C3945" s="2">
        <f>IFERROR(__xludf.DUMMYFUNCTION("""COMPUTED_VALUE"""),408.33)</f>
        <v>408.33</v>
      </c>
      <c r="D3945" s="2">
        <f>IFERROR(__xludf.DUMMYFUNCTION("""COMPUTED_VALUE"""),394.58)</f>
        <v>394.58</v>
      </c>
      <c r="E3945" s="2">
        <f>IFERROR(__xludf.DUMMYFUNCTION("""COMPUTED_VALUE"""),405.94)</f>
        <v>405.94</v>
      </c>
      <c r="F3945" s="2">
        <f>IFERROR(__xludf.DUMMYFUNCTION("""COMPUTED_VALUE"""),6.7195416E7)</f>
        <v>67195416</v>
      </c>
    </row>
    <row r="3946">
      <c r="A3946" s="3">
        <f>IFERROR(__xludf.DUMMYFUNCTION("""COMPUTED_VALUE"""),46086.66666666667)</f>
        <v>46086.66667</v>
      </c>
      <c r="B3946" s="2">
        <f>IFERROR(__xludf.DUMMYFUNCTION("""COMPUTED_VALUE"""),401.57)</f>
        <v>401.57</v>
      </c>
      <c r="C3946" s="2">
        <f>IFERROR(__xludf.DUMMYFUNCTION("""COMPUTED_VALUE"""),408.62)</f>
        <v>408.62</v>
      </c>
      <c r="D3946" s="2">
        <f>IFERROR(__xludf.DUMMYFUNCTION("""COMPUTED_VALUE"""),399.42)</f>
        <v>399.42</v>
      </c>
      <c r="E3946" s="2">
        <f>IFERROR(__xludf.DUMMYFUNCTION("""COMPUTED_VALUE"""),405.55)</f>
        <v>405.55</v>
      </c>
      <c r="F3946" s="2">
        <f>IFERROR(__xludf.DUMMYFUNCTION("""COMPUTED_VALUE"""),5.1515619E7)</f>
        <v>51515619</v>
      </c>
    </row>
    <row r="3947">
      <c r="A3947" s="3">
        <f>IFERROR(__xludf.DUMMYFUNCTION("""COMPUTED_VALUE"""),46087.66666666667)</f>
        <v>46087.66667</v>
      </c>
      <c r="B3947" s="2">
        <f>IFERROR(__xludf.DUMMYFUNCTION("""COMPUTED_VALUE"""),398.09)</f>
        <v>398.09</v>
      </c>
      <c r="C3947" s="2">
        <f>IFERROR(__xludf.DUMMYFUNCTION("""COMPUTED_VALUE"""),402.35)</f>
        <v>402.35</v>
      </c>
      <c r="D3947" s="2">
        <f>IFERROR(__xludf.DUMMYFUNCTION("""COMPUTED_VALUE"""),394.21)</f>
        <v>394.21</v>
      </c>
      <c r="E3947" s="2">
        <f>IFERROR(__xludf.DUMMYFUNCTION("""COMPUTED_VALUE"""),396.73)</f>
        <v>396.73</v>
      </c>
      <c r="F3947" s="2">
        <f>IFERROR(__xludf.DUMMYFUNCTION("""COMPUTED_VALUE"""),6.3542719E7)</f>
        <v>63542719</v>
      </c>
    </row>
    <row r="3948">
      <c r="A3948" s="3">
        <f>IFERROR(__xludf.DUMMYFUNCTION("""COMPUTED_VALUE"""),46090.66666666667)</f>
        <v>46090.66667</v>
      </c>
      <c r="B3948" s="2">
        <f>IFERROR(__xludf.DUMMYFUNCTION("""COMPUTED_VALUE"""),390.05)</f>
        <v>390.05</v>
      </c>
      <c r="C3948" s="2">
        <f>IFERROR(__xludf.DUMMYFUNCTION("""COMPUTED_VALUE"""),401.59)</f>
        <v>401.59</v>
      </c>
      <c r="D3948" s="2">
        <f>IFERROR(__xludf.DUMMYFUNCTION("""COMPUTED_VALUE"""),381.4)</f>
        <v>381.4</v>
      </c>
      <c r="E3948" s="2">
        <f>IFERROR(__xludf.DUMMYFUNCTION("""COMPUTED_VALUE"""),398.68)</f>
        <v>398.68</v>
      </c>
      <c r="F3948" s="2">
        <f>IFERROR(__xludf.DUMMYFUNCTION("""COMPUTED_VALUE"""),6.6460628E7)</f>
        <v>66460628</v>
      </c>
    </row>
    <row r="3949">
      <c r="A3949" s="3">
        <f>IFERROR(__xludf.DUMMYFUNCTION("""COMPUTED_VALUE"""),46091.66666666667)</f>
        <v>46091.66667</v>
      </c>
      <c r="B3949" s="2">
        <f>IFERROR(__xludf.DUMMYFUNCTION("""COMPUTED_VALUE"""),402.22)</f>
        <v>402.22</v>
      </c>
      <c r="C3949" s="2">
        <f>IFERROR(__xludf.DUMMYFUNCTION("""COMPUTED_VALUE"""),406.59)</f>
        <v>406.59</v>
      </c>
      <c r="D3949" s="2">
        <f>IFERROR(__xludf.DUMMYFUNCTION("""COMPUTED_VALUE"""),398.19)</f>
        <v>398.19</v>
      </c>
      <c r="E3949" s="2">
        <f>IFERROR(__xludf.DUMMYFUNCTION("""COMPUTED_VALUE"""),399.24)</f>
        <v>399.24</v>
      </c>
      <c r="F3949" s="2">
        <f>IFERROR(__xludf.DUMMYFUNCTION("""COMPUTED_VALUE"""),5.9007038E7)</f>
        <v>59007038</v>
      </c>
    </row>
    <row r="3950">
      <c r="A3950" s="3">
        <f>IFERROR(__xludf.DUMMYFUNCTION("""COMPUTED_VALUE"""),46092.66666666667)</f>
        <v>46092.66667</v>
      </c>
      <c r="B3950" s="2">
        <f>IFERROR(__xludf.DUMMYFUNCTION("""COMPUTED_VALUE"""),402.28)</f>
        <v>402.28</v>
      </c>
      <c r="C3950" s="2">
        <f>IFERROR(__xludf.DUMMYFUNCTION("""COMPUTED_VALUE"""),416.38)</f>
        <v>416.38</v>
      </c>
      <c r="D3950" s="2">
        <f>IFERROR(__xludf.DUMMYFUNCTION("""COMPUTED_VALUE"""),402.15)</f>
        <v>402.15</v>
      </c>
      <c r="E3950" s="2">
        <f>IFERROR(__xludf.DUMMYFUNCTION("""COMPUTED_VALUE"""),407.82)</f>
        <v>407.82</v>
      </c>
      <c r="F3950" s="2">
        <f>IFERROR(__xludf.DUMMYFUNCTION("""COMPUTED_VALUE"""),6.255993E7)</f>
        <v>62559930</v>
      </c>
    </row>
    <row r="3951">
      <c r="A3951" s="3">
        <f>IFERROR(__xludf.DUMMYFUNCTION("""COMPUTED_VALUE"""),46093.66666666667)</f>
        <v>46093.66667</v>
      </c>
      <c r="B3951" s="2">
        <f>IFERROR(__xludf.DUMMYFUNCTION("""COMPUTED_VALUE"""),405.18)</f>
        <v>405.18</v>
      </c>
      <c r="C3951" s="2">
        <f>IFERROR(__xludf.DUMMYFUNCTION("""COMPUTED_VALUE"""),406.5)</f>
        <v>406.5</v>
      </c>
      <c r="D3951" s="2">
        <f>IFERROR(__xludf.DUMMYFUNCTION("""COMPUTED_VALUE"""),394.65)</f>
        <v>394.65</v>
      </c>
      <c r="E3951" s="2">
        <f>IFERROR(__xludf.DUMMYFUNCTION("""COMPUTED_VALUE"""),395.01)</f>
        <v>395.01</v>
      </c>
      <c r="F3951" s="2">
        <f>IFERROR(__xludf.DUMMYFUNCTION("""COMPUTED_VALUE"""),6.0973793E7)</f>
        <v>60973793</v>
      </c>
    </row>
    <row r="3952">
      <c r="A3952" s="3">
        <f>IFERROR(__xludf.DUMMYFUNCTION("""COMPUTED_VALUE"""),46094.66666666667)</f>
        <v>46094.66667</v>
      </c>
      <c r="B3952" s="2">
        <f>IFERROR(__xludf.DUMMYFUNCTION("""COMPUTED_VALUE"""),399.17)</f>
        <v>399.17</v>
      </c>
      <c r="C3952" s="2">
        <f>IFERROR(__xludf.DUMMYFUNCTION("""COMPUTED_VALUE"""),400.2)</f>
        <v>400.2</v>
      </c>
      <c r="D3952" s="2">
        <f>IFERROR(__xludf.DUMMYFUNCTION("""COMPUTED_VALUE"""),389.95)</f>
        <v>389.95</v>
      </c>
      <c r="E3952" s="2">
        <f>IFERROR(__xludf.DUMMYFUNCTION("""COMPUTED_VALUE"""),391.2)</f>
        <v>391.2</v>
      </c>
      <c r="F3952" s="2">
        <f>IFERROR(__xludf.DUMMYFUNCTION("""COMPUTED_VALUE"""),5.8504091E7)</f>
        <v>58504091</v>
      </c>
    </row>
    <row r="3953">
      <c r="A3953" s="3">
        <f>IFERROR(__xludf.DUMMYFUNCTION("""COMPUTED_VALUE"""),46097.66666666667)</f>
        <v>46097.66667</v>
      </c>
      <c r="B3953" s="2">
        <f>IFERROR(__xludf.DUMMYFUNCTION("""COMPUTED_VALUE"""),396.22)</f>
        <v>396.22</v>
      </c>
      <c r="C3953" s="2">
        <f>IFERROR(__xludf.DUMMYFUNCTION("""COMPUTED_VALUE"""),403.73)</f>
        <v>403.73</v>
      </c>
      <c r="D3953" s="2">
        <f>IFERROR(__xludf.DUMMYFUNCTION("""COMPUTED_VALUE"""),394.42)</f>
        <v>394.42</v>
      </c>
      <c r="E3953" s="2">
        <f>IFERROR(__xludf.DUMMYFUNCTION("""COMPUTED_VALUE"""),395.56)</f>
        <v>395.56</v>
      </c>
      <c r="F3953" s="2">
        <f>IFERROR(__xludf.DUMMYFUNCTION("""COMPUTED_VALUE"""),5.8068344E7)</f>
        <v>58068344</v>
      </c>
    </row>
    <row r="3954">
      <c r="A3954" s="3">
        <f>IFERROR(__xludf.DUMMYFUNCTION("""COMPUTED_VALUE"""),46098.66666666667)</f>
        <v>46098.66667</v>
      </c>
      <c r="B3954" s="2">
        <f>IFERROR(__xludf.DUMMYFUNCTION("""COMPUTED_VALUE"""),395.69)</f>
        <v>395.69</v>
      </c>
      <c r="C3954" s="2">
        <f>IFERROR(__xludf.DUMMYFUNCTION("""COMPUTED_VALUE"""),400.12)</f>
        <v>400.12</v>
      </c>
      <c r="D3954" s="2">
        <f>IFERROR(__xludf.DUMMYFUNCTION("""COMPUTED_VALUE"""),393.0)</f>
        <v>393</v>
      </c>
      <c r="E3954" s="2">
        <f>IFERROR(__xludf.DUMMYFUNCTION("""COMPUTED_VALUE"""),399.27)</f>
        <v>399.27</v>
      </c>
      <c r="F3954" s="2">
        <f>IFERROR(__xludf.DUMMYFUNCTION("""COMPUTED_VALUE"""),4.6890468E7)</f>
        <v>46890468</v>
      </c>
    </row>
    <row r="3955">
      <c r="A3955" s="3">
        <f>IFERROR(__xludf.DUMMYFUNCTION("""COMPUTED_VALUE"""),46099.66666666667)</f>
        <v>46099.66667</v>
      </c>
      <c r="B3955" s="2">
        <f>IFERROR(__xludf.DUMMYFUNCTION("""COMPUTED_VALUE"""),399.0)</f>
        <v>399</v>
      </c>
      <c r="C3955" s="2">
        <f>IFERROR(__xludf.DUMMYFUNCTION("""COMPUTED_VALUE"""),403.07)</f>
        <v>403.07</v>
      </c>
      <c r="D3955" s="2">
        <f>IFERROR(__xludf.DUMMYFUNCTION("""COMPUTED_VALUE"""),392.31)</f>
        <v>392.31</v>
      </c>
      <c r="E3955" s="2">
        <f>IFERROR(__xludf.DUMMYFUNCTION("""COMPUTED_VALUE"""),392.78)</f>
        <v>392.78</v>
      </c>
      <c r="F3955" s="2">
        <f>IFERROR(__xludf.DUMMYFUNCTION("""COMPUTED_VALUE"""),5.085315E7)</f>
        <v>50853150</v>
      </c>
    </row>
    <row r="3956">
      <c r="A3956" s="3">
        <f>IFERROR(__xludf.DUMMYFUNCTION("""COMPUTED_VALUE"""),46100.66666666667)</f>
        <v>46100.66667</v>
      </c>
      <c r="B3956" s="2">
        <f>IFERROR(__xludf.DUMMYFUNCTION("""COMPUTED_VALUE"""),387.27)</f>
        <v>387.27</v>
      </c>
      <c r="C3956" s="2">
        <f>IFERROR(__xludf.DUMMYFUNCTION("""COMPUTED_VALUE"""),387.27)</f>
        <v>387.27</v>
      </c>
      <c r="D3956" s="2">
        <f>IFERROR(__xludf.DUMMYFUNCTION("""COMPUTED_VALUE"""),378.73)</f>
        <v>378.73</v>
      </c>
      <c r="E3956" s="2">
        <f>IFERROR(__xludf.DUMMYFUNCTION("""COMPUTED_VALUE"""),380.3)</f>
        <v>380.3</v>
      </c>
      <c r="F3956" s="2">
        <f>IFERROR(__xludf.DUMMYFUNCTION("""COMPUTED_VALUE"""),6.707826E7)</f>
        <v>67078260</v>
      </c>
    </row>
    <row r="3957">
      <c r="A3957" s="3">
        <f>IFERROR(__xludf.DUMMYFUNCTION("""COMPUTED_VALUE"""),46101.66666666667)</f>
        <v>46101.66667</v>
      </c>
      <c r="B3957" s="2">
        <f>IFERROR(__xludf.DUMMYFUNCTION("""COMPUTED_VALUE"""),379.85)</f>
        <v>379.85</v>
      </c>
      <c r="C3957" s="2">
        <f>IFERROR(__xludf.DUMMYFUNCTION("""COMPUTED_VALUE"""),379.89)</f>
        <v>379.89</v>
      </c>
      <c r="D3957" s="2">
        <f>IFERROR(__xludf.DUMMYFUNCTION("""COMPUTED_VALUE"""),364.46)</f>
        <v>364.46</v>
      </c>
      <c r="E3957" s="2">
        <f>IFERROR(__xludf.DUMMYFUNCTION("""COMPUTED_VALUE"""),367.96)</f>
        <v>367.96</v>
      </c>
      <c r="F3957" s="2">
        <f>IFERROR(__xludf.DUMMYFUNCTION("""COMPUTED_VALUE"""),7.8628604E7)</f>
        <v>78628604</v>
      </c>
    </row>
    <row r="3958">
      <c r="A3958" s="3">
        <f>IFERROR(__xludf.DUMMYFUNCTION("""COMPUTED_VALUE"""),46104.66666666667)</f>
        <v>46104.66667</v>
      </c>
      <c r="B3958" s="2">
        <f>IFERROR(__xludf.DUMMYFUNCTION("""COMPUTED_VALUE"""),373.09)</f>
        <v>373.09</v>
      </c>
      <c r="C3958" s="2">
        <f>IFERROR(__xludf.DUMMYFUNCTION("""COMPUTED_VALUE"""),385.33)</f>
        <v>385.33</v>
      </c>
      <c r="D3958" s="2">
        <f>IFERROR(__xludf.DUMMYFUNCTION("""COMPUTED_VALUE"""),372.73)</f>
        <v>372.73</v>
      </c>
      <c r="E3958" s="2">
        <f>IFERROR(__xludf.DUMMYFUNCTION("""COMPUTED_VALUE"""),380.85)</f>
        <v>380.85</v>
      </c>
      <c r="F3958" s="2">
        <f>IFERROR(__xludf.DUMMYFUNCTION("""COMPUTED_VALUE"""),7.4606049E7)</f>
        <v>74606049</v>
      </c>
    </row>
    <row r="3959">
      <c r="A3959" s="3">
        <f>IFERROR(__xludf.DUMMYFUNCTION("""COMPUTED_VALUE"""),46105.66666666667)</f>
        <v>46105.66667</v>
      </c>
      <c r="B3959" s="2">
        <f>IFERROR(__xludf.DUMMYFUNCTION("""COMPUTED_VALUE"""),376.56)</f>
        <v>376.56</v>
      </c>
      <c r="C3959" s="2">
        <f>IFERROR(__xludf.DUMMYFUNCTION("""COMPUTED_VALUE"""),387.48)</f>
        <v>387.48</v>
      </c>
      <c r="D3959" s="2">
        <f>IFERROR(__xludf.DUMMYFUNCTION("""COMPUTED_VALUE"""),376.31)</f>
        <v>376.31</v>
      </c>
      <c r="E3959" s="2">
        <f>IFERROR(__xludf.DUMMYFUNCTION("""COMPUTED_VALUE"""),383.03)</f>
        <v>383.03</v>
      </c>
      <c r="F3959" s="2">
        <f>IFERROR(__xludf.DUMMYFUNCTION("""COMPUTED_VALUE"""),6.0004909E7)</f>
        <v>60004909</v>
      </c>
    </row>
    <row r="3960">
      <c r="A3960" s="3">
        <f>IFERROR(__xludf.DUMMYFUNCTION("""COMPUTED_VALUE"""),46106.66666666667)</f>
        <v>46106.66667</v>
      </c>
      <c r="B3960" s="2">
        <f>IFERROR(__xludf.DUMMYFUNCTION("""COMPUTED_VALUE"""),389.99)</f>
        <v>389.99</v>
      </c>
      <c r="C3960" s="2">
        <f>IFERROR(__xludf.DUMMYFUNCTION("""COMPUTED_VALUE"""),396.23)</f>
        <v>396.23</v>
      </c>
      <c r="D3960" s="2">
        <f>IFERROR(__xludf.DUMMYFUNCTION("""COMPUTED_VALUE"""),385.01)</f>
        <v>385.01</v>
      </c>
      <c r="E3960" s="2">
        <f>IFERROR(__xludf.DUMMYFUNCTION("""COMPUTED_VALUE"""),385.95)</f>
        <v>385.95</v>
      </c>
      <c r="F3960" s="2">
        <f>IFERROR(__xludf.DUMMYFUNCTION("""COMPUTED_VALUE"""),5.5157266E7)</f>
        <v>55157266</v>
      </c>
    </row>
    <row r="3961">
      <c r="A3961" s="3">
        <f>IFERROR(__xludf.DUMMYFUNCTION("""COMPUTED_VALUE"""),46107.66666666667)</f>
        <v>46107.66667</v>
      </c>
      <c r="B3961" s="2">
        <f>IFERROR(__xludf.DUMMYFUNCTION("""COMPUTED_VALUE"""),381.6)</f>
        <v>381.6</v>
      </c>
      <c r="C3961" s="2">
        <f>IFERROR(__xludf.DUMMYFUNCTION("""COMPUTED_VALUE"""),384.44)</f>
        <v>384.44</v>
      </c>
      <c r="D3961" s="2">
        <f>IFERROR(__xludf.DUMMYFUNCTION("""COMPUTED_VALUE"""),371.87)</f>
        <v>371.87</v>
      </c>
      <c r="E3961" s="2">
        <f>IFERROR(__xludf.DUMMYFUNCTION("""COMPUTED_VALUE"""),372.11)</f>
        <v>372.11</v>
      </c>
      <c r="F3961" s="2">
        <f>IFERROR(__xludf.DUMMYFUNCTION("""COMPUTED_VALUE"""),5.552288E7)</f>
        <v>55522880</v>
      </c>
    </row>
    <row r="3962">
      <c r="A3962" s="3">
        <f>IFERROR(__xludf.DUMMYFUNCTION("""COMPUTED_VALUE"""),46108.66666666667)</f>
        <v>46108.66667</v>
      </c>
      <c r="B3962" s="2">
        <f>IFERROR(__xludf.DUMMYFUNCTION("""COMPUTED_VALUE"""),369.69)</f>
        <v>369.69</v>
      </c>
      <c r="C3962" s="2">
        <f>IFERROR(__xludf.DUMMYFUNCTION("""COMPUTED_VALUE"""),369.86)</f>
        <v>369.86</v>
      </c>
      <c r="D3962" s="2">
        <f>IFERROR(__xludf.DUMMYFUNCTION("""COMPUTED_VALUE"""),359.47)</f>
        <v>359.47</v>
      </c>
      <c r="E3962" s="2">
        <f>IFERROR(__xludf.DUMMYFUNCTION("""COMPUTED_VALUE"""),361.83)</f>
        <v>361.83</v>
      </c>
      <c r="F3962" s="2">
        <f>IFERROR(__xludf.DUMMYFUNCTION("""COMPUTED_VALUE"""),6.2065659E7)</f>
        <v>62065659</v>
      </c>
    </row>
    <row r="3963">
      <c r="A3963" s="3">
        <f>IFERROR(__xludf.DUMMYFUNCTION("""COMPUTED_VALUE"""),46111.66666666667)</f>
        <v>46111.66667</v>
      </c>
      <c r="B3963" s="2">
        <f>IFERROR(__xludf.DUMMYFUNCTION("""COMPUTED_VALUE"""),365.86)</f>
        <v>365.86</v>
      </c>
      <c r="C3963" s="2">
        <f>IFERROR(__xludf.DUMMYFUNCTION("""COMPUTED_VALUE"""),367.29)</f>
        <v>367.29</v>
      </c>
      <c r="D3963" s="2">
        <f>IFERROR(__xludf.DUMMYFUNCTION("""COMPUTED_VALUE"""),352.14)</f>
        <v>352.14</v>
      </c>
      <c r="E3963" s="2">
        <f>IFERROR(__xludf.DUMMYFUNCTION("""COMPUTED_VALUE"""),355.28)</f>
        <v>355.28</v>
      </c>
      <c r="F3963" s="2">
        <f>IFERROR(__xludf.DUMMYFUNCTION("""COMPUTED_VALUE"""),6.7954406E7)</f>
        <v>67954406</v>
      </c>
    </row>
    <row r="3964">
      <c r="A3964" s="3">
        <f>IFERROR(__xludf.DUMMYFUNCTION("""COMPUTED_VALUE"""),46112.66666666667)</f>
        <v>46112.66667</v>
      </c>
      <c r="B3964" s="2">
        <f>IFERROR(__xludf.DUMMYFUNCTION("""COMPUTED_VALUE"""),361.51)</f>
        <v>361.51</v>
      </c>
      <c r="C3964" s="2">
        <f>IFERROR(__xludf.DUMMYFUNCTION("""COMPUTED_VALUE"""),373.33)</f>
        <v>373.33</v>
      </c>
      <c r="D3964" s="2">
        <f>IFERROR(__xludf.DUMMYFUNCTION("""COMPUTED_VALUE"""),361.0)</f>
        <v>361</v>
      </c>
      <c r="E3964" s="2">
        <f>IFERROR(__xludf.DUMMYFUNCTION("""COMPUTED_VALUE"""),371.75)</f>
        <v>371.75</v>
      </c>
      <c r="F3964" s="2">
        <f>IFERROR(__xludf.DUMMYFUNCTION("""COMPUTED_VALUE"""),7.5534935E7)</f>
        <v>75534935</v>
      </c>
    </row>
    <row r="3965">
      <c r="A3965" s="3">
        <f>IFERROR(__xludf.DUMMYFUNCTION("""COMPUTED_VALUE"""),46113.66666666667)</f>
        <v>46113.66667</v>
      </c>
      <c r="B3965" s="2">
        <f>IFERROR(__xludf.DUMMYFUNCTION("""COMPUTED_VALUE"""),378.63)</f>
        <v>378.63</v>
      </c>
      <c r="C3965" s="2">
        <f>IFERROR(__xludf.DUMMYFUNCTION("""COMPUTED_VALUE"""),383.14)</f>
        <v>383.14</v>
      </c>
      <c r="D3965" s="2">
        <f>IFERROR(__xludf.DUMMYFUNCTION("""COMPUTED_VALUE"""),374.08)</f>
        <v>374.08</v>
      </c>
      <c r="E3965" s="2">
        <f>IFERROR(__xludf.DUMMYFUNCTION("""COMPUTED_VALUE"""),381.26)</f>
        <v>381.26</v>
      </c>
      <c r="F3965" s="2">
        <f>IFERROR(__xludf.DUMMYFUNCTION("""COMPUTED_VALUE"""),5.8683753E7)</f>
        <v>58683753</v>
      </c>
    </row>
    <row r="3966">
      <c r="A3966" s="3">
        <f>IFERROR(__xludf.DUMMYFUNCTION("""COMPUTED_VALUE"""),46114.66666666667)</f>
        <v>46114.66667</v>
      </c>
      <c r="B3966" s="2">
        <f>IFERROR(__xludf.DUMMYFUNCTION("""COMPUTED_VALUE"""),364.2)</f>
        <v>364.2</v>
      </c>
      <c r="C3966" s="2">
        <f>IFERROR(__xludf.DUMMYFUNCTION("""COMPUTED_VALUE"""),370.28)</f>
        <v>370.28</v>
      </c>
      <c r="D3966" s="2">
        <f>IFERROR(__xludf.DUMMYFUNCTION("""COMPUTED_VALUE"""),359.03)</f>
        <v>359.03</v>
      </c>
      <c r="E3966" s="2">
        <f>IFERROR(__xludf.DUMMYFUNCTION("""COMPUTED_VALUE"""),360.59)</f>
        <v>360.59</v>
      </c>
      <c r="F3966" s="2">
        <f>IFERROR(__xludf.DUMMYFUNCTION("""COMPUTED_VALUE"""),8.3031226E7)</f>
        <v>83031226</v>
      </c>
    </row>
    <row r="3967">
      <c r="A3967" s="3">
        <f>IFERROR(__xludf.DUMMYFUNCTION("""COMPUTED_VALUE"""),46118.66666666667)</f>
        <v>46118.66667</v>
      </c>
      <c r="B3967" s="2">
        <f>IFERROR(__xludf.DUMMYFUNCTION("""COMPUTED_VALUE"""),362.59)</f>
        <v>362.59</v>
      </c>
      <c r="C3967" s="2">
        <f>IFERROR(__xludf.DUMMYFUNCTION("""COMPUTED_VALUE"""),367.72)</f>
        <v>367.72</v>
      </c>
      <c r="D3967" s="2">
        <f>IFERROR(__xludf.DUMMYFUNCTION("""COMPUTED_VALUE"""),346.64)</f>
        <v>346.64</v>
      </c>
      <c r="E3967" s="2">
        <f>IFERROR(__xludf.DUMMYFUNCTION("""COMPUTED_VALUE"""),352.82)</f>
        <v>352.82</v>
      </c>
      <c r="F3967" s="2">
        <f>IFERROR(__xludf.DUMMYFUNCTION("""COMPUTED_VALUE"""),7.7697643E7)</f>
        <v>77697643</v>
      </c>
    </row>
    <row r="3968">
      <c r="A3968" s="3">
        <f>IFERROR(__xludf.DUMMYFUNCTION("""COMPUTED_VALUE"""),46119.66666666667)</f>
        <v>46119.66667</v>
      </c>
      <c r="B3968" s="2">
        <f>IFERROR(__xludf.DUMMYFUNCTION("""COMPUTED_VALUE"""),346.44)</f>
        <v>346.44</v>
      </c>
      <c r="C3968" s="2">
        <f>IFERROR(__xludf.DUMMYFUNCTION("""COMPUTED_VALUE"""),348.02)</f>
        <v>348.02</v>
      </c>
      <c r="D3968" s="2">
        <f>IFERROR(__xludf.DUMMYFUNCTION("""COMPUTED_VALUE"""),337.24)</f>
        <v>337.24</v>
      </c>
      <c r="E3968" s="2">
        <f>IFERROR(__xludf.DUMMYFUNCTION("""COMPUTED_VALUE"""),346.65)</f>
        <v>346.65</v>
      </c>
      <c r="F3968" s="2">
        <f>IFERROR(__xludf.DUMMYFUNCTION("""COMPUTED_VALUE"""),7.4515356E7)</f>
        <v>74515356</v>
      </c>
    </row>
    <row r="3969">
      <c r="A3969" s="3">
        <f>IFERROR(__xludf.DUMMYFUNCTION("""COMPUTED_VALUE"""),46120.66666666667)</f>
        <v>46120.66667</v>
      </c>
      <c r="B3969" s="2">
        <f>IFERROR(__xludf.DUMMYFUNCTION("""COMPUTED_VALUE"""),363.79)</f>
        <v>363.79</v>
      </c>
      <c r="C3969" s="2">
        <f>IFERROR(__xludf.DUMMYFUNCTION("""COMPUTED_VALUE"""),364.5)</f>
        <v>364.5</v>
      </c>
      <c r="D3969" s="2">
        <f>IFERROR(__xludf.DUMMYFUNCTION("""COMPUTED_VALUE"""),339.67)</f>
        <v>339.67</v>
      </c>
      <c r="E3969" s="2">
        <f>IFERROR(__xludf.DUMMYFUNCTION("""COMPUTED_VALUE"""),343.25)</f>
        <v>343.25</v>
      </c>
      <c r="F3969" s="2">
        <f>IFERROR(__xludf.DUMMYFUNCTION("""COMPUTED_VALUE"""),7.8838617E7)</f>
        <v>78838617</v>
      </c>
    </row>
    <row r="3970">
      <c r="A3970" s="3">
        <f>IFERROR(__xludf.DUMMYFUNCTION("""COMPUTED_VALUE"""),46121.66666666667)</f>
        <v>46121.66667</v>
      </c>
      <c r="B3970" s="2">
        <f>IFERROR(__xludf.DUMMYFUNCTION("""COMPUTED_VALUE"""),343.15)</f>
        <v>343.15</v>
      </c>
      <c r="C3970" s="2">
        <f>IFERROR(__xludf.DUMMYFUNCTION("""COMPUTED_VALUE"""),348.88)</f>
        <v>348.88</v>
      </c>
      <c r="D3970" s="2">
        <f>IFERROR(__xludf.DUMMYFUNCTION("""COMPUTED_VALUE"""),337.25)</f>
        <v>337.25</v>
      </c>
      <c r="E3970" s="2">
        <f>IFERROR(__xludf.DUMMYFUNCTION("""COMPUTED_VALUE"""),345.62)</f>
        <v>345.62</v>
      </c>
      <c r="F3970" s="2">
        <f>IFERROR(__xludf.DUMMYFUNCTION("""COMPUTED_VALUE"""),6.2164017E7)</f>
        <v>62164017</v>
      </c>
    </row>
    <row r="3971">
      <c r="A3971" s="3">
        <f>IFERROR(__xludf.DUMMYFUNCTION("""COMPUTED_VALUE"""),46122.66666666667)</f>
        <v>46122.66667</v>
      </c>
      <c r="B3971" s="2">
        <f>IFERROR(__xludf.DUMMYFUNCTION("""COMPUTED_VALUE"""),346.29)</f>
        <v>346.29</v>
      </c>
      <c r="C3971" s="2">
        <f>IFERROR(__xludf.DUMMYFUNCTION("""COMPUTED_VALUE"""),350.36)</f>
        <v>350.36</v>
      </c>
      <c r="D3971" s="2">
        <f>IFERROR(__xludf.DUMMYFUNCTION("""COMPUTED_VALUE"""),342.74)</f>
        <v>342.74</v>
      </c>
      <c r="E3971" s="2">
        <f>IFERROR(__xludf.DUMMYFUNCTION("""COMPUTED_VALUE"""),348.95)</f>
        <v>348.95</v>
      </c>
      <c r="F3971" s="2">
        <f>IFERROR(__xludf.DUMMYFUNCTION("""COMPUTED_VALUE"""),5.1336035E7)</f>
        <v>51336035</v>
      </c>
    </row>
    <row r="3972">
      <c r="A3972" s="3">
        <f>IFERROR(__xludf.DUMMYFUNCTION("""COMPUTED_VALUE"""),46125.66666666667)</f>
        <v>46125.66667</v>
      </c>
      <c r="B3972" s="2">
        <f>IFERROR(__xludf.DUMMYFUNCTION("""COMPUTED_VALUE"""),350.07)</f>
        <v>350.07</v>
      </c>
      <c r="C3972" s="2">
        <f>IFERROR(__xludf.DUMMYFUNCTION("""COMPUTED_VALUE"""),356.35)</f>
        <v>356.35</v>
      </c>
      <c r="D3972" s="2">
        <f>IFERROR(__xludf.DUMMYFUNCTION("""COMPUTED_VALUE"""),348.57)</f>
        <v>348.57</v>
      </c>
      <c r="E3972" s="2">
        <f>IFERROR(__xludf.DUMMYFUNCTION("""COMPUTED_VALUE"""),352.42)</f>
        <v>352.42</v>
      </c>
      <c r="F3972" s="2">
        <f>IFERROR(__xludf.DUMMYFUNCTION("""COMPUTED_VALUE"""),5.3617478E7)</f>
        <v>53617478</v>
      </c>
    </row>
    <row r="3973">
      <c r="A3973" s="3">
        <f>IFERROR(__xludf.DUMMYFUNCTION("""COMPUTED_VALUE"""),46126.66666666667)</f>
        <v>46126.66667</v>
      </c>
      <c r="B3973" s="2">
        <f>IFERROR(__xludf.DUMMYFUNCTION("""COMPUTED_VALUE"""),357.67)</f>
        <v>357.67</v>
      </c>
      <c r="C3973" s="2">
        <f>IFERROR(__xludf.DUMMYFUNCTION("""COMPUTED_VALUE"""),367.63)</f>
        <v>367.63</v>
      </c>
      <c r="D3973" s="2">
        <f>IFERROR(__xludf.DUMMYFUNCTION("""COMPUTED_VALUE"""),354.77)</f>
        <v>354.77</v>
      </c>
      <c r="E3973" s="2">
        <f>IFERROR(__xludf.DUMMYFUNCTION("""COMPUTED_VALUE"""),364.2)</f>
        <v>364.2</v>
      </c>
      <c r="F3973" s="2">
        <f>IFERROR(__xludf.DUMMYFUNCTION("""COMPUTED_VALUE"""),5.9979607E7)</f>
        <v>59979607</v>
      </c>
    </row>
    <row r="3974">
      <c r="A3974" s="3">
        <f>IFERROR(__xludf.DUMMYFUNCTION("""COMPUTED_VALUE"""),46127.66666666667)</f>
        <v>46127.66667</v>
      </c>
      <c r="B3974" s="2">
        <f>IFERROR(__xludf.DUMMYFUNCTION("""COMPUTED_VALUE"""),366.83)</f>
        <v>366.83</v>
      </c>
      <c r="C3974" s="2">
        <f>IFERROR(__xludf.DUMMYFUNCTION("""COMPUTED_VALUE"""),394.65)</f>
        <v>394.65</v>
      </c>
      <c r="D3974" s="2">
        <f>IFERROR(__xludf.DUMMYFUNCTION("""COMPUTED_VALUE"""),362.5)</f>
        <v>362.5</v>
      </c>
      <c r="E3974" s="2">
        <f>IFERROR(__xludf.DUMMYFUNCTION("""COMPUTED_VALUE"""),391.95)</f>
        <v>391.95</v>
      </c>
      <c r="F3974" s="2">
        <f>IFERROR(__xludf.DUMMYFUNCTION("""COMPUTED_VALUE"""),1.13810356E8)</f>
        <v>113810356</v>
      </c>
    </row>
    <row r="3975">
      <c r="A3975" s="3">
        <f>IFERROR(__xludf.DUMMYFUNCTION("""COMPUTED_VALUE"""),46128.66666666667)</f>
        <v>46128.66667</v>
      </c>
      <c r="B3975" s="2">
        <f>IFERROR(__xludf.DUMMYFUNCTION("""COMPUTED_VALUE"""),393.81)</f>
        <v>393.81</v>
      </c>
      <c r="C3975" s="2">
        <f>IFERROR(__xludf.DUMMYFUNCTION("""COMPUTED_VALUE"""),394.06)</f>
        <v>394.06</v>
      </c>
      <c r="D3975" s="2">
        <f>IFERROR(__xludf.DUMMYFUNCTION("""COMPUTED_VALUE"""),381.8)</f>
        <v>381.8</v>
      </c>
      <c r="E3975" s="2">
        <f>IFERROR(__xludf.DUMMYFUNCTION("""COMPUTED_VALUE"""),388.9)</f>
        <v>388.9</v>
      </c>
      <c r="F3975" s="2">
        <f>IFERROR(__xludf.DUMMYFUNCTION("""COMPUTED_VALUE"""),6.3515136E7)</f>
        <v>63515136</v>
      </c>
    </row>
    <row r="3976">
      <c r="A3976" s="3">
        <f>IFERROR(__xludf.DUMMYFUNCTION("""COMPUTED_VALUE"""),46129.66666666667)</f>
        <v>46129.66667</v>
      </c>
      <c r="B3976" s="2">
        <f>IFERROR(__xludf.DUMMYFUNCTION("""COMPUTED_VALUE"""),395.92)</f>
        <v>395.92</v>
      </c>
      <c r="C3976" s="2">
        <f>IFERROR(__xludf.DUMMYFUNCTION("""COMPUTED_VALUE"""),409.28)</f>
        <v>409.28</v>
      </c>
      <c r="D3976" s="2">
        <f>IFERROR(__xludf.DUMMYFUNCTION("""COMPUTED_VALUE"""),391.65)</f>
        <v>391.65</v>
      </c>
      <c r="E3976" s="2">
        <f>IFERROR(__xludf.DUMMYFUNCTION("""COMPUTED_VALUE"""),400.62)</f>
        <v>400.62</v>
      </c>
      <c r="F3976" s="2">
        <f>IFERROR(__xludf.DUMMYFUNCTION("""COMPUTED_VALUE"""),9.0640032E7)</f>
        <v>90640032</v>
      </c>
    </row>
    <row r="3977">
      <c r="A3977" s="3">
        <f>IFERROR(__xludf.DUMMYFUNCTION("""COMPUTED_VALUE"""),46132.66666666667)</f>
        <v>46132.66667</v>
      </c>
      <c r="B3977" s="2">
        <f>IFERROR(__xludf.DUMMYFUNCTION("""COMPUTED_VALUE"""),402.58)</f>
        <v>402.58</v>
      </c>
      <c r="C3977" s="2">
        <f>IFERROR(__xludf.DUMMYFUNCTION("""COMPUTED_VALUE"""),406.8)</f>
        <v>406.8</v>
      </c>
      <c r="D3977" s="2">
        <f>IFERROR(__xludf.DUMMYFUNCTION("""COMPUTED_VALUE"""),388.33)</f>
        <v>388.33</v>
      </c>
      <c r="E3977" s="2">
        <f>IFERROR(__xludf.DUMMYFUNCTION("""COMPUTED_VALUE"""),392.5)</f>
        <v>392.5</v>
      </c>
      <c r="F3977" s="2">
        <f>IFERROR(__xludf.DUMMYFUNCTION("""COMPUTED_VALUE"""),6.4603869E7)</f>
        <v>64603869</v>
      </c>
    </row>
    <row r="3978">
      <c r="A3978" s="3">
        <f>IFERROR(__xludf.DUMMYFUNCTION("""COMPUTED_VALUE"""),46133.66666666667)</f>
        <v>46133.66667</v>
      </c>
      <c r="B3978" s="2">
        <f>IFERROR(__xludf.DUMMYFUNCTION("""COMPUTED_VALUE"""),393.0)</f>
        <v>393</v>
      </c>
      <c r="C3978" s="2">
        <f>IFERROR(__xludf.DUMMYFUNCTION("""COMPUTED_VALUE"""),393.95)</f>
        <v>393.95</v>
      </c>
      <c r="D3978" s="2">
        <f>IFERROR(__xludf.DUMMYFUNCTION("""COMPUTED_VALUE"""),385.22)</f>
        <v>385.22</v>
      </c>
      <c r="E3978" s="2">
        <f>IFERROR(__xludf.DUMMYFUNCTION("""COMPUTED_VALUE"""),386.42)</f>
        <v>386.42</v>
      </c>
      <c r="F3978" s="2">
        <f>IFERROR(__xludf.DUMMYFUNCTION("""COMPUTED_VALUE"""),5.0530612E7)</f>
        <v>50530612</v>
      </c>
    </row>
    <row r="3979">
      <c r="A3979" s="3">
        <f>IFERROR(__xludf.DUMMYFUNCTION("""COMPUTED_VALUE"""),46134.66666666667)</f>
        <v>46134.66667</v>
      </c>
      <c r="B3979" s="2">
        <f>IFERROR(__xludf.DUMMYFUNCTION("""COMPUTED_VALUE"""),387.57)</f>
        <v>387.57</v>
      </c>
      <c r="C3979" s="2">
        <f>IFERROR(__xludf.DUMMYFUNCTION("""COMPUTED_VALUE"""),393.01)</f>
        <v>393.01</v>
      </c>
      <c r="D3979" s="2">
        <f>IFERROR(__xludf.DUMMYFUNCTION("""COMPUTED_VALUE"""),385.3)</f>
        <v>385.3</v>
      </c>
      <c r="E3979" s="2">
        <f>IFERROR(__xludf.DUMMYFUNCTION("""COMPUTED_VALUE"""),387.51)</f>
        <v>387.51</v>
      </c>
      <c r="F3979" s="2">
        <f>IFERROR(__xludf.DUMMYFUNCTION("""COMPUTED_VALUE"""),6.2362786E7)</f>
        <v>62362786</v>
      </c>
    </row>
    <row r="3980">
      <c r="A3980" s="3">
        <f>IFERROR(__xludf.DUMMYFUNCTION("""COMPUTED_VALUE"""),46135.66666666667)</f>
        <v>46135.66667</v>
      </c>
      <c r="B3980" s="2">
        <f>IFERROR(__xludf.DUMMYFUNCTION("""COMPUTED_VALUE"""),375.28)</f>
        <v>375.28</v>
      </c>
      <c r="C3980" s="2">
        <f>IFERROR(__xludf.DUMMYFUNCTION("""COMPUTED_VALUE"""),386.0)</f>
        <v>386</v>
      </c>
      <c r="D3980" s="2">
        <f>IFERROR(__xludf.DUMMYFUNCTION("""COMPUTED_VALUE"""),368.39)</f>
        <v>368.39</v>
      </c>
      <c r="E3980" s="2">
        <f>IFERROR(__xludf.DUMMYFUNCTION("""COMPUTED_VALUE"""),373.72)</f>
        <v>373.72</v>
      </c>
      <c r="F3980" s="2">
        <f>IFERROR(__xludf.DUMMYFUNCTION("""COMPUTED_VALUE"""),9.396951E7)</f>
        <v>93969510</v>
      </c>
    </row>
    <row r="3981">
      <c r="A3981" s="3">
        <f>IFERROR(__xludf.DUMMYFUNCTION("""COMPUTED_VALUE"""),46136.66666666667)</f>
        <v>46136.66667</v>
      </c>
      <c r="B3981" s="2">
        <f>IFERROR(__xludf.DUMMYFUNCTION("""COMPUTED_VALUE"""),373.5)</f>
        <v>373.5</v>
      </c>
      <c r="C3981" s="2">
        <f>IFERROR(__xludf.DUMMYFUNCTION("""COMPUTED_VALUE"""),382.76)</f>
        <v>382.76</v>
      </c>
      <c r="D3981" s="2">
        <f>IFERROR(__xludf.DUMMYFUNCTION("""COMPUTED_VALUE"""),370.73)</f>
        <v>370.73</v>
      </c>
      <c r="E3981" s="2">
        <f>IFERROR(__xludf.DUMMYFUNCTION("""COMPUTED_VALUE"""),376.3)</f>
        <v>376.3</v>
      </c>
      <c r="F3981" s="2">
        <f>IFERROR(__xludf.DUMMYFUNCTION("""COMPUTED_VALUE"""),6.2893307E7)</f>
        <v>62893307</v>
      </c>
    </row>
    <row r="3982">
      <c r="A3982" s="3">
        <f>IFERROR(__xludf.DUMMYFUNCTION("""COMPUTED_VALUE"""),46139.66666666667)</f>
        <v>46139.66667</v>
      </c>
      <c r="B3982" s="2">
        <f>IFERROR(__xludf.DUMMYFUNCTION("""COMPUTED_VALUE"""),372.09)</f>
        <v>372.09</v>
      </c>
      <c r="C3982" s="2">
        <f>IFERROR(__xludf.DUMMYFUNCTION("""COMPUTED_VALUE"""),380.78)</f>
        <v>380.78</v>
      </c>
      <c r="D3982" s="2">
        <f>IFERROR(__xludf.DUMMYFUNCTION("""COMPUTED_VALUE"""),364.02)</f>
        <v>364.02</v>
      </c>
      <c r="E3982" s="2">
        <f>IFERROR(__xludf.DUMMYFUNCTION("""COMPUTED_VALUE"""),378.67)</f>
        <v>378.67</v>
      </c>
      <c r="F3982" s="2">
        <f>IFERROR(__xludf.DUMMYFUNCTION("""COMPUTED_VALUE"""),6.6735817E7)</f>
        <v>66735817</v>
      </c>
    </row>
    <row r="3983">
      <c r="A3983" s="3">
        <f>IFERROR(__xludf.DUMMYFUNCTION("""COMPUTED_VALUE"""),46140.66666666667)</f>
        <v>46140.66667</v>
      </c>
      <c r="B3983" s="2">
        <f>IFERROR(__xludf.DUMMYFUNCTION("""COMPUTED_VALUE"""),374.68)</f>
        <v>374.68</v>
      </c>
      <c r="C3983" s="2">
        <f>IFERROR(__xludf.DUMMYFUNCTION("""COMPUTED_VALUE"""),382.29)</f>
        <v>382.29</v>
      </c>
      <c r="D3983" s="2">
        <f>IFERROR(__xludf.DUMMYFUNCTION("""COMPUTED_VALUE"""),372.54)</f>
        <v>372.54</v>
      </c>
      <c r="E3983" s="2">
        <f>IFERROR(__xludf.DUMMYFUNCTION("""COMPUTED_VALUE"""),376.02)</f>
        <v>376.02</v>
      </c>
      <c r="F3983" s="2">
        <f>IFERROR(__xludf.DUMMYFUNCTION("""COMPUTED_VALUE"""),5.0864357E7)</f>
        <v>50864357</v>
      </c>
    </row>
    <row r="3984">
      <c r="A3984" s="3">
        <f>IFERROR(__xludf.DUMMYFUNCTION("""COMPUTED_VALUE"""),46141.66666666667)</f>
        <v>46141.66667</v>
      </c>
      <c r="B3984" s="2">
        <f>IFERROR(__xludf.DUMMYFUNCTION("""COMPUTED_VALUE"""),375.4)</f>
        <v>375.4</v>
      </c>
      <c r="C3984" s="2">
        <f>IFERROR(__xludf.DUMMYFUNCTION("""COMPUTED_VALUE"""),376.4)</f>
        <v>376.4</v>
      </c>
      <c r="D3984" s="2">
        <f>IFERROR(__xludf.DUMMYFUNCTION("""COMPUTED_VALUE"""),370.04)</f>
        <v>370.04</v>
      </c>
      <c r="E3984" s="2">
        <f>IFERROR(__xludf.DUMMYFUNCTION("""COMPUTED_VALUE"""),372.8)</f>
        <v>372.8</v>
      </c>
      <c r="F3984" s="2">
        <f>IFERROR(__xludf.DUMMYFUNCTION("""COMPUTED_VALUE"""),4.5384836E7)</f>
        <v>45384836</v>
      </c>
    </row>
    <row r="3985">
      <c r="A3985" s="3">
        <f>IFERROR(__xludf.DUMMYFUNCTION("""COMPUTED_VALUE"""),46142.66666666667)</f>
        <v>46142.66667</v>
      </c>
      <c r="B3985" s="2">
        <f>IFERROR(__xludf.DUMMYFUNCTION("""COMPUTED_VALUE"""),372.75)</f>
        <v>372.75</v>
      </c>
      <c r="C3985" s="2">
        <f>IFERROR(__xludf.DUMMYFUNCTION("""COMPUTED_VALUE"""),384.75)</f>
        <v>384.75</v>
      </c>
      <c r="D3985" s="2">
        <f>IFERROR(__xludf.DUMMYFUNCTION("""COMPUTED_VALUE"""),368.17)</f>
        <v>368.17</v>
      </c>
      <c r="E3985" s="2">
        <f>IFERROR(__xludf.DUMMYFUNCTION("""COMPUTED_VALUE"""),381.63)</f>
        <v>381.63</v>
      </c>
      <c r="F3985" s="2">
        <f>IFERROR(__xludf.DUMMYFUNCTION("""COMPUTED_VALUE"""),5.1076041E7)</f>
        <v>51076041</v>
      </c>
    </row>
    <row r="3986">
      <c r="A3986" s="3">
        <f>IFERROR(__xludf.DUMMYFUNCTION("""COMPUTED_VALUE"""),46143.66666666667)</f>
        <v>46143.66667</v>
      </c>
      <c r="B3986" s="2">
        <f>IFERROR(__xludf.DUMMYFUNCTION("""COMPUTED_VALUE"""),382.49)</f>
        <v>382.49</v>
      </c>
      <c r="C3986" s="2">
        <f>IFERROR(__xludf.DUMMYFUNCTION("""COMPUTED_VALUE"""),397.82)</f>
        <v>397.82</v>
      </c>
      <c r="D3986" s="2">
        <f>IFERROR(__xludf.DUMMYFUNCTION("""COMPUTED_VALUE"""),378.8)</f>
        <v>378.8</v>
      </c>
      <c r="E3986" s="2">
        <f>IFERROR(__xludf.DUMMYFUNCTION("""COMPUTED_VALUE"""),390.82)</f>
        <v>390.82</v>
      </c>
      <c r="F3986" s="2">
        <f>IFERROR(__xludf.DUMMYFUNCTION("""COMPUTED_VALUE"""),6.5338257E7)</f>
        <v>65338257</v>
      </c>
    </row>
    <row r="3987">
      <c r="A3987" s="3">
        <f>IFERROR(__xludf.DUMMYFUNCTION("""COMPUTED_VALUE"""),46146.66666666667)</f>
        <v>46146.66667</v>
      </c>
      <c r="B3987" s="2">
        <f>IFERROR(__xludf.DUMMYFUNCTION("""COMPUTED_VALUE"""),390.23)</f>
        <v>390.23</v>
      </c>
      <c r="C3987" s="2">
        <f>IFERROR(__xludf.DUMMYFUNCTION("""COMPUTED_VALUE"""),394.64)</f>
        <v>394.64</v>
      </c>
      <c r="D3987" s="2">
        <f>IFERROR(__xludf.DUMMYFUNCTION("""COMPUTED_VALUE"""),384.8)</f>
        <v>384.8</v>
      </c>
      <c r="E3987" s="2">
        <f>IFERROR(__xludf.DUMMYFUNCTION("""COMPUTED_VALUE"""),392.51)</f>
        <v>392.51</v>
      </c>
      <c r="F3987" s="2">
        <f>IFERROR(__xludf.DUMMYFUNCTION("""COMPUTED_VALUE"""),4.8765144E7)</f>
        <v>48765144</v>
      </c>
    </row>
    <row r="3988">
      <c r="A3988" s="3">
        <f>IFERROR(__xludf.DUMMYFUNCTION("""COMPUTED_VALUE"""),46147.66666666667)</f>
        <v>46147.66667</v>
      </c>
      <c r="B3988" s="2">
        <f>IFERROR(__xludf.DUMMYFUNCTION("""COMPUTED_VALUE"""),395.19)</f>
        <v>395.19</v>
      </c>
      <c r="C3988" s="2">
        <f>IFERROR(__xludf.DUMMYFUNCTION("""COMPUTED_VALUE"""),402.12)</f>
        <v>402.12</v>
      </c>
      <c r="D3988" s="2">
        <f>IFERROR(__xludf.DUMMYFUNCTION("""COMPUTED_VALUE"""),389.0)</f>
        <v>389</v>
      </c>
      <c r="E3988" s="2">
        <f>IFERROR(__xludf.DUMMYFUNCTION("""COMPUTED_VALUE"""),389.37)</f>
        <v>389.37</v>
      </c>
      <c r="F3988" s="2">
        <f>IFERROR(__xludf.DUMMYFUNCTION("""COMPUTED_VALUE"""),4.7780632E7)</f>
        <v>47780632</v>
      </c>
    </row>
    <row r="3989">
      <c r="A3989" s="3">
        <f>IFERROR(__xludf.DUMMYFUNCTION("""COMPUTED_VALUE"""),46148.66666666667)</f>
        <v>46148.66667</v>
      </c>
      <c r="B3989" s="2">
        <f>IFERROR(__xludf.DUMMYFUNCTION("""COMPUTED_VALUE"""),386.25)</f>
        <v>386.25</v>
      </c>
      <c r="C3989" s="2">
        <f>IFERROR(__xludf.DUMMYFUNCTION("""COMPUTED_VALUE"""),401.68)</f>
        <v>401.68</v>
      </c>
      <c r="D3989" s="2">
        <f>IFERROR(__xludf.DUMMYFUNCTION("""COMPUTED_VALUE"""),384.02)</f>
        <v>384.02</v>
      </c>
      <c r="E3989" s="2">
        <f>IFERROR(__xludf.DUMMYFUNCTION("""COMPUTED_VALUE"""),398.73)</f>
        <v>398.73</v>
      </c>
      <c r="F3989" s="2">
        <f>IFERROR(__xludf.DUMMYFUNCTION("""COMPUTED_VALUE"""),5.3465366E7)</f>
        <v>53465366</v>
      </c>
    </row>
    <row r="3990">
      <c r="A3990" s="3">
        <f>IFERROR(__xludf.DUMMYFUNCTION("""COMPUTED_VALUE"""),46149.66666666667)</f>
        <v>46149.66667</v>
      </c>
      <c r="B3990" s="2">
        <f>IFERROR(__xludf.DUMMYFUNCTION("""COMPUTED_VALUE"""),407.48)</f>
        <v>407.48</v>
      </c>
      <c r="C3990" s="2">
        <f>IFERROR(__xludf.DUMMYFUNCTION("""COMPUTED_VALUE"""),415.83)</f>
        <v>415.83</v>
      </c>
      <c r="D3990" s="2">
        <f>IFERROR(__xludf.DUMMYFUNCTION("""COMPUTED_VALUE"""),402.12)</f>
        <v>402.12</v>
      </c>
      <c r="E3990" s="2">
        <f>IFERROR(__xludf.DUMMYFUNCTION("""COMPUTED_VALUE"""),411.79)</f>
        <v>411.79</v>
      </c>
      <c r="F3990" s="2">
        <f>IFERROR(__xludf.DUMMYFUNCTION("""COMPUTED_VALUE"""),6.4294225E7)</f>
        <v>64294225</v>
      </c>
    </row>
    <row r="3991">
      <c r="A3991" s="3">
        <f>IFERROR(__xludf.DUMMYFUNCTION("""COMPUTED_VALUE"""),46150.66666666667)</f>
        <v>46150.66667</v>
      </c>
      <c r="B3991" s="2">
        <f>IFERROR(__xludf.DUMMYFUNCTION("""COMPUTED_VALUE"""),416.48)</f>
        <v>416.48</v>
      </c>
      <c r="C3991" s="2">
        <f>IFERROR(__xludf.DUMMYFUNCTION("""COMPUTED_VALUE"""),431.2)</f>
        <v>431.2</v>
      </c>
      <c r="D3991" s="2">
        <f>IFERROR(__xludf.DUMMYFUNCTION("""COMPUTED_VALUE"""),416.39)</f>
        <v>416.39</v>
      </c>
      <c r="E3991" s="2">
        <f>IFERROR(__xludf.DUMMYFUNCTION("""COMPUTED_VALUE"""),428.35)</f>
        <v>428.35</v>
      </c>
      <c r="F3991" s="2">
        <f>IFERROR(__xludf.DUMMYFUNCTION("""COMPUTED_VALUE"""),6.504997E7)</f>
        <v>65049970</v>
      </c>
    </row>
    <row r="3992">
      <c r="A3992" s="3">
        <f>IFERROR(__xludf.DUMMYFUNCTION("""COMPUTED_VALUE"""),46153.66666666667)</f>
        <v>46153.66667</v>
      </c>
      <c r="B3992" s="2">
        <f>IFERROR(__xludf.DUMMYFUNCTION("""COMPUTED_VALUE"""),422.16)</f>
        <v>422.16</v>
      </c>
      <c r="C3992" s="2">
        <f>IFERROR(__xludf.DUMMYFUNCTION("""COMPUTED_VALUE"""),449.16)</f>
        <v>449.16</v>
      </c>
      <c r="D3992" s="2">
        <f>IFERROR(__xludf.DUMMYFUNCTION("""COMPUTED_VALUE"""),416.8)</f>
        <v>416.8</v>
      </c>
      <c r="E3992" s="2">
        <f>IFERROR(__xludf.DUMMYFUNCTION("""COMPUTED_VALUE"""),445.0)</f>
        <v>445</v>
      </c>
      <c r="F3992" s="2">
        <f>IFERROR(__xludf.DUMMYFUNCTION("""COMPUTED_VALUE"""),7.8376127E7)</f>
        <v>78376127</v>
      </c>
    </row>
    <row r="3993">
      <c r="A3993" s="3">
        <f>IFERROR(__xludf.DUMMYFUNCTION("""COMPUTED_VALUE"""),46154.66666666667)</f>
        <v>46154.66667</v>
      </c>
      <c r="B3993" s="2">
        <f>IFERROR(__xludf.DUMMYFUNCTION("""COMPUTED_VALUE"""),441.41)</f>
        <v>441.41</v>
      </c>
      <c r="C3993" s="2">
        <f>IFERROR(__xludf.DUMMYFUNCTION("""COMPUTED_VALUE"""),447.8)</f>
        <v>447.8</v>
      </c>
      <c r="D3993" s="2">
        <f>IFERROR(__xludf.DUMMYFUNCTION("""COMPUTED_VALUE"""),422.26)</f>
        <v>422.26</v>
      </c>
      <c r="E3993" s="2">
        <f>IFERROR(__xludf.DUMMYFUNCTION("""COMPUTED_VALUE"""),433.45)</f>
        <v>433.45</v>
      </c>
      <c r="F3993" s="2">
        <f>IFERROR(__xludf.DUMMYFUNCTION("""COMPUTED_VALUE"""),6.0569303E7)</f>
        <v>60569303</v>
      </c>
    </row>
    <row r="3994">
      <c r="A3994" s="3">
        <f>IFERROR(__xludf.DUMMYFUNCTION("""COMPUTED_VALUE"""),46155.66666666667)</f>
        <v>46155.66667</v>
      </c>
      <c r="B3994" s="2">
        <f>IFERROR(__xludf.DUMMYFUNCTION("""COMPUTED_VALUE"""),436.67)</f>
        <v>436.67</v>
      </c>
      <c r="C3994" s="2">
        <f>IFERROR(__xludf.DUMMYFUNCTION("""COMPUTED_VALUE"""),453.4)</f>
        <v>453.4</v>
      </c>
      <c r="D3994" s="2">
        <f>IFERROR(__xludf.DUMMYFUNCTION("""COMPUTED_VALUE"""),430.21)</f>
        <v>430.21</v>
      </c>
      <c r="E3994" s="2">
        <f>IFERROR(__xludf.DUMMYFUNCTION("""COMPUTED_VALUE"""),445.27)</f>
        <v>445.27</v>
      </c>
      <c r="F3994" s="2">
        <f>IFERROR(__xludf.DUMMYFUNCTION("""COMPUTED_VALUE"""),6.828323E7)</f>
        <v>68283230</v>
      </c>
    </row>
    <row r="3995">
      <c r="A3995" s="3">
        <f>IFERROR(__xludf.DUMMYFUNCTION("""COMPUTED_VALUE"""),46156.66666666667)</f>
        <v>46156.66667</v>
      </c>
      <c r="B3995" s="2">
        <f>IFERROR(__xludf.DUMMYFUNCTION("""COMPUTED_VALUE"""),446.49)</f>
        <v>446.49</v>
      </c>
      <c r="C3995" s="2">
        <f>IFERROR(__xludf.DUMMYFUNCTION("""COMPUTED_VALUE"""),451.98)</f>
        <v>451.98</v>
      </c>
      <c r="D3995" s="2">
        <f>IFERROR(__xludf.DUMMYFUNCTION("""COMPUTED_VALUE"""),441.16)</f>
        <v>441.16</v>
      </c>
      <c r="E3995" s="2">
        <f>IFERROR(__xludf.DUMMYFUNCTION("""COMPUTED_VALUE"""),443.3)</f>
        <v>443.3</v>
      </c>
      <c r="F3995" s="2">
        <f>IFERROR(__xludf.DUMMYFUNCTION("""COMPUTED_VALUE"""),4.6070362E7)</f>
        <v>46070362</v>
      </c>
    </row>
    <row r="3996">
      <c r="A3996" s="3">
        <f>IFERROR(__xludf.DUMMYFUNCTION("""COMPUTED_VALUE"""),46157.66666666667)</f>
        <v>46157.66667</v>
      </c>
      <c r="B3996" s="2">
        <f>IFERROR(__xludf.DUMMYFUNCTION("""COMPUTED_VALUE"""),433.98)</f>
        <v>433.98</v>
      </c>
      <c r="C3996" s="2">
        <f>IFERROR(__xludf.DUMMYFUNCTION("""COMPUTED_VALUE"""),434.66)</f>
        <v>434.66</v>
      </c>
      <c r="D3996" s="2">
        <f>IFERROR(__xludf.DUMMYFUNCTION("""COMPUTED_VALUE"""),422.0)</f>
        <v>422</v>
      </c>
      <c r="E3996" s="2">
        <f>IFERROR(__xludf.DUMMYFUNCTION("""COMPUTED_VALUE"""),422.24)</f>
        <v>422.24</v>
      </c>
      <c r="F3996" s="2">
        <f>IFERROR(__xludf.DUMMYFUNCTION("""COMPUTED_VALUE"""),5.2688743E7)</f>
        <v>52688743</v>
      </c>
    </row>
    <row r="3997">
      <c r="A3997" s="3">
        <f>IFERROR(__xludf.DUMMYFUNCTION("""COMPUTED_VALUE"""),46160.66666666667)</f>
        <v>46160.66667</v>
      </c>
      <c r="B3997" s="2">
        <f>IFERROR(__xludf.DUMMYFUNCTION("""COMPUTED_VALUE"""),419.27)</f>
        <v>419.27</v>
      </c>
      <c r="C3997" s="2">
        <f>IFERROR(__xludf.DUMMYFUNCTION("""COMPUTED_VALUE"""),421.13)</f>
        <v>421.13</v>
      </c>
      <c r="D3997" s="2">
        <f>IFERROR(__xludf.DUMMYFUNCTION("""COMPUTED_VALUE"""),405.33)</f>
        <v>405.33</v>
      </c>
      <c r="E3997" s="2">
        <f>IFERROR(__xludf.DUMMYFUNCTION("""COMPUTED_VALUE"""),409.99)</f>
        <v>409.99</v>
      </c>
      <c r="F3997" s="2">
        <f>IFERROR(__xludf.DUMMYFUNCTION("""COMPUTED_VALUE"""),5.2474189E7)</f>
        <v>52474189</v>
      </c>
    </row>
    <row r="3998">
      <c r="A3998" s="3">
        <f>IFERROR(__xludf.DUMMYFUNCTION("""COMPUTED_VALUE"""),46161.66666666667)</f>
        <v>46161.66667</v>
      </c>
      <c r="B3998" s="2">
        <f>IFERROR(__xludf.DUMMYFUNCTION("""COMPUTED_VALUE"""),403.16)</f>
        <v>403.16</v>
      </c>
      <c r="C3998" s="2">
        <f>IFERROR(__xludf.DUMMYFUNCTION("""COMPUTED_VALUE"""),405.63)</f>
        <v>405.63</v>
      </c>
      <c r="D3998" s="2">
        <f>IFERROR(__xludf.DUMMYFUNCTION("""COMPUTED_VALUE"""),393.63)</f>
        <v>393.63</v>
      </c>
      <c r="E3998" s="2">
        <f>IFERROR(__xludf.DUMMYFUNCTION("""COMPUTED_VALUE"""),404.11)</f>
        <v>404.11</v>
      </c>
      <c r="F3998" s="2">
        <f>IFERROR(__xludf.DUMMYFUNCTION("""COMPUTED_VALUE"""),4.6500552E7)</f>
        <v>46500552</v>
      </c>
    </row>
    <row r="3999">
      <c r="A3999" s="3">
        <f>IFERROR(__xludf.DUMMYFUNCTION("""COMPUTED_VALUE"""),46162.66666666667)</f>
        <v>46162.66667</v>
      </c>
      <c r="B3999" s="2">
        <f>IFERROR(__xludf.DUMMYFUNCTION("""COMPUTED_VALUE"""),407.6)</f>
        <v>407.6</v>
      </c>
      <c r="C3999" s="2">
        <f>IFERROR(__xludf.DUMMYFUNCTION("""COMPUTED_VALUE"""),417.46)</f>
        <v>417.46</v>
      </c>
      <c r="D3999" s="2">
        <f>IFERROR(__xludf.DUMMYFUNCTION("""COMPUTED_VALUE"""),406.39)</f>
        <v>406.39</v>
      </c>
      <c r="E3999" s="2">
        <f>IFERROR(__xludf.DUMMYFUNCTION("""COMPUTED_VALUE"""),417.26)</f>
        <v>417.26</v>
      </c>
      <c r="F3999" s="2">
        <f>IFERROR(__xludf.DUMMYFUNCTION("""COMPUTED_VALUE"""),4.5294746E7)</f>
        <v>45294746</v>
      </c>
    </row>
    <row r="4000">
      <c r="A4000" s="3">
        <f>IFERROR(__xludf.DUMMYFUNCTION("""COMPUTED_VALUE"""),46163.66666666667)</f>
        <v>46163.66667</v>
      </c>
      <c r="B4000" s="2">
        <f>IFERROR(__xludf.DUMMYFUNCTION("""COMPUTED_VALUE"""),422.18)</f>
        <v>422.18</v>
      </c>
      <c r="C4000" s="2">
        <f>IFERROR(__xludf.DUMMYFUNCTION("""COMPUTED_VALUE"""),426.95)</f>
        <v>426.95</v>
      </c>
      <c r="D4000" s="2">
        <f>IFERROR(__xludf.DUMMYFUNCTION("""COMPUTED_VALUE"""),412.9)</f>
        <v>412.9</v>
      </c>
      <c r="E4000" s="2">
        <f>IFERROR(__xludf.DUMMYFUNCTION("""COMPUTED_VALUE"""),417.85)</f>
        <v>417.85</v>
      </c>
      <c r="F4000" s="2">
        <f>IFERROR(__xludf.DUMMYFUNCTION("""COMPUTED_VALUE"""),4.2636855E7)</f>
        <v>42636855</v>
      </c>
    </row>
    <row r="4001">
      <c r="A4001" s="3">
        <f>IFERROR(__xludf.DUMMYFUNCTION("""COMPUTED_VALUE"""),46164.66666666667)</f>
        <v>46164.66667</v>
      </c>
      <c r="B4001" s="2">
        <f>IFERROR(__xludf.DUMMYFUNCTION("""COMPUTED_VALUE"""),422.67)</f>
        <v>422.67</v>
      </c>
      <c r="C4001" s="2">
        <f>IFERROR(__xludf.DUMMYFUNCTION("""COMPUTED_VALUE"""),431.51)</f>
        <v>431.51</v>
      </c>
      <c r="D4001" s="2">
        <f>IFERROR(__xludf.DUMMYFUNCTION("""COMPUTED_VALUE"""),420.51)</f>
        <v>420.51</v>
      </c>
      <c r="E4001" s="2">
        <f>IFERROR(__xludf.DUMMYFUNCTION("""COMPUTED_VALUE"""),426.01)</f>
        <v>426.01</v>
      </c>
      <c r="F4001" s="2">
        <f>IFERROR(__xludf.DUMMYFUNCTION("""COMPUTED_VALUE"""),4.610471E7)</f>
        <v>46104710</v>
      </c>
    </row>
    <row r="4002">
      <c r="A4002" s="3">
        <f>IFERROR(__xludf.DUMMYFUNCTION("""COMPUTED_VALUE"""),46168.66666666667)</f>
        <v>46168.66667</v>
      </c>
      <c r="B4002" s="2">
        <f>IFERROR(__xludf.DUMMYFUNCTION("""COMPUTED_VALUE"""),430.26)</f>
        <v>430.26</v>
      </c>
      <c r="C4002" s="2">
        <f>IFERROR(__xludf.DUMMYFUNCTION("""COMPUTED_VALUE"""),435.2)</f>
        <v>435.2</v>
      </c>
      <c r="D4002" s="2">
        <f>IFERROR(__xludf.DUMMYFUNCTION("""COMPUTED_VALUE"""),426.12)</f>
        <v>426.12</v>
      </c>
      <c r="E4002" s="2">
        <f>IFERROR(__xludf.DUMMYFUNCTION("""COMPUTED_VALUE"""),433.59)</f>
        <v>433.59</v>
      </c>
      <c r="F4002" s="2">
        <f>IFERROR(__xludf.DUMMYFUNCTION("""COMPUTED_VALUE"""),4.5658898E7)</f>
        <v>45658898</v>
      </c>
    </row>
    <row r="4003">
      <c r="A4003" s="3">
        <f>IFERROR(__xludf.DUMMYFUNCTION("""COMPUTED_VALUE"""),46169.66666666667)</f>
        <v>46169.66667</v>
      </c>
      <c r="B4003" s="2">
        <f>IFERROR(__xludf.DUMMYFUNCTION("""COMPUTED_VALUE"""),442.89)</f>
        <v>442.89</v>
      </c>
      <c r="C4003" s="2">
        <f>IFERROR(__xludf.DUMMYFUNCTION("""COMPUTED_VALUE"""),445.6)</f>
        <v>445.6</v>
      </c>
      <c r="D4003" s="2">
        <f>IFERROR(__xludf.DUMMYFUNCTION("""COMPUTED_VALUE"""),435.52)</f>
        <v>435.52</v>
      </c>
      <c r="E4003" s="2">
        <f>IFERROR(__xludf.DUMMYFUNCTION("""COMPUTED_VALUE"""),440.36)</f>
        <v>440.36</v>
      </c>
      <c r="F4003" s="2">
        <f>IFERROR(__xludf.DUMMYFUNCTION("""COMPUTED_VALUE"""),4.4656505E7)</f>
        <v>44656505</v>
      </c>
    </row>
    <row r="4004">
      <c r="A4004" s="3">
        <f>IFERROR(__xludf.DUMMYFUNCTION("""COMPUTED_VALUE"""),46170.66666666667)</f>
        <v>46170.66667</v>
      </c>
      <c r="B4004" s="2">
        <f>IFERROR(__xludf.DUMMYFUNCTION("""COMPUTED_VALUE"""),437.62)</f>
        <v>437.62</v>
      </c>
      <c r="C4004" s="2">
        <f>IFERROR(__xludf.DUMMYFUNCTION("""COMPUTED_VALUE"""),443.96)</f>
        <v>443.96</v>
      </c>
      <c r="D4004" s="2">
        <f>IFERROR(__xludf.DUMMYFUNCTION("""COMPUTED_VALUE"""),436.3)</f>
        <v>436.3</v>
      </c>
      <c r="E4004" s="2">
        <f>IFERROR(__xludf.DUMMYFUNCTION("""COMPUTED_VALUE"""),442.1)</f>
        <v>442.1</v>
      </c>
      <c r="F4004" s="2">
        <f>IFERROR(__xludf.DUMMYFUNCTION("""COMPUTED_VALUE"""),3.2434996E7)</f>
        <v>32434996</v>
      </c>
    </row>
    <row r="4005">
      <c r="A4005" s="3">
        <f>IFERROR(__xludf.DUMMYFUNCTION("""COMPUTED_VALUE"""),46171.66666666667)</f>
        <v>46171.66667</v>
      </c>
      <c r="B4005" s="2">
        <f>IFERROR(__xludf.DUMMYFUNCTION("""COMPUTED_VALUE"""),439.85)</f>
        <v>439.85</v>
      </c>
      <c r="C4005" s="2">
        <f>IFERROR(__xludf.DUMMYFUNCTION("""COMPUTED_VALUE"""),441.07)</f>
        <v>441.07</v>
      </c>
      <c r="D4005" s="2">
        <f>IFERROR(__xludf.DUMMYFUNCTION("""COMPUTED_VALUE"""),428.14)</f>
        <v>428.14</v>
      </c>
      <c r="E4005" s="2">
        <f>IFERROR(__xludf.DUMMYFUNCTION("""COMPUTED_VALUE"""),435.79)</f>
        <v>435.79</v>
      </c>
      <c r="F4005" s="2">
        <f>IFERROR(__xludf.DUMMYFUNCTION("""COMPUTED_VALUE"""),4.5176821E7)</f>
        <v>45176821</v>
      </c>
    </row>
    <row r="4006">
      <c r="A4006" s="3">
        <f>IFERROR(__xludf.DUMMYFUNCTION("""COMPUTED_VALUE"""),46174.66666666667)</f>
        <v>46174.66667</v>
      </c>
      <c r="B4006" s="2">
        <f>IFERROR(__xludf.DUMMYFUNCTION("""COMPUTED_VALUE"""),427.49)</f>
        <v>427.49</v>
      </c>
      <c r="C4006" s="2">
        <f>IFERROR(__xludf.DUMMYFUNCTION("""COMPUTED_VALUE"""),429.6)</f>
        <v>429.6</v>
      </c>
      <c r="D4006" s="2">
        <f>IFERROR(__xludf.DUMMYFUNCTION("""COMPUTED_VALUE"""),415.43)</f>
        <v>415.43</v>
      </c>
      <c r="E4006" s="2">
        <f>IFERROR(__xludf.DUMMYFUNCTION("""COMPUTED_VALUE"""),415.88)</f>
        <v>415.88</v>
      </c>
      <c r="F4006" s="2">
        <f>IFERROR(__xludf.DUMMYFUNCTION("""COMPUTED_VALUE"""),4.4937852E7)</f>
        <v>44937852</v>
      </c>
    </row>
    <row r="4007">
      <c r="A4007" s="3">
        <f>IFERROR(__xludf.DUMMYFUNCTION("""COMPUTED_VALUE"""),46175.66666666667)</f>
        <v>46175.66667</v>
      </c>
      <c r="B4007" s="2">
        <f>IFERROR(__xludf.DUMMYFUNCTION("""COMPUTED_VALUE"""),418.22)</f>
        <v>418.22</v>
      </c>
      <c r="C4007" s="2">
        <f>IFERROR(__xludf.DUMMYFUNCTION("""COMPUTED_VALUE"""),424.42)</f>
        <v>424.42</v>
      </c>
      <c r="D4007" s="2">
        <f>IFERROR(__xludf.DUMMYFUNCTION("""COMPUTED_VALUE"""),413.65)</f>
        <v>413.65</v>
      </c>
      <c r="E4007" s="2">
        <f>IFERROR(__xludf.DUMMYFUNCTION("""COMPUTED_VALUE"""),423.74)</f>
        <v>423.74</v>
      </c>
      <c r="F4007" s="2">
        <f>IFERROR(__xludf.DUMMYFUNCTION("""COMPUTED_VALUE"""),3.7596045E7)</f>
        <v>37596045</v>
      </c>
    </row>
    <row r="4008">
      <c r="A4008" s="3">
        <f>IFERROR(__xludf.DUMMYFUNCTION("""COMPUTED_VALUE"""),46176.66666666667)</f>
        <v>46176.66667</v>
      </c>
      <c r="B4008" s="2">
        <f>IFERROR(__xludf.DUMMYFUNCTION("""COMPUTED_VALUE"""),418.7)</f>
        <v>418.7</v>
      </c>
      <c r="C4008" s="2">
        <f>IFERROR(__xludf.DUMMYFUNCTION("""COMPUTED_VALUE"""),433.6)</f>
        <v>433.6</v>
      </c>
      <c r="D4008" s="2">
        <f>IFERROR(__xludf.DUMMYFUNCTION("""COMPUTED_VALUE"""),416.0)</f>
        <v>416</v>
      </c>
      <c r="E4008" s="2">
        <f>IFERROR(__xludf.DUMMYFUNCTION("""COMPUTED_VALUE"""),423.7)</f>
        <v>423.7</v>
      </c>
      <c r="F4008" s="2">
        <f>IFERROR(__xludf.DUMMYFUNCTION("""COMPUTED_VALUE"""),4.4500734E7)</f>
        <v>44500734</v>
      </c>
    </row>
    <row r="4009">
      <c r="A4009" s="3">
        <f>IFERROR(__xludf.DUMMYFUNCTION("""COMPUTED_VALUE"""),46177.66666666667)</f>
        <v>46177.66667</v>
      </c>
      <c r="B4009" s="2">
        <f>IFERROR(__xludf.DUMMYFUNCTION("""COMPUTED_VALUE"""),419.84)</f>
        <v>419.84</v>
      </c>
      <c r="C4009" s="2">
        <f>IFERROR(__xludf.DUMMYFUNCTION("""COMPUTED_VALUE"""),426.35)</f>
        <v>426.35</v>
      </c>
      <c r="D4009" s="2">
        <f>IFERROR(__xludf.DUMMYFUNCTION("""COMPUTED_VALUE"""),417.16)</f>
        <v>417.16</v>
      </c>
      <c r="E4009" s="2">
        <f>IFERROR(__xludf.DUMMYFUNCTION("""COMPUTED_VALUE"""),418.45)</f>
        <v>418.45</v>
      </c>
      <c r="F4009" s="2">
        <f>IFERROR(__xludf.DUMMYFUNCTION("""COMPUTED_VALUE"""),3.532326E7)</f>
        <v>35323260</v>
      </c>
    </row>
    <row r="4010">
      <c r="A4010" s="3">
        <f>IFERROR(__xludf.DUMMYFUNCTION("""COMPUTED_VALUE"""),46178.66666666667)</f>
        <v>46178.66667</v>
      </c>
      <c r="B4010" s="2">
        <f>IFERROR(__xludf.DUMMYFUNCTION("""COMPUTED_VALUE"""),420.5)</f>
        <v>420.5</v>
      </c>
      <c r="C4010" s="2">
        <f>IFERROR(__xludf.DUMMYFUNCTION("""COMPUTED_VALUE"""),424.68)</f>
        <v>424.68</v>
      </c>
      <c r="D4010" s="2">
        <f>IFERROR(__xludf.DUMMYFUNCTION("""COMPUTED_VALUE"""),388.59)</f>
        <v>388.59</v>
      </c>
      <c r="E4010" s="2">
        <f>IFERROR(__xludf.DUMMYFUNCTION("""COMPUTED_VALUE"""),391.0)</f>
        <v>391</v>
      </c>
      <c r="F4010" s="2">
        <f>IFERROR(__xludf.DUMMYFUNCTION("""COMPUTED_VALUE"""),6.3420178E7)</f>
        <v>63420178</v>
      </c>
    </row>
  </sheetData>
  <drawing r:id="rId1"/>
</worksheet>
</file>